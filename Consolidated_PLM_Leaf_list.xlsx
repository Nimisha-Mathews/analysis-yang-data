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hpe-my.sharepoint.com/personal/elluru_kri_mohan_hpe_com/Documents/config_analytics/"/>
    </mc:Choice>
  </mc:AlternateContent>
  <xr:revisionPtr revIDLastSave="0" documentId="8_{6C9A6285-4B7D-418A-A632-C97537BC009B}" xr6:coauthVersionLast="47" xr6:coauthVersionMax="47" xr10:uidLastSave="{00000000-0000-0000-0000-000000000000}"/>
  <bookViews>
    <workbookView xWindow="38400" yWindow="-80" windowWidth="34560" windowHeight="21680" xr2:uid="{FCBFDE6E-68A3-C844-94FF-7646D6CD9C84}"/>
  </bookViews>
  <sheets>
    <sheet name="consolidated_list_with_enhanced" sheetId="1" r:id="rId1"/>
    <sheet name="Projected Adoption on Leafs" sheetId="2" r:id="rId2"/>
    <sheet name="CX Relevant Yangs" sheetId="5" r:id="rId3"/>
    <sheet name="CN Only Supported Fields" sheetId="3" r:id="rId4"/>
    <sheet name="Profile Wise Breakup in CN" sheetId="4" r:id="rId5"/>
  </sheets>
  <definedNames>
    <definedName name="_xlnm._FilterDatabase" localSheetId="0" hidden="1">consolidated_list_with_enhanced!$A$1:$S$2708</definedName>
    <definedName name="_xlnm._FilterDatabase" localSheetId="3" hidden="1">'CN Only Supported Fields'!$A$1:$B$162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3" l="1"/>
  <c r="F1" i="2"/>
  <c r="C2" i="2" s="1"/>
  <c r="M2708" i="1"/>
  <c r="L2708" i="1"/>
  <c r="M2707" i="1"/>
  <c r="L2707" i="1"/>
  <c r="M2706" i="1"/>
  <c r="L2706" i="1"/>
  <c r="M2705" i="1"/>
  <c r="L2705" i="1"/>
  <c r="M2704" i="1"/>
  <c r="L2704" i="1"/>
  <c r="M2703" i="1"/>
  <c r="L2703" i="1"/>
  <c r="M2702" i="1"/>
  <c r="L2702" i="1"/>
  <c r="M2701" i="1"/>
  <c r="L2701" i="1"/>
  <c r="M2700" i="1"/>
  <c r="L2700" i="1"/>
  <c r="M2699" i="1"/>
  <c r="L2699" i="1"/>
  <c r="M2698" i="1"/>
  <c r="L2698" i="1"/>
  <c r="M2697" i="1"/>
  <c r="L2697" i="1"/>
  <c r="M2696" i="1"/>
  <c r="L2696" i="1"/>
  <c r="M2695" i="1"/>
  <c r="L2695" i="1"/>
  <c r="M2694" i="1"/>
  <c r="L2694" i="1"/>
  <c r="M2693" i="1"/>
  <c r="L2693" i="1"/>
  <c r="M2692" i="1"/>
  <c r="L2692" i="1"/>
  <c r="M2691" i="1"/>
  <c r="L2691" i="1"/>
  <c r="M2690" i="1"/>
  <c r="L2690" i="1"/>
  <c r="M2689" i="1"/>
  <c r="L2689" i="1"/>
  <c r="M2688" i="1"/>
  <c r="L2688" i="1"/>
  <c r="M2687" i="1"/>
  <c r="L2687" i="1"/>
  <c r="M2686" i="1"/>
  <c r="L2686" i="1"/>
  <c r="M2685" i="1"/>
  <c r="L2685" i="1"/>
  <c r="M2684" i="1"/>
  <c r="L2684" i="1"/>
  <c r="M2683" i="1"/>
  <c r="L2683" i="1"/>
  <c r="M2682" i="1"/>
  <c r="L2682" i="1"/>
  <c r="M2681" i="1"/>
  <c r="L2681" i="1"/>
  <c r="M2680" i="1"/>
  <c r="L2680" i="1"/>
  <c r="M2679" i="1"/>
  <c r="L2679" i="1"/>
  <c r="M2678" i="1"/>
  <c r="L2678" i="1"/>
  <c r="M2677" i="1"/>
  <c r="L2677" i="1"/>
  <c r="M2676" i="1"/>
  <c r="L2676" i="1"/>
  <c r="M2675" i="1"/>
  <c r="L2675" i="1"/>
  <c r="M2674" i="1"/>
  <c r="L2674" i="1"/>
  <c r="M2673" i="1"/>
  <c r="L2673" i="1"/>
  <c r="M2672" i="1"/>
  <c r="L2672" i="1"/>
  <c r="M2671" i="1"/>
  <c r="L2671" i="1"/>
  <c r="M2670" i="1"/>
  <c r="L2670" i="1"/>
  <c r="M2669" i="1"/>
  <c r="L2669" i="1"/>
  <c r="M2668" i="1"/>
  <c r="L2668" i="1"/>
  <c r="M2667" i="1"/>
  <c r="L2667" i="1"/>
  <c r="M2666" i="1"/>
  <c r="L2666" i="1"/>
  <c r="M2665" i="1"/>
  <c r="L2665" i="1"/>
  <c r="M2664" i="1"/>
  <c r="L2664" i="1"/>
  <c r="M2663" i="1"/>
  <c r="L2663" i="1"/>
  <c r="M2662" i="1"/>
  <c r="L2662" i="1"/>
  <c r="M2661" i="1"/>
  <c r="L2661" i="1"/>
  <c r="M2660" i="1"/>
  <c r="L2660" i="1"/>
  <c r="M2659" i="1"/>
  <c r="L2659" i="1"/>
  <c r="M2658" i="1"/>
  <c r="L2658" i="1"/>
  <c r="M2657" i="1"/>
  <c r="L2657" i="1"/>
  <c r="M2656" i="1"/>
  <c r="L2656" i="1"/>
  <c r="M2655" i="1"/>
  <c r="L2655" i="1"/>
  <c r="M2654" i="1"/>
  <c r="L2654" i="1"/>
  <c r="M2653" i="1"/>
  <c r="L2653" i="1"/>
  <c r="M2652" i="1"/>
  <c r="L2652" i="1"/>
  <c r="M2651" i="1"/>
  <c r="L2651" i="1"/>
  <c r="M2650" i="1"/>
  <c r="L2650" i="1"/>
  <c r="M2649" i="1"/>
  <c r="L2649" i="1"/>
  <c r="M2648" i="1"/>
  <c r="L2648" i="1"/>
  <c r="M2647" i="1"/>
  <c r="L2647" i="1"/>
  <c r="M2646" i="1"/>
  <c r="L2646" i="1"/>
  <c r="M2645" i="1"/>
  <c r="L2645" i="1"/>
  <c r="M2644" i="1"/>
  <c r="L2644" i="1"/>
  <c r="M2643" i="1"/>
  <c r="L2643" i="1"/>
  <c r="M2642" i="1"/>
  <c r="L2642" i="1"/>
  <c r="M2641" i="1"/>
  <c r="L2641" i="1"/>
  <c r="M2640" i="1"/>
  <c r="L2640" i="1"/>
  <c r="M2639" i="1"/>
  <c r="L2639" i="1"/>
  <c r="M2638" i="1"/>
  <c r="L2638" i="1"/>
  <c r="M2637" i="1"/>
  <c r="L2637" i="1"/>
  <c r="M2636" i="1"/>
  <c r="L2636" i="1"/>
  <c r="M2635" i="1"/>
  <c r="L2635" i="1"/>
  <c r="M2634" i="1"/>
  <c r="L2634" i="1"/>
  <c r="M2633" i="1"/>
  <c r="L2633" i="1"/>
  <c r="M2632" i="1"/>
  <c r="L2632" i="1"/>
  <c r="M2631" i="1"/>
  <c r="L2631" i="1"/>
  <c r="M2630" i="1"/>
  <c r="L2630" i="1"/>
  <c r="M2629" i="1"/>
  <c r="L2629" i="1"/>
  <c r="M2628" i="1"/>
  <c r="L2628" i="1"/>
  <c r="M2627" i="1"/>
  <c r="L2627" i="1"/>
  <c r="M2626" i="1"/>
  <c r="L2626" i="1"/>
  <c r="M2625" i="1"/>
  <c r="L2625" i="1"/>
  <c r="M2624" i="1"/>
  <c r="L2624" i="1"/>
  <c r="M2623" i="1"/>
  <c r="L2623" i="1"/>
  <c r="M2622" i="1"/>
  <c r="L2622" i="1"/>
  <c r="M2621" i="1"/>
  <c r="L2621" i="1"/>
  <c r="M2620" i="1"/>
  <c r="L2620" i="1"/>
  <c r="M2619" i="1"/>
  <c r="L2619" i="1"/>
  <c r="M2618" i="1"/>
  <c r="L2618" i="1"/>
  <c r="M2617" i="1"/>
  <c r="L2617" i="1"/>
  <c r="M2616" i="1"/>
  <c r="L2616" i="1"/>
  <c r="M2615" i="1"/>
  <c r="L2615" i="1"/>
  <c r="M2614" i="1"/>
  <c r="L2614" i="1"/>
  <c r="M2613" i="1"/>
  <c r="L2613" i="1"/>
  <c r="M2612" i="1"/>
  <c r="L2612" i="1"/>
  <c r="M2611" i="1"/>
  <c r="L2611" i="1"/>
  <c r="M2610" i="1"/>
  <c r="L2610" i="1"/>
  <c r="M2609" i="1"/>
  <c r="L2609" i="1"/>
  <c r="M2608" i="1"/>
  <c r="L2608" i="1"/>
  <c r="M2607" i="1"/>
  <c r="L2607" i="1"/>
  <c r="M2606" i="1"/>
  <c r="L2606" i="1"/>
  <c r="M2605" i="1"/>
  <c r="L2605" i="1"/>
  <c r="M2604" i="1"/>
  <c r="L2604" i="1"/>
  <c r="M2603" i="1"/>
  <c r="L2603" i="1"/>
  <c r="M2602" i="1"/>
  <c r="L2602" i="1"/>
  <c r="M2601" i="1"/>
  <c r="L2601" i="1"/>
  <c r="M2600" i="1"/>
  <c r="L2600" i="1"/>
  <c r="M2599" i="1"/>
  <c r="L2599" i="1"/>
  <c r="M2598" i="1"/>
  <c r="L2598" i="1"/>
  <c r="M2597" i="1"/>
  <c r="L2597" i="1"/>
  <c r="M2596" i="1"/>
  <c r="L2596" i="1"/>
  <c r="M2595" i="1"/>
  <c r="L2595" i="1"/>
  <c r="M2594" i="1"/>
  <c r="L2594" i="1"/>
  <c r="M2593" i="1"/>
  <c r="L2593" i="1"/>
  <c r="M2592" i="1"/>
  <c r="L2592" i="1"/>
  <c r="M2591" i="1"/>
  <c r="L2591" i="1"/>
  <c r="M2590" i="1"/>
  <c r="L2590" i="1"/>
  <c r="M2589" i="1"/>
  <c r="L2589" i="1"/>
  <c r="M2588" i="1"/>
  <c r="L2588" i="1"/>
  <c r="M2587" i="1"/>
  <c r="L2587" i="1"/>
  <c r="M2586" i="1"/>
  <c r="L2586" i="1"/>
  <c r="M2585" i="1"/>
  <c r="L2585" i="1"/>
  <c r="M2584" i="1"/>
  <c r="L2584" i="1"/>
  <c r="M2583" i="1"/>
  <c r="L2583" i="1"/>
  <c r="M2582" i="1"/>
  <c r="L2582" i="1"/>
  <c r="M2581" i="1"/>
  <c r="L2581" i="1"/>
  <c r="M2580" i="1"/>
  <c r="L2580" i="1"/>
  <c r="M2579" i="1"/>
  <c r="L2579" i="1"/>
  <c r="M2578" i="1"/>
  <c r="L2578" i="1"/>
  <c r="M2577" i="1"/>
  <c r="L2577" i="1"/>
  <c r="M2576" i="1"/>
  <c r="L2576" i="1"/>
  <c r="M2575" i="1"/>
  <c r="L2575" i="1"/>
  <c r="M2574" i="1"/>
  <c r="L2574" i="1"/>
  <c r="M2573" i="1"/>
  <c r="L2573" i="1"/>
  <c r="M2572" i="1"/>
  <c r="L2572" i="1"/>
  <c r="M2571" i="1"/>
  <c r="L2571" i="1"/>
  <c r="M2570" i="1"/>
  <c r="L2570" i="1"/>
  <c r="M2569" i="1"/>
  <c r="L2569" i="1"/>
  <c r="M2568" i="1"/>
  <c r="L2568" i="1"/>
  <c r="M2567" i="1"/>
  <c r="L2567" i="1"/>
  <c r="M2566" i="1"/>
  <c r="L2566" i="1"/>
  <c r="M2565" i="1"/>
  <c r="L2565" i="1"/>
  <c r="M2564" i="1"/>
  <c r="L2564" i="1"/>
  <c r="M2563" i="1"/>
  <c r="L2563" i="1"/>
  <c r="M2562" i="1"/>
  <c r="L2562" i="1"/>
  <c r="M2561" i="1"/>
  <c r="L2561" i="1"/>
  <c r="M2560" i="1"/>
  <c r="L2560" i="1"/>
  <c r="M2559" i="1"/>
  <c r="L2559" i="1"/>
  <c r="M2558" i="1"/>
  <c r="L2558" i="1"/>
  <c r="M2557" i="1"/>
  <c r="L2557" i="1"/>
  <c r="M2556" i="1"/>
  <c r="L2556" i="1"/>
  <c r="M2555" i="1"/>
  <c r="L2555" i="1"/>
  <c r="M2554" i="1"/>
  <c r="L2554" i="1"/>
  <c r="M2553" i="1"/>
  <c r="L2553" i="1"/>
  <c r="M2552" i="1"/>
  <c r="L2552" i="1"/>
  <c r="M2551" i="1"/>
  <c r="L2551" i="1"/>
  <c r="M2550" i="1"/>
  <c r="L2550" i="1"/>
  <c r="M2549" i="1"/>
  <c r="L2549" i="1"/>
  <c r="M2548" i="1"/>
  <c r="L2548" i="1"/>
  <c r="M2547" i="1"/>
  <c r="L2547" i="1"/>
  <c r="M2546" i="1"/>
  <c r="L2546" i="1"/>
  <c r="M2545" i="1"/>
  <c r="L2545" i="1"/>
  <c r="M2544" i="1"/>
  <c r="L2544" i="1"/>
  <c r="M2543" i="1"/>
  <c r="L2543" i="1"/>
  <c r="M2542" i="1"/>
  <c r="L2542" i="1"/>
  <c r="M2541" i="1"/>
  <c r="L2541" i="1"/>
  <c r="M2540" i="1"/>
  <c r="L2540" i="1"/>
  <c r="M2539" i="1"/>
  <c r="L2539" i="1"/>
  <c r="M2538" i="1"/>
  <c r="L2538" i="1"/>
  <c r="M2537" i="1"/>
  <c r="L2537" i="1"/>
  <c r="M2536" i="1"/>
  <c r="L2536" i="1"/>
  <c r="M2535" i="1"/>
  <c r="L2535" i="1"/>
  <c r="M2534" i="1"/>
  <c r="L2534" i="1"/>
  <c r="M2533" i="1"/>
  <c r="L2533" i="1"/>
  <c r="M2532" i="1"/>
  <c r="L2532" i="1"/>
  <c r="M2531" i="1"/>
  <c r="L2531" i="1"/>
  <c r="M2530" i="1"/>
  <c r="L2530" i="1"/>
  <c r="M2529" i="1"/>
  <c r="L2529" i="1"/>
  <c r="M2528" i="1"/>
  <c r="L2528" i="1"/>
  <c r="M2527" i="1"/>
  <c r="L2527" i="1"/>
  <c r="M2526" i="1"/>
  <c r="L2526" i="1"/>
  <c r="M2525" i="1"/>
  <c r="L2525" i="1"/>
  <c r="M2524" i="1"/>
  <c r="L2524" i="1"/>
  <c r="M2523" i="1"/>
  <c r="L2523" i="1"/>
  <c r="M2522" i="1"/>
  <c r="L2522" i="1"/>
  <c r="M2521" i="1"/>
  <c r="L2521" i="1"/>
  <c r="M2520" i="1"/>
  <c r="L2520" i="1"/>
  <c r="M2519" i="1"/>
  <c r="L2519" i="1"/>
  <c r="M2518" i="1"/>
  <c r="L2518" i="1"/>
  <c r="M2517" i="1"/>
  <c r="L2517" i="1"/>
  <c r="M2516" i="1"/>
  <c r="L2516" i="1"/>
  <c r="M2515" i="1"/>
  <c r="L2515" i="1"/>
  <c r="M2514" i="1"/>
  <c r="L2514" i="1"/>
  <c r="M2513" i="1"/>
  <c r="L2513" i="1"/>
  <c r="M2512" i="1"/>
  <c r="L2512" i="1"/>
  <c r="M2511" i="1"/>
  <c r="L2511" i="1"/>
  <c r="M2510" i="1"/>
  <c r="L2510" i="1"/>
  <c r="M2509" i="1"/>
  <c r="L2509" i="1"/>
  <c r="M2508" i="1"/>
  <c r="L2508" i="1"/>
  <c r="M2507" i="1"/>
  <c r="L2507" i="1"/>
  <c r="M2506" i="1"/>
  <c r="L2506" i="1"/>
  <c r="M2505" i="1"/>
  <c r="L2505" i="1"/>
  <c r="M2504" i="1"/>
  <c r="L2504" i="1"/>
  <c r="M2503" i="1"/>
  <c r="L2503" i="1"/>
  <c r="M2502" i="1"/>
  <c r="L2502" i="1"/>
  <c r="M2501" i="1"/>
  <c r="L2501" i="1"/>
  <c r="M2500" i="1"/>
  <c r="L2500" i="1"/>
  <c r="M2499" i="1"/>
  <c r="L2499" i="1"/>
  <c r="M2498" i="1"/>
  <c r="L2498" i="1"/>
  <c r="M2497" i="1"/>
  <c r="L2497" i="1"/>
  <c r="M2496" i="1"/>
  <c r="L2496" i="1"/>
  <c r="M2495" i="1"/>
  <c r="L2495" i="1"/>
  <c r="M2494" i="1"/>
  <c r="L2494" i="1"/>
  <c r="M2493" i="1"/>
  <c r="L2493" i="1"/>
  <c r="M2492" i="1"/>
  <c r="L2492" i="1"/>
  <c r="M2491" i="1"/>
  <c r="L2491" i="1"/>
  <c r="M2490" i="1"/>
  <c r="L2490" i="1"/>
  <c r="M2489" i="1"/>
  <c r="L2489" i="1"/>
  <c r="M2488" i="1"/>
  <c r="L2488" i="1"/>
  <c r="M2487" i="1"/>
  <c r="L2487" i="1"/>
  <c r="M2486" i="1"/>
  <c r="L2486" i="1"/>
  <c r="M2485" i="1"/>
  <c r="L2485" i="1"/>
  <c r="M2484" i="1"/>
  <c r="L2484" i="1"/>
  <c r="M2483" i="1"/>
  <c r="L2483" i="1"/>
  <c r="M2482" i="1"/>
  <c r="L2482" i="1"/>
  <c r="M2481" i="1"/>
  <c r="L2481" i="1"/>
  <c r="M2480" i="1"/>
  <c r="L2480" i="1"/>
  <c r="M2479" i="1"/>
  <c r="L2479" i="1"/>
  <c r="M2478" i="1"/>
  <c r="L2478" i="1"/>
  <c r="M2477" i="1"/>
  <c r="L2477" i="1"/>
  <c r="M2476" i="1"/>
  <c r="L2476" i="1"/>
  <c r="M2475" i="1"/>
  <c r="L2475" i="1"/>
  <c r="M2474" i="1"/>
  <c r="L2474" i="1"/>
  <c r="M2473" i="1"/>
  <c r="L2473" i="1"/>
  <c r="M2472" i="1"/>
  <c r="L2472" i="1"/>
  <c r="M2471" i="1"/>
  <c r="L2471" i="1"/>
  <c r="M2470" i="1"/>
  <c r="L2470" i="1"/>
  <c r="M2469" i="1"/>
  <c r="L2469" i="1"/>
  <c r="M2468" i="1"/>
  <c r="L2468" i="1"/>
  <c r="M2467" i="1"/>
  <c r="L2467" i="1"/>
  <c r="M2466" i="1"/>
  <c r="L2466" i="1"/>
  <c r="M2465" i="1"/>
  <c r="L2465" i="1"/>
  <c r="M2464" i="1"/>
  <c r="L2464" i="1"/>
  <c r="M2463" i="1"/>
  <c r="L2463" i="1"/>
  <c r="M2462" i="1"/>
  <c r="L2462" i="1"/>
  <c r="M2461" i="1"/>
  <c r="L2461" i="1"/>
  <c r="M2460" i="1"/>
  <c r="L2460" i="1"/>
  <c r="M2459" i="1"/>
  <c r="L2459" i="1"/>
  <c r="M2458" i="1"/>
  <c r="L2458" i="1"/>
  <c r="M2457" i="1"/>
  <c r="L2457" i="1"/>
  <c r="M2456" i="1"/>
  <c r="L2456" i="1"/>
  <c r="M2455" i="1"/>
  <c r="L2455" i="1"/>
  <c r="M2454" i="1"/>
  <c r="L2454" i="1"/>
  <c r="M2453" i="1"/>
  <c r="L2453" i="1"/>
  <c r="M2452" i="1"/>
  <c r="L2452" i="1"/>
  <c r="M2451" i="1"/>
  <c r="L2451" i="1"/>
  <c r="M2450" i="1"/>
  <c r="L2450" i="1"/>
  <c r="M2449" i="1"/>
  <c r="L2449" i="1"/>
  <c r="M2448" i="1"/>
  <c r="L2448" i="1"/>
  <c r="M2447" i="1"/>
  <c r="L2447" i="1"/>
  <c r="M2446" i="1"/>
  <c r="L2446" i="1"/>
  <c r="M2445" i="1"/>
  <c r="L2445" i="1"/>
  <c r="M2444" i="1"/>
  <c r="L2444" i="1"/>
  <c r="M2443" i="1"/>
  <c r="L2443" i="1"/>
  <c r="M2442" i="1"/>
  <c r="L2442" i="1"/>
  <c r="M2441" i="1"/>
  <c r="L2441" i="1"/>
  <c r="M2440" i="1"/>
  <c r="L2440" i="1"/>
  <c r="M2439" i="1"/>
  <c r="L2439" i="1"/>
  <c r="M2438" i="1"/>
  <c r="L2438" i="1"/>
  <c r="M2437" i="1"/>
  <c r="L2437" i="1"/>
  <c r="M2436" i="1"/>
  <c r="L2436" i="1"/>
  <c r="M2435" i="1"/>
  <c r="L2435" i="1"/>
  <c r="M2434" i="1"/>
  <c r="L2434" i="1"/>
  <c r="M2433" i="1"/>
  <c r="L2433" i="1"/>
  <c r="M2432" i="1"/>
  <c r="L2432" i="1"/>
  <c r="M2431" i="1"/>
  <c r="L2431" i="1"/>
  <c r="M2430" i="1"/>
  <c r="L2430" i="1"/>
  <c r="M2429" i="1"/>
  <c r="L2429" i="1"/>
  <c r="M2428" i="1"/>
  <c r="L2428" i="1"/>
  <c r="M2427" i="1"/>
  <c r="L2427" i="1"/>
  <c r="M2426" i="1"/>
  <c r="L2426" i="1"/>
  <c r="M2425" i="1"/>
  <c r="L2425" i="1"/>
  <c r="M2424" i="1"/>
  <c r="L2424" i="1"/>
  <c r="M2423" i="1"/>
  <c r="L2423" i="1"/>
  <c r="M2422" i="1"/>
  <c r="L2422" i="1"/>
  <c r="M2421" i="1"/>
  <c r="L2421" i="1"/>
  <c r="M2420" i="1"/>
  <c r="L2420" i="1"/>
  <c r="M2419" i="1"/>
  <c r="L2419" i="1"/>
  <c r="M2418" i="1"/>
  <c r="L2418" i="1"/>
  <c r="M2417" i="1"/>
  <c r="L2417" i="1"/>
  <c r="M2416" i="1"/>
  <c r="L2416" i="1"/>
  <c r="M2415" i="1"/>
  <c r="L2415" i="1"/>
  <c r="M2414" i="1"/>
  <c r="L2414" i="1"/>
  <c r="M2413" i="1"/>
  <c r="L2413" i="1"/>
  <c r="M2412" i="1"/>
  <c r="L2412" i="1"/>
  <c r="M2411" i="1"/>
  <c r="L2411" i="1"/>
  <c r="M2410" i="1"/>
  <c r="L2410" i="1"/>
  <c r="M2409" i="1"/>
  <c r="L2409" i="1"/>
  <c r="M2408" i="1"/>
  <c r="L2408" i="1"/>
  <c r="M2407" i="1"/>
  <c r="L2407" i="1"/>
  <c r="M2406" i="1"/>
  <c r="L2406" i="1"/>
  <c r="M2405" i="1"/>
  <c r="L2405" i="1"/>
  <c r="M2404" i="1"/>
  <c r="L2404" i="1"/>
  <c r="M2403" i="1"/>
  <c r="L2403" i="1"/>
  <c r="M2402" i="1"/>
  <c r="L2402" i="1"/>
  <c r="M2401" i="1"/>
  <c r="L2401" i="1"/>
  <c r="M2400" i="1"/>
  <c r="L2400" i="1"/>
  <c r="M2399" i="1"/>
  <c r="L2399" i="1"/>
  <c r="M2398" i="1"/>
  <c r="L2398" i="1"/>
  <c r="M2397" i="1"/>
  <c r="L2397" i="1"/>
  <c r="M2396" i="1"/>
  <c r="L2396" i="1"/>
  <c r="M2395" i="1"/>
  <c r="L2395" i="1"/>
  <c r="M2394" i="1"/>
  <c r="L2394" i="1"/>
  <c r="M2393" i="1"/>
  <c r="L2393" i="1"/>
  <c r="M2392" i="1"/>
  <c r="L2392" i="1"/>
  <c r="M2391" i="1"/>
  <c r="L2391" i="1"/>
  <c r="M2390" i="1"/>
  <c r="L2390" i="1"/>
  <c r="M2389" i="1"/>
  <c r="L2389" i="1"/>
  <c r="M2388" i="1"/>
  <c r="L2388" i="1"/>
  <c r="M2387" i="1"/>
  <c r="L2387" i="1"/>
  <c r="M2386" i="1"/>
  <c r="L2386" i="1"/>
  <c r="M2385" i="1"/>
  <c r="L2385" i="1"/>
  <c r="M2384" i="1"/>
  <c r="L2384" i="1"/>
  <c r="M2383" i="1"/>
  <c r="L2383" i="1"/>
  <c r="M2382" i="1"/>
  <c r="L2382" i="1"/>
  <c r="M2381" i="1"/>
  <c r="L2381" i="1"/>
  <c r="M2380" i="1"/>
  <c r="L2380" i="1"/>
  <c r="M2379" i="1"/>
  <c r="L2379" i="1"/>
  <c r="M2378" i="1"/>
  <c r="L2378" i="1"/>
  <c r="M2377" i="1"/>
  <c r="L2377" i="1"/>
  <c r="M2376" i="1"/>
  <c r="L2376" i="1"/>
  <c r="M2375" i="1"/>
  <c r="L2375" i="1"/>
  <c r="M2374" i="1"/>
  <c r="L2374" i="1"/>
  <c r="M2373" i="1"/>
  <c r="L2373" i="1"/>
  <c r="M2372" i="1"/>
  <c r="L2372" i="1"/>
  <c r="M2371" i="1"/>
  <c r="L2371" i="1"/>
  <c r="M2370" i="1"/>
  <c r="L2370" i="1"/>
  <c r="M2369" i="1"/>
  <c r="L2369" i="1"/>
  <c r="M2368" i="1"/>
  <c r="L2368" i="1"/>
  <c r="M2367" i="1"/>
  <c r="L2367" i="1"/>
  <c r="M2366" i="1"/>
  <c r="L2366" i="1"/>
  <c r="M2365" i="1"/>
  <c r="L2365" i="1"/>
  <c r="M2364" i="1"/>
  <c r="L2364" i="1"/>
  <c r="M2363" i="1"/>
  <c r="L2363" i="1"/>
  <c r="M2362" i="1"/>
  <c r="L2362" i="1"/>
  <c r="M2361" i="1"/>
  <c r="L2361" i="1"/>
  <c r="M2360" i="1"/>
  <c r="L2360" i="1"/>
  <c r="M2359" i="1"/>
  <c r="L2359" i="1"/>
  <c r="M2358" i="1"/>
  <c r="L2358" i="1"/>
  <c r="M2357" i="1"/>
  <c r="L2357" i="1"/>
  <c r="M2356" i="1"/>
  <c r="L2356" i="1"/>
  <c r="M2355" i="1"/>
  <c r="L2355" i="1"/>
  <c r="M2354" i="1"/>
  <c r="L2354" i="1"/>
  <c r="M2353" i="1"/>
  <c r="L2353" i="1"/>
  <c r="M2352" i="1"/>
  <c r="L2352" i="1"/>
  <c r="M2351" i="1"/>
  <c r="L2351" i="1"/>
  <c r="M2350" i="1"/>
  <c r="L2350" i="1"/>
  <c r="M2349" i="1"/>
  <c r="L2349" i="1"/>
  <c r="M2348" i="1"/>
  <c r="L2348" i="1"/>
  <c r="M2347" i="1"/>
  <c r="L2347" i="1"/>
  <c r="M2346" i="1"/>
  <c r="L2346" i="1"/>
  <c r="M2345" i="1"/>
  <c r="L2345" i="1"/>
  <c r="M2344" i="1"/>
  <c r="L2344" i="1"/>
  <c r="M2343" i="1"/>
  <c r="L2343" i="1"/>
  <c r="M2342" i="1"/>
  <c r="L2342" i="1"/>
  <c r="M2341" i="1"/>
  <c r="L2341" i="1"/>
  <c r="M2340" i="1"/>
  <c r="L2340" i="1"/>
  <c r="M2339" i="1"/>
  <c r="L2339" i="1"/>
  <c r="M2338" i="1"/>
  <c r="L2338" i="1"/>
  <c r="M2337" i="1"/>
  <c r="L2337" i="1"/>
  <c r="M2336" i="1"/>
  <c r="L2336" i="1"/>
  <c r="M2335" i="1"/>
  <c r="L2335" i="1"/>
  <c r="M2334" i="1"/>
  <c r="L2334" i="1"/>
  <c r="M2333" i="1"/>
  <c r="L2333" i="1"/>
  <c r="M2332" i="1"/>
  <c r="L2332" i="1"/>
  <c r="M2331" i="1"/>
  <c r="L2331" i="1"/>
  <c r="M2330" i="1"/>
  <c r="L2330" i="1"/>
  <c r="M2329" i="1"/>
  <c r="L2329" i="1"/>
  <c r="M2328" i="1"/>
  <c r="L2328" i="1"/>
  <c r="M2327" i="1"/>
  <c r="L2327" i="1"/>
  <c r="M2326" i="1"/>
  <c r="L2326" i="1"/>
  <c r="M2325" i="1"/>
  <c r="L2325" i="1"/>
  <c r="M2324" i="1"/>
  <c r="L2324" i="1"/>
  <c r="M2323" i="1"/>
  <c r="L2323" i="1"/>
  <c r="M2322" i="1"/>
  <c r="L2322" i="1"/>
  <c r="M2321" i="1"/>
  <c r="L2321" i="1"/>
  <c r="M2320" i="1"/>
  <c r="L2320" i="1"/>
  <c r="M2319" i="1"/>
  <c r="L2319" i="1"/>
  <c r="M2318" i="1"/>
  <c r="L2318" i="1"/>
  <c r="M2317" i="1"/>
  <c r="L2317" i="1"/>
  <c r="M2316" i="1"/>
  <c r="L2316" i="1"/>
  <c r="M2315" i="1"/>
  <c r="L2315" i="1"/>
  <c r="M2314" i="1"/>
  <c r="L2314" i="1"/>
  <c r="M2313" i="1"/>
  <c r="L2313" i="1"/>
  <c r="M2312" i="1"/>
  <c r="L2312" i="1"/>
  <c r="M2311" i="1"/>
  <c r="L2311" i="1"/>
  <c r="M2310" i="1"/>
  <c r="L2310" i="1"/>
  <c r="M2309" i="1"/>
  <c r="L2309" i="1"/>
  <c r="M2308" i="1"/>
  <c r="L2308" i="1"/>
  <c r="M2307" i="1"/>
  <c r="L2307" i="1"/>
  <c r="M2306" i="1"/>
  <c r="L2306" i="1"/>
  <c r="M2305" i="1"/>
  <c r="L2305" i="1"/>
  <c r="M2304" i="1"/>
  <c r="L2304" i="1"/>
  <c r="M2303" i="1"/>
  <c r="L2303" i="1"/>
  <c r="M2302" i="1"/>
  <c r="L2302" i="1"/>
  <c r="M2301" i="1"/>
  <c r="L2301" i="1"/>
  <c r="M2300" i="1"/>
  <c r="L2300" i="1"/>
  <c r="M2299" i="1"/>
  <c r="L2299" i="1"/>
  <c r="M2298" i="1"/>
  <c r="L2298" i="1"/>
  <c r="M2297" i="1"/>
  <c r="L2297" i="1"/>
  <c r="M2296" i="1"/>
  <c r="L2296" i="1"/>
  <c r="M2295" i="1"/>
  <c r="L2295" i="1"/>
  <c r="M2294" i="1"/>
  <c r="L2294" i="1"/>
  <c r="M2293" i="1"/>
  <c r="L2293" i="1"/>
  <c r="M2292" i="1"/>
  <c r="L2292" i="1"/>
  <c r="M2291" i="1"/>
  <c r="L2291" i="1"/>
  <c r="M2290" i="1"/>
  <c r="L2290" i="1"/>
  <c r="M2289" i="1"/>
  <c r="L2289" i="1"/>
  <c r="M2288" i="1"/>
  <c r="L2288" i="1"/>
  <c r="M2287" i="1"/>
  <c r="L2287" i="1"/>
  <c r="M2286" i="1"/>
  <c r="L2286" i="1"/>
  <c r="M2285" i="1"/>
  <c r="L2285" i="1"/>
  <c r="M2284" i="1"/>
  <c r="L2284" i="1"/>
  <c r="M2283" i="1"/>
  <c r="L2283" i="1"/>
  <c r="M2282" i="1"/>
  <c r="L2282" i="1"/>
  <c r="M2281" i="1"/>
  <c r="L2281" i="1"/>
  <c r="M2280" i="1"/>
  <c r="L2280" i="1"/>
  <c r="M2279" i="1"/>
  <c r="L2279" i="1"/>
  <c r="M2278" i="1"/>
  <c r="L2278" i="1"/>
  <c r="M2277" i="1"/>
  <c r="L2277" i="1"/>
  <c r="M2276" i="1"/>
  <c r="L2276" i="1"/>
  <c r="M2275" i="1"/>
  <c r="L2275" i="1"/>
  <c r="M2274" i="1"/>
  <c r="L2274" i="1"/>
  <c r="M2273" i="1"/>
  <c r="L2273" i="1"/>
  <c r="M2272" i="1"/>
  <c r="L2272" i="1"/>
  <c r="M2271" i="1"/>
  <c r="L2271" i="1"/>
  <c r="M2270" i="1"/>
  <c r="L2270" i="1"/>
  <c r="M2269" i="1"/>
  <c r="L2269" i="1"/>
  <c r="M2268" i="1"/>
  <c r="L2268" i="1"/>
  <c r="M2267" i="1"/>
  <c r="L2267" i="1"/>
  <c r="M2266" i="1"/>
  <c r="L2266" i="1"/>
  <c r="M2265" i="1"/>
  <c r="L2265" i="1"/>
  <c r="M2264" i="1"/>
  <c r="L2264" i="1"/>
  <c r="M2263" i="1"/>
  <c r="L2263" i="1"/>
  <c r="M2262" i="1"/>
  <c r="L2262" i="1"/>
  <c r="M2261" i="1"/>
  <c r="L2261" i="1"/>
  <c r="M2260" i="1"/>
  <c r="L2260" i="1"/>
  <c r="M2259" i="1"/>
  <c r="L2259" i="1"/>
  <c r="M2258" i="1"/>
  <c r="L2258" i="1"/>
  <c r="M2257" i="1"/>
  <c r="L2257" i="1"/>
  <c r="M2256" i="1"/>
  <c r="L2256" i="1"/>
  <c r="M2255" i="1"/>
  <c r="L2255" i="1"/>
  <c r="M2254" i="1"/>
  <c r="L2254" i="1"/>
  <c r="M2253" i="1"/>
  <c r="L2253" i="1"/>
  <c r="M2252" i="1"/>
  <c r="L2252" i="1"/>
  <c r="M2251" i="1"/>
  <c r="L2251" i="1"/>
  <c r="M2250" i="1"/>
  <c r="L2250" i="1"/>
  <c r="M2249" i="1"/>
  <c r="L2249" i="1"/>
  <c r="M2248" i="1"/>
  <c r="L2248" i="1"/>
  <c r="M2247" i="1"/>
  <c r="L2247" i="1"/>
  <c r="M2246" i="1"/>
  <c r="L2246" i="1"/>
  <c r="M2245" i="1"/>
  <c r="L2245" i="1"/>
  <c r="M2244" i="1"/>
  <c r="L2244" i="1"/>
  <c r="M2243" i="1"/>
  <c r="L2243" i="1"/>
  <c r="M2242" i="1"/>
  <c r="L2242" i="1"/>
  <c r="M2241" i="1"/>
  <c r="L2241" i="1"/>
  <c r="M2240" i="1"/>
  <c r="L2240" i="1"/>
  <c r="M2239" i="1"/>
  <c r="L2239" i="1"/>
  <c r="M2238" i="1"/>
  <c r="L2238" i="1"/>
  <c r="M2237" i="1"/>
  <c r="L2237" i="1"/>
  <c r="M2236" i="1"/>
  <c r="L2236" i="1"/>
  <c r="M2235" i="1"/>
  <c r="L2235" i="1"/>
  <c r="M2234" i="1"/>
  <c r="L2234" i="1"/>
  <c r="M2233" i="1"/>
  <c r="L2233" i="1"/>
  <c r="M2232" i="1"/>
  <c r="L2232" i="1"/>
  <c r="M2231" i="1"/>
  <c r="L2231" i="1"/>
  <c r="M2230" i="1"/>
  <c r="L2230" i="1"/>
  <c r="M2229" i="1"/>
  <c r="L2229" i="1"/>
  <c r="M2228" i="1"/>
  <c r="L2228" i="1"/>
  <c r="M2227" i="1"/>
  <c r="L2227" i="1"/>
  <c r="M2226" i="1"/>
  <c r="L2226" i="1"/>
  <c r="M2225" i="1"/>
  <c r="L2225" i="1"/>
  <c r="M2224" i="1"/>
  <c r="L2224" i="1"/>
  <c r="M2223" i="1"/>
  <c r="L2223" i="1"/>
  <c r="M2222" i="1"/>
  <c r="L2222" i="1"/>
  <c r="M2221" i="1"/>
  <c r="L2221" i="1"/>
  <c r="M2220" i="1"/>
  <c r="L2220" i="1"/>
  <c r="M2219" i="1"/>
  <c r="L2219" i="1"/>
  <c r="M2218" i="1"/>
  <c r="L2218" i="1"/>
  <c r="M2217" i="1"/>
  <c r="L2217" i="1"/>
  <c r="M2216" i="1"/>
  <c r="L2216" i="1"/>
  <c r="M2215" i="1"/>
  <c r="L2215" i="1"/>
  <c r="M2214" i="1"/>
  <c r="L2214" i="1"/>
  <c r="M2213" i="1"/>
  <c r="L2213" i="1"/>
  <c r="M2212" i="1"/>
  <c r="L2212" i="1"/>
  <c r="M2211" i="1"/>
  <c r="L2211" i="1"/>
  <c r="M2210" i="1"/>
  <c r="L2210" i="1"/>
  <c r="M2209" i="1"/>
  <c r="L2209" i="1"/>
  <c r="M2208" i="1"/>
  <c r="L2208" i="1"/>
  <c r="M2207" i="1"/>
  <c r="L2207" i="1"/>
  <c r="M2206" i="1"/>
  <c r="L2206" i="1"/>
  <c r="M2205" i="1"/>
  <c r="L2205" i="1"/>
  <c r="M2204" i="1"/>
  <c r="L2204" i="1"/>
  <c r="M2203" i="1"/>
  <c r="L2203" i="1"/>
  <c r="M2202" i="1"/>
  <c r="L2202" i="1"/>
  <c r="M2201" i="1"/>
  <c r="L2201" i="1"/>
  <c r="M2200" i="1"/>
  <c r="L2200" i="1"/>
  <c r="M2199" i="1"/>
  <c r="L2199" i="1"/>
  <c r="M2198" i="1"/>
  <c r="L2198" i="1"/>
  <c r="M2197" i="1"/>
  <c r="L2197" i="1"/>
  <c r="M2196" i="1"/>
  <c r="L2196" i="1"/>
  <c r="M2195" i="1"/>
  <c r="L2195" i="1"/>
  <c r="M2194" i="1"/>
  <c r="L2194" i="1"/>
  <c r="M2193" i="1"/>
  <c r="L2193" i="1"/>
  <c r="M2192" i="1"/>
  <c r="L2192" i="1"/>
  <c r="M2191" i="1"/>
  <c r="L2191" i="1"/>
  <c r="M2190" i="1"/>
  <c r="L2190" i="1"/>
  <c r="M2189" i="1"/>
  <c r="L2189" i="1"/>
  <c r="M2188" i="1"/>
  <c r="L2188" i="1"/>
  <c r="M2187" i="1"/>
  <c r="L2187" i="1"/>
  <c r="M2186" i="1"/>
  <c r="L2186" i="1"/>
  <c r="M2185" i="1"/>
  <c r="L2185" i="1"/>
  <c r="M2184" i="1"/>
  <c r="L2184" i="1"/>
  <c r="M2183" i="1"/>
  <c r="L2183" i="1"/>
  <c r="M2182" i="1"/>
  <c r="L2182" i="1"/>
  <c r="M2181" i="1"/>
  <c r="L2181" i="1"/>
  <c r="M2180" i="1"/>
  <c r="L2180" i="1"/>
  <c r="M2179" i="1"/>
  <c r="L2179" i="1"/>
  <c r="M2178" i="1"/>
  <c r="L2178" i="1"/>
  <c r="M2177" i="1"/>
  <c r="L2177" i="1"/>
  <c r="M2176" i="1"/>
  <c r="L2176" i="1"/>
  <c r="M2175" i="1"/>
  <c r="L2175" i="1"/>
  <c r="M2174" i="1"/>
  <c r="L2174" i="1"/>
  <c r="M2173" i="1"/>
  <c r="L2173" i="1"/>
  <c r="M2172" i="1"/>
  <c r="L2172" i="1"/>
  <c r="M2171" i="1"/>
  <c r="L2171" i="1"/>
  <c r="M2170" i="1"/>
  <c r="L2170" i="1"/>
  <c r="M2169" i="1"/>
  <c r="L2169" i="1"/>
  <c r="M2168" i="1"/>
  <c r="L2168" i="1"/>
  <c r="M2167" i="1"/>
  <c r="L2167" i="1"/>
  <c r="M2166" i="1"/>
  <c r="L2166" i="1"/>
  <c r="M2165" i="1"/>
  <c r="L2165" i="1"/>
  <c r="M2164" i="1"/>
  <c r="L2164" i="1"/>
  <c r="M2163" i="1"/>
  <c r="L2163" i="1"/>
  <c r="M2162" i="1"/>
  <c r="L2162" i="1"/>
  <c r="M2161" i="1"/>
  <c r="L2161" i="1"/>
  <c r="M2160" i="1"/>
  <c r="L2160" i="1"/>
  <c r="M2159" i="1"/>
  <c r="L2159" i="1"/>
  <c r="M2158" i="1"/>
  <c r="L2158" i="1"/>
  <c r="M2157" i="1"/>
  <c r="L2157" i="1"/>
  <c r="M2156" i="1"/>
  <c r="L2156" i="1"/>
  <c r="M2155" i="1"/>
  <c r="L2155" i="1"/>
  <c r="M2154" i="1"/>
  <c r="L2154" i="1"/>
  <c r="M2153" i="1"/>
  <c r="L2153" i="1"/>
  <c r="M2152" i="1"/>
  <c r="L2152" i="1"/>
  <c r="M2151" i="1"/>
  <c r="L2151" i="1"/>
  <c r="M2150" i="1"/>
  <c r="L2150" i="1"/>
  <c r="M2149" i="1"/>
  <c r="L2149" i="1"/>
  <c r="M2148" i="1"/>
  <c r="L2148" i="1"/>
  <c r="M2147" i="1"/>
  <c r="L2147" i="1"/>
  <c r="M2146" i="1"/>
  <c r="L2146" i="1"/>
  <c r="M2145" i="1"/>
  <c r="L2145" i="1"/>
  <c r="M2144" i="1"/>
  <c r="L2144" i="1"/>
  <c r="M2143" i="1"/>
  <c r="L2143" i="1"/>
  <c r="M2142" i="1"/>
  <c r="L2142" i="1"/>
  <c r="M2141" i="1"/>
  <c r="L2141" i="1"/>
  <c r="M2140" i="1"/>
  <c r="L2140" i="1"/>
  <c r="M2139" i="1"/>
  <c r="L2139" i="1"/>
  <c r="M2138" i="1"/>
  <c r="L2138" i="1"/>
  <c r="M2137" i="1"/>
  <c r="L2137" i="1"/>
  <c r="M2136" i="1"/>
  <c r="L2136" i="1"/>
  <c r="M2135" i="1"/>
  <c r="L2135" i="1"/>
  <c r="M2134" i="1"/>
  <c r="L2134" i="1"/>
  <c r="M2133" i="1"/>
  <c r="L2133" i="1"/>
  <c r="M2132" i="1"/>
  <c r="L2132" i="1"/>
  <c r="M2131" i="1"/>
  <c r="L2131" i="1"/>
  <c r="M2130" i="1"/>
  <c r="L2130" i="1"/>
  <c r="M2129" i="1"/>
  <c r="L2129" i="1"/>
  <c r="M2128" i="1"/>
  <c r="L2128" i="1"/>
  <c r="M2127" i="1"/>
  <c r="L2127" i="1"/>
  <c r="M2126" i="1"/>
  <c r="L2126" i="1"/>
  <c r="M2125" i="1"/>
  <c r="L2125" i="1"/>
  <c r="M2124" i="1"/>
  <c r="L2124" i="1"/>
  <c r="M2123" i="1"/>
  <c r="L2123" i="1"/>
  <c r="M2122" i="1"/>
  <c r="L2122" i="1"/>
  <c r="M2121" i="1"/>
  <c r="L2121" i="1"/>
  <c r="M2120" i="1"/>
  <c r="L2120" i="1"/>
  <c r="M2119" i="1"/>
  <c r="L2119" i="1"/>
  <c r="M2118" i="1"/>
  <c r="L2118" i="1"/>
  <c r="M2117" i="1"/>
  <c r="L2117" i="1"/>
  <c r="M2116" i="1"/>
  <c r="L2116" i="1"/>
  <c r="M2115" i="1"/>
  <c r="L2115" i="1"/>
  <c r="M2114" i="1"/>
  <c r="L2114" i="1"/>
  <c r="M2113" i="1"/>
  <c r="L2113" i="1"/>
  <c r="M2112" i="1"/>
  <c r="L2112" i="1"/>
  <c r="M2111" i="1"/>
  <c r="L2111" i="1"/>
  <c r="M2110" i="1"/>
  <c r="L2110" i="1"/>
  <c r="M2109" i="1"/>
  <c r="L2109" i="1"/>
  <c r="M2108" i="1"/>
  <c r="L2108" i="1"/>
  <c r="M2107" i="1"/>
  <c r="L2107" i="1"/>
  <c r="M2106" i="1"/>
  <c r="L2106" i="1"/>
  <c r="M2105" i="1"/>
  <c r="L2105" i="1"/>
  <c r="M2104" i="1"/>
  <c r="L2104" i="1"/>
  <c r="M2103" i="1"/>
  <c r="L2103" i="1"/>
  <c r="M2102" i="1"/>
  <c r="L2102" i="1"/>
  <c r="M2101" i="1"/>
  <c r="L2101" i="1"/>
  <c r="M2100" i="1"/>
  <c r="L2100" i="1"/>
  <c r="M2099" i="1"/>
  <c r="L2099" i="1"/>
  <c r="M2098" i="1"/>
  <c r="L2098" i="1"/>
  <c r="M2097" i="1"/>
  <c r="L2097" i="1"/>
  <c r="M2096" i="1"/>
  <c r="L2096" i="1"/>
  <c r="M2095" i="1"/>
  <c r="L2095" i="1"/>
  <c r="M2094" i="1"/>
  <c r="L2094" i="1"/>
  <c r="M2093" i="1"/>
  <c r="L2093" i="1"/>
  <c r="M2092" i="1"/>
  <c r="L2092" i="1"/>
  <c r="M2091" i="1"/>
  <c r="L2091" i="1"/>
  <c r="M2090" i="1"/>
  <c r="L2090" i="1"/>
  <c r="M2089" i="1"/>
  <c r="L2089" i="1"/>
  <c r="M2088" i="1"/>
  <c r="L2088" i="1"/>
  <c r="M2087" i="1"/>
  <c r="L2087" i="1"/>
  <c r="M2086" i="1"/>
  <c r="L2086" i="1"/>
  <c r="M2085" i="1"/>
  <c r="L2085" i="1"/>
  <c r="M2084" i="1"/>
  <c r="L2084" i="1"/>
  <c r="M2083" i="1"/>
  <c r="L2083" i="1"/>
  <c r="M2082" i="1"/>
  <c r="L2082" i="1"/>
  <c r="M2081" i="1"/>
  <c r="L2081" i="1"/>
  <c r="M2080" i="1"/>
  <c r="L2080" i="1"/>
  <c r="M2079" i="1"/>
  <c r="L2079" i="1"/>
  <c r="M2078" i="1"/>
  <c r="L2078" i="1"/>
  <c r="M2077" i="1"/>
  <c r="L2077" i="1"/>
  <c r="M2076" i="1"/>
  <c r="L2076" i="1"/>
  <c r="M2075" i="1"/>
  <c r="L2075" i="1"/>
  <c r="M2074" i="1"/>
  <c r="L2074" i="1"/>
  <c r="M2073" i="1"/>
  <c r="L2073" i="1"/>
  <c r="M2072" i="1"/>
  <c r="L2072" i="1"/>
  <c r="M2071" i="1"/>
  <c r="L2071" i="1"/>
  <c r="M2070" i="1"/>
  <c r="L2070" i="1"/>
  <c r="M2069" i="1"/>
  <c r="L2069" i="1"/>
  <c r="M2068" i="1"/>
  <c r="L2068" i="1"/>
  <c r="M2067" i="1"/>
  <c r="L2067" i="1"/>
  <c r="M2066" i="1"/>
  <c r="L2066" i="1"/>
  <c r="M2065" i="1"/>
  <c r="L2065" i="1"/>
  <c r="M2064" i="1"/>
  <c r="L2064" i="1"/>
  <c r="M2063" i="1"/>
  <c r="L2063" i="1"/>
  <c r="M2062" i="1"/>
  <c r="L2062" i="1"/>
  <c r="M2061" i="1"/>
  <c r="L2061" i="1"/>
  <c r="M2060" i="1"/>
  <c r="L2060" i="1"/>
  <c r="M2059" i="1"/>
  <c r="L2059" i="1"/>
  <c r="M2058" i="1"/>
  <c r="L2058" i="1"/>
  <c r="M2057" i="1"/>
  <c r="L2057" i="1"/>
  <c r="M2056" i="1"/>
  <c r="L2056" i="1"/>
  <c r="M2055" i="1"/>
  <c r="L2055" i="1"/>
  <c r="M2054" i="1"/>
  <c r="L2054" i="1"/>
  <c r="M2053" i="1"/>
  <c r="L2053" i="1"/>
  <c r="M2052" i="1"/>
  <c r="L2052" i="1"/>
  <c r="M2051" i="1"/>
  <c r="L2051" i="1"/>
  <c r="M2050" i="1"/>
  <c r="L2050" i="1"/>
  <c r="M2049" i="1"/>
  <c r="L2049" i="1"/>
  <c r="M2048" i="1"/>
  <c r="L2048" i="1"/>
  <c r="M2047" i="1"/>
  <c r="L2047" i="1"/>
  <c r="M2046" i="1"/>
  <c r="L2046" i="1"/>
  <c r="M2045" i="1"/>
  <c r="L2045" i="1"/>
  <c r="M2044" i="1"/>
  <c r="L2044" i="1"/>
  <c r="M2043" i="1"/>
  <c r="L2043" i="1"/>
  <c r="M2042" i="1"/>
  <c r="L2042" i="1"/>
  <c r="M2041" i="1"/>
  <c r="L2041" i="1"/>
  <c r="M2040" i="1"/>
  <c r="L2040" i="1"/>
  <c r="M2039" i="1"/>
  <c r="L2039" i="1"/>
  <c r="M2038" i="1"/>
  <c r="L2038" i="1"/>
  <c r="M2037" i="1"/>
  <c r="L2037" i="1"/>
  <c r="M2036" i="1"/>
  <c r="L2036" i="1"/>
  <c r="M2035" i="1"/>
  <c r="L2035" i="1"/>
  <c r="M2034" i="1"/>
  <c r="L2034" i="1"/>
  <c r="M2033" i="1"/>
  <c r="L2033" i="1"/>
  <c r="M2032" i="1"/>
  <c r="L2032" i="1"/>
  <c r="M2031" i="1"/>
  <c r="L2031" i="1"/>
  <c r="M2030" i="1"/>
  <c r="L2030" i="1"/>
  <c r="M2029" i="1"/>
  <c r="L2029" i="1"/>
  <c r="M2028" i="1"/>
  <c r="L2028" i="1"/>
  <c r="M2027" i="1"/>
  <c r="L2027" i="1"/>
  <c r="M2026" i="1"/>
  <c r="L2026" i="1"/>
  <c r="M2025" i="1"/>
  <c r="L2025" i="1"/>
  <c r="M2024" i="1"/>
  <c r="L2024" i="1"/>
  <c r="M2023" i="1"/>
  <c r="L2023" i="1"/>
  <c r="M2022" i="1"/>
  <c r="L2022" i="1"/>
  <c r="M2021" i="1"/>
  <c r="L2021" i="1"/>
  <c r="M2020" i="1"/>
  <c r="L2020" i="1"/>
  <c r="M2019" i="1"/>
  <c r="L2019" i="1"/>
  <c r="M2018" i="1"/>
  <c r="L2018" i="1"/>
  <c r="M2017" i="1"/>
  <c r="L2017" i="1"/>
  <c r="M2016" i="1"/>
  <c r="L2016" i="1"/>
  <c r="M2015" i="1"/>
  <c r="L2015" i="1"/>
  <c r="M2014" i="1"/>
  <c r="L2014" i="1"/>
  <c r="M2013" i="1"/>
  <c r="L2013" i="1"/>
  <c r="M2012" i="1"/>
  <c r="L2012" i="1"/>
  <c r="M2011" i="1"/>
  <c r="L2011" i="1"/>
  <c r="M2010" i="1"/>
  <c r="L2010" i="1"/>
  <c r="M2009" i="1"/>
  <c r="L2009" i="1"/>
  <c r="M2008" i="1"/>
  <c r="L2008" i="1"/>
  <c r="M2007" i="1"/>
  <c r="L2007" i="1"/>
  <c r="M2006" i="1"/>
  <c r="L2006" i="1"/>
  <c r="M2005" i="1"/>
  <c r="L2005" i="1"/>
  <c r="M2004" i="1"/>
  <c r="L2004" i="1"/>
  <c r="M2003" i="1"/>
  <c r="L2003" i="1"/>
  <c r="M2002" i="1"/>
  <c r="L2002" i="1"/>
  <c r="M2001" i="1"/>
  <c r="L2001" i="1"/>
  <c r="M2000" i="1"/>
  <c r="L2000" i="1"/>
  <c r="M1999" i="1"/>
  <c r="L1999" i="1"/>
  <c r="M1998" i="1"/>
  <c r="L1998" i="1"/>
  <c r="M1997" i="1"/>
  <c r="L1997" i="1"/>
  <c r="M1996" i="1"/>
  <c r="L1996" i="1"/>
  <c r="M1995" i="1"/>
  <c r="L1995" i="1"/>
  <c r="M1994" i="1"/>
  <c r="L1994" i="1"/>
  <c r="M1993" i="1"/>
  <c r="L1993" i="1"/>
  <c r="M1992" i="1"/>
  <c r="L1992" i="1"/>
  <c r="M1991" i="1"/>
  <c r="L1991" i="1"/>
  <c r="M1990" i="1"/>
  <c r="L1990" i="1"/>
  <c r="M1989" i="1"/>
  <c r="L1989" i="1"/>
  <c r="M1988" i="1"/>
  <c r="L1988" i="1"/>
  <c r="M1987" i="1"/>
  <c r="L1987" i="1"/>
  <c r="M1986" i="1"/>
  <c r="L1986" i="1"/>
  <c r="M1985" i="1"/>
  <c r="L1985" i="1"/>
  <c r="M1984" i="1"/>
  <c r="L1984" i="1"/>
  <c r="M1983" i="1"/>
  <c r="L1983" i="1"/>
  <c r="M1982" i="1"/>
  <c r="L1982" i="1"/>
  <c r="M1981" i="1"/>
  <c r="L1981" i="1"/>
  <c r="M1980" i="1"/>
  <c r="L1980" i="1"/>
  <c r="M1979" i="1"/>
  <c r="L1979" i="1"/>
  <c r="M1978" i="1"/>
  <c r="L1978" i="1"/>
  <c r="M1977" i="1"/>
  <c r="L1977" i="1"/>
  <c r="M1976" i="1"/>
  <c r="L1976" i="1"/>
  <c r="M1975" i="1"/>
  <c r="L1975" i="1"/>
  <c r="M1974" i="1"/>
  <c r="L1974" i="1"/>
  <c r="M1973" i="1"/>
  <c r="L1973" i="1"/>
  <c r="M1972" i="1"/>
  <c r="L1972" i="1"/>
  <c r="M1971" i="1"/>
  <c r="L1971" i="1"/>
  <c r="M1970" i="1"/>
  <c r="L1970" i="1"/>
  <c r="M1969" i="1"/>
  <c r="L1969" i="1"/>
  <c r="M1968" i="1"/>
  <c r="L1968" i="1"/>
  <c r="M1967" i="1"/>
  <c r="L1967" i="1"/>
  <c r="M1966" i="1"/>
  <c r="L1966" i="1"/>
  <c r="M1965" i="1"/>
  <c r="L1965" i="1"/>
  <c r="M1964" i="1"/>
  <c r="L1964" i="1"/>
  <c r="M1963" i="1"/>
  <c r="L1963" i="1"/>
  <c r="M1962" i="1"/>
  <c r="L1962" i="1"/>
  <c r="M1961" i="1"/>
  <c r="L1961" i="1"/>
  <c r="M1960" i="1"/>
  <c r="L1960" i="1"/>
  <c r="M1959" i="1"/>
  <c r="L1959" i="1"/>
  <c r="M1958" i="1"/>
  <c r="L1958" i="1"/>
  <c r="M1957" i="1"/>
  <c r="L1957" i="1"/>
  <c r="M1956" i="1"/>
  <c r="L1956" i="1"/>
  <c r="M1955" i="1"/>
  <c r="L1955" i="1"/>
  <c r="M1954" i="1"/>
  <c r="L1954" i="1"/>
  <c r="M1953" i="1"/>
  <c r="L1953" i="1"/>
  <c r="M1952" i="1"/>
  <c r="L1952" i="1"/>
  <c r="M1951" i="1"/>
  <c r="L1951" i="1"/>
  <c r="M1950" i="1"/>
  <c r="L1950" i="1"/>
  <c r="M1949" i="1"/>
  <c r="L1949" i="1"/>
  <c r="M1948" i="1"/>
  <c r="L1948" i="1"/>
  <c r="M1947" i="1"/>
  <c r="L1947" i="1"/>
  <c r="M1946" i="1"/>
  <c r="L1946" i="1"/>
  <c r="M1945" i="1"/>
  <c r="L1945" i="1"/>
  <c r="M1944" i="1"/>
  <c r="L1944" i="1"/>
  <c r="M1943" i="1"/>
  <c r="L1943" i="1"/>
  <c r="M1942" i="1"/>
  <c r="L1942" i="1"/>
  <c r="M1941" i="1"/>
  <c r="L1941" i="1"/>
  <c r="M1940" i="1"/>
  <c r="L1940" i="1"/>
  <c r="M1939" i="1"/>
  <c r="L1939" i="1"/>
  <c r="M1938" i="1"/>
  <c r="L1938" i="1"/>
  <c r="M1937" i="1"/>
  <c r="L1937" i="1"/>
  <c r="M1936" i="1"/>
  <c r="L1936" i="1"/>
  <c r="M1935" i="1"/>
  <c r="L1935" i="1"/>
  <c r="M1934" i="1"/>
  <c r="L1934" i="1"/>
  <c r="M1933" i="1"/>
  <c r="L1933" i="1"/>
  <c r="M1932" i="1"/>
  <c r="L1932" i="1"/>
  <c r="M1931" i="1"/>
  <c r="L1931" i="1"/>
  <c r="M1930" i="1"/>
  <c r="L1930" i="1"/>
  <c r="M1929" i="1"/>
  <c r="L1929" i="1"/>
  <c r="M1928" i="1"/>
  <c r="L1928" i="1"/>
  <c r="M1927" i="1"/>
  <c r="L1927" i="1"/>
  <c r="M1926" i="1"/>
  <c r="L1926" i="1"/>
  <c r="M1925" i="1"/>
  <c r="L1925" i="1"/>
  <c r="M1924" i="1"/>
  <c r="L1924" i="1"/>
  <c r="M1923" i="1"/>
  <c r="L1923" i="1"/>
  <c r="M1922" i="1"/>
  <c r="L1922" i="1"/>
  <c r="M1921" i="1"/>
  <c r="L1921" i="1"/>
  <c r="M1920" i="1"/>
  <c r="L1920" i="1"/>
  <c r="M1919" i="1"/>
  <c r="L1919" i="1"/>
  <c r="M1918" i="1"/>
  <c r="L1918" i="1"/>
  <c r="M1917" i="1"/>
  <c r="L1917" i="1"/>
  <c r="M1916" i="1"/>
  <c r="L1916" i="1"/>
  <c r="M1915" i="1"/>
  <c r="L1915" i="1"/>
  <c r="M1914" i="1"/>
  <c r="L1914" i="1"/>
  <c r="M1913" i="1"/>
  <c r="L1913" i="1"/>
  <c r="M1912" i="1"/>
  <c r="L1912" i="1"/>
  <c r="M1911" i="1"/>
  <c r="L1911" i="1"/>
  <c r="M1910" i="1"/>
  <c r="L1910" i="1"/>
  <c r="M1909" i="1"/>
  <c r="L1909" i="1"/>
  <c r="M1908" i="1"/>
  <c r="L1908" i="1"/>
  <c r="M1907" i="1"/>
  <c r="L1907" i="1"/>
  <c r="M1906" i="1"/>
  <c r="L1906" i="1"/>
  <c r="M1905" i="1"/>
  <c r="L1905" i="1"/>
  <c r="M1904" i="1"/>
  <c r="L1904" i="1"/>
  <c r="M1903" i="1"/>
  <c r="L1903" i="1"/>
  <c r="M1902" i="1"/>
  <c r="L1902" i="1"/>
  <c r="M1901" i="1"/>
  <c r="L1901" i="1"/>
  <c r="M1900" i="1"/>
  <c r="L1900" i="1"/>
  <c r="M1899" i="1"/>
  <c r="L1899" i="1"/>
  <c r="M1898" i="1"/>
  <c r="L1898" i="1"/>
  <c r="M1897" i="1"/>
  <c r="L1897" i="1"/>
  <c r="M1896" i="1"/>
  <c r="L1896" i="1"/>
  <c r="M1895" i="1"/>
  <c r="L1895" i="1"/>
  <c r="M1894" i="1"/>
  <c r="L1894" i="1"/>
  <c r="M1893" i="1"/>
  <c r="L1893" i="1"/>
  <c r="M1892" i="1"/>
  <c r="L1892" i="1"/>
  <c r="M1891" i="1"/>
  <c r="L1891" i="1"/>
  <c r="M1890" i="1"/>
  <c r="L1890" i="1"/>
  <c r="M1889" i="1"/>
  <c r="L1889" i="1"/>
  <c r="M1888" i="1"/>
  <c r="L1888" i="1"/>
  <c r="M1887" i="1"/>
  <c r="L1887" i="1"/>
  <c r="M1886" i="1"/>
  <c r="L1886" i="1"/>
  <c r="M1885" i="1"/>
  <c r="L1885" i="1"/>
  <c r="M1884" i="1"/>
  <c r="L1884" i="1"/>
  <c r="M1883" i="1"/>
  <c r="L1883" i="1"/>
  <c r="M1882" i="1"/>
  <c r="L1882" i="1"/>
  <c r="M1881" i="1"/>
  <c r="L1881" i="1"/>
  <c r="M1880" i="1"/>
  <c r="L1880" i="1"/>
  <c r="M1879" i="1"/>
  <c r="L1879" i="1"/>
  <c r="M1878" i="1"/>
  <c r="L1878" i="1"/>
  <c r="M1877" i="1"/>
  <c r="L1877" i="1"/>
  <c r="M1876" i="1"/>
  <c r="L1876" i="1"/>
  <c r="M1875" i="1"/>
  <c r="L1875" i="1"/>
  <c r="M1874" i="1"/>
  <c r="L1874" i="1"/>
  <c r="M1873" i="1"/>
  <c r="L1873" i="1"/>
  <c r="M1872" i="1"/>
  <c r="L1872" i="1"/>
  <c r="M1871" i="1"/>
  <c r="L1871" i="1"/>
  <c r="M1870" i="1"/>
  <c r="L1870" i="1"/>
  <c r="M1869" i="1"/>
  <c r="L1869" i="1"/>
  <c r="M1868" i="1"/>
  <c r="L1868" i="1"/>
  <c r="M1867" i="1"/>
  <c r="L1867" i="1"/>
  <c r="M1866" i="1"/>
  <c r="L1866" i="1"/>
  <c r="M1865" i="1"/>
  <c r="L1865" i="1"/>
  <c r="M1864" i="1"/>
  <c r="L1864" i="1"/>
  <c r="M1863" i="1"/>
  <c r="L1863" i="1"/>
  <c r="M1862" i="1"/>
  <c r="L1862" i="1"/>
  <c r="M1861" i="1"/>
  <c r="L1861" i="1"/>
  <c r="M1860" i="1"/>
  <c r="L1860" i="1"/>
  <c r="M1859" i="1"/>
  <c r="L1859" i="1"/>
  <c r="M1858" i="1"/>
  <c r="L1858" i="1"/>
  <c r="M1857" i="1"/>
  <c r="L1857" i="1"/>
  <c r="M1856" i="1"/>
  <c r="L1856" i="1"/>
  <c r="M1855" i="1"/>
  <c r="L1855" i="1"/>
  <c r="M1854" i="1"/>
  <c r="L1854" i="1"/>
  <c r="M1853" i="1"/>
  <c r="L1853" i="1"/>
  <c r="M1852" i="1"/>
  <c r="L1852" i="1"/>
  <c r="M1851" i="1"/>
  <c r="L1851" i="1"/>
  <c r="M1850" i="1"/>
  <c r="L1850" i="1"/>
  <c r="M1849" i="1"/>
  <c r="L1849" i="1"/>
  <c r="M1848" i="1"/>
  <c r="L1848" i="1"/>
  <c r="M1847" i="1"/>
  <c r="L1847" i="1"/>
  <c r="M1846" i="1"/>
  <c r="L1846" i="1"/>
  <c r="M1845" i="1"/>
  <c r="L1845" i="1"/>
  <c r="M1844" i="1"/>
  <c r="L1844" i="1"/>
  <c r="M1843" i="1"/>
  <c r="L1843" i="1"/>
  <c r="M1842" i="1"/>
  <c r="L1842" i="1"/>
  <c r="M1841" i="1"/>
  <c r="L1841" i="1"/>
  <c r="M1840" i="1"/>
  <c r="L1840" i="1"/>
  <c r="M1839" i="1"/>
  <c r="L1839" i="1"/>
  <c r="M1838" i="1"/>
  <c r="L1838" i="1"/>
  <c r="M1837" i="1"/>
  <c r="L1837" i="1"/>
  <c r="M1836" i="1"/>
  <c r="L1836" i="1"/>
  <c r="M1835" i="1"/>
  <c r="L1835" i="1"/>
  <c r="M1834" i="1"/>
  <c r="L1834" i="1"/>
  <c r="M1833" i="1"/>
  <c r="L1833" i="1"/>
  <c r="M1832" i="1"/>
  <c r="L1832" i="1"/>
  <c r="M1831" i="1"/>
  <c r="L1831" i="1"/>
  <c r="M1830" i="1"/>
  <c r="L1830" i="1"/>
  <c r="M1829" i="1"/>
  <c r="L1829" i="1"/>
  <c r="M1828" i="1"/>
  <c r="L1828" i="1"/>
  <c r="M1827" i="1"/>
  <c r="L1827" i="1"/>
  <c r="M1826" i="1"/>
  <c r="L1826" i="1"/>
  <c r="M1825" i="1"/>
  <c r="L1825" i="1"/>
  <c r="M1824" i="1"/>
  <c r="L1824" i="1"/>
  <c r="M1823" i="1"/>
  <c r="L1823" i="1"/>
  <c r="M1822" i="1"/>
  <c r="L1822" i="1"/>
  <c r="M1821" i="1"/>
  <c r="L1821" i="1"/>
  <c r="M1820" i="1"/>
  <c r="L1820" i="1"/>
  <c r="M1819" i="1"/>
  <c r="L1819" i="1"/>
  <c r="M1818" i="1"/>
  <c r="L1818" i="1"/>
  <c r="M1817" i="1"/>
  <c r="L1817" i="1"/>
  <c r="M1816" i="1"/>
  <c r="L1816" i="1"/>
  <c r="M1815" i="1"/>
  <c r="L1815" i="1"/>
  <c r="M1814" i="1"/>
  <c r="L1814" i="1"/>
  <c r="M1813" i="1"/>
  <c r="L1813" i="1"/>
  <c r="M1812" i="1"/>
  <c r="L1812" i="1"/>
  <c r="M1811" i="1"/>
  <c r="L1811" i="1"/>
  <c r="M1810" i="1"/>
  <c r="L1810" i="1"/>
  <c r="M1809" i="1"/>
  <c r="L1809" i="1"/>
  <c r="M1808" i="1"/>
  <c r="L1808" i="1"/>
  <c r="M1807" i="1"/>
  <c r="L1807" i="1"/>
  <c r="M1806" i="1"/>
  <c r="L1806" i="1"/>
  <c r="M1805" i="1"/>
  <c r="L1805" i="1"/>
  <c r="M1804" i="1"/>
  <c r="L1804" i="1"/>
  <c r="M1803" i="1"/>
  <c r="L1803" i="1"/>
  <c r="M1802" i="1"/>
  <c r="L1802" i="1"/>
  <c r="M1801" i="1"/>
  <c r="L1801" i="1"/>
  <c r="M1800" i="1"/>
  <c r="L1800" i="1"/>
  <c r="M1799" i="1"/>
  <c r="L1799" i="1"/>
  <c r="M1798" i="1"/>
  <c r="L1798" i="1"/>
  <c r="M1797" i="1"/>
  <c r="L1797" i="1"/>
  <c r="M1796" i="1"/>
  <c r="L1796" i="1"/>
  <c r="M1795" i="1"/>
  <c r="L1795" i="1"/>
  <c r="M1794" i="1"/>
  <c r="L1794" i="1"/>
  <c r="M1793" i="1"/>
  <c r="L1793" i="1"/>
  <c r="M1792" i="1"/>
  <c r="L1792" i="1"/>
  <c r="M1791" i="1"/>
  <c r="L1791" i="1"/>
  <c r="M1790" i="1"/>
  <c r="L1790" i="1"/>
  <c r="M1789" i="1"/>
  <c r="L1789" i="1"/>
  <c r="M1788" i="1"/>
  <c r="L1788" i="1"/>
  <c r="M1787" i="1"/>
  <c r="L1787" i="1"/>
  <c r="M1786" i="1"/>
  <c r="L1786" i="1"/>
  <c r="M1785" i="1"/>
  <c r="L1785" i="1"/>
  <c r="M1784" i="1"/>
  <c r="L1784" i="1"/>
  <c r="M1783" i="1"/>
  <c r="L1783" i="1"/>
  <c r="M1782" i="1"/>
  <c r="L1782" i="1"/>
  <c r="M1781" i="1"/>
  <c r="L1781" i="1"/>
  <c r="M1780" i="1"/>
  <c r="L1780" i="1"/>
  <c r="M1779" i="1"/>
  <c r="L1779" i="1"/>
  <c r="M1778" i="1"/>
  <c r="L1778" i="1"/>
  <c r="M1777" i="1"/>
  <c r="L1777" i="1"/>
  <c r="M1776" i="1"/>
  <c r="L1776" i="1"/>
  <c r="M1775" i="1"/>
  <c r="L1775" i="1"/>
  <c r="M1774" i="1"/>
  <c r="L1774" i="1"/>
  <c r="M1773" i="1"/>
  <c r="L1773" i="1"/>
  <c r="M1772" i="1"/>
  <c r="L1772" i="1"/>
  <c r="M1771" i="1"/>
  <c r="L1771" i="1"/>
  <c r="M1770" i="1"/>
  <c r="L1770" i="1"/>
  <c r="M1769" i="1"/>
  <c r="L1769" i="1"/>
  <c r="M1768" i="1"/>
  <c r="L1768" i="1"/>
  <c r="M1767" i="1"/>
  <c r="L1767" i="1"/>
  <c r="M1766" i="1"/>
  <c r="L1766" i="1"/>
  <c r="M1765" i="1"/>
  <c r="L1765" i="1"/>
  <c r="M1764" i="1"/>
  <c r="L1764" i="1"/>
  <c r="M1763" i="1"/>
  <c r="L1763" i="1"/>
  <c r="M1762" i="1"/>
  <c r="L1762" i="1"/>
  <c r="M1761" i="1"/>
  <c r="L1761" i="1"/>
  <c r="M1760" i="1"/>
  <c r="L1760" i="1"/>
  <c r="M1759" i="1"/>
  <c r="L1759" i="1"/>
  <c r="M1758" i="1"/>
  <c r="L1758" i="1"/>
  <c r="M1757" i="1"/>
  <c r="L1757" i="1"/>
  <c r="M1756" i="1"/>
  <c r="L1756" i="1"/>
  <c r="M1755" i="1"/>
  <c r="L1755" i="1"/>
  <c r="M1754" i="1"/>
  <c r="L1754" i="1"/>
  <c r="M1753" i="1"/>
  <c r="L1753" i="1"/>
  <c r="M1752" i="1"/>
  <c r="L1752" i="1"/>
  <c r="M1751" i="1"/>
  <c r="L1751" i="1"/>
  <c r="M1750" i="1"/>
  <c r="L1750" i="1"/>
  <c r="M1749" i="1"/>
  <c r="L1749" i="1"/>
  <c r="M1748" i="1"/>
  <c r="L1748" i="1"/>
  <c r="M1747" i="1"/>
  <c r="L1747" i="1"/>
  <c r="M1746" i="1"/>
  <c r="L1746" i="1"/>
  <c r="M1745" i="1"/>
  <c r="L1745" i="1"/>
  <c r="M1744" i="1"/>
  <c r="L1744" i="1"/>
  <c r="M1743" i="1"/>
  <c r="L1743" i="1"/>
  <c r="M1742" i="1"/>
  <c r="L1742" i="1"/>
  <c r="M1741" i="1"/>
  <c r="L1741" i="1"/>
  <c r="M1740" i="1"/>
  <c r="L1740" i="1"/>
  <c r="M1739" i="1"/>
  <c r="L1739" i="1"/>
  <c r="M1738" i="1"/>
  <c r="L1738" i="1"/>
  <c r="M1737" i="1"/>
  <c r="L1737" i="1"/>
  <c r="M1736" i="1"/>
  <c r="L1736" i="1"/>
  <c r="M1735" i="1"/>
  <c r="L1735" i="1"/>
  <c r="M1734" i="1"/>
  <c r="L1734" i="1"/>
  <c r="M1733" i="1"/>
  <c r="L1733" i="1"/>
  <c r="M1732" i="1"/>
  <c r="L1732" i="1"/>
  <c r="M1731" i="1"/>
  <c r="L1731" i="1"/>
  <c r="M1730" i="1"/>
  <c r="L1730" i="1"/>
  <c r="M1729" i="1"/>
  <c r="L1729" i="1"/>
  <c r="M1728" i="1"/>
  <c r="L1728" i="1"/>
  <c r="M1727" i="1"/>
  <c r="L1727" i="1"/>
  <c r="M1726" i="1"/>
  <c r="L1726" i="1"/>
  <c r="M1725" i="1"/>
  <c r="L1725" i="1"/>
  <c r="M1724" i="1"/>
  <c r="L1724" i="1"/>
  <c r="M1723" i="1"/>
  <c r="L1723" i="1"/>
  <c r="M1722" i="1"/>
  <c r="L1722" i="1"/>
  <c r="M1721" i="1"/>
  <c r="L1721" i="1"/>
  <c r="M1720" i="1"/>
  <c r="L1720" i="1"/>
  <c r="M1719" i="1"/>
  <c r="L1719" i="1"/>
  <c r="M1718" i="1"/>
  <c r="L1718" i="1"/>
  <c r="M1717" i="1"/>
  <c r="L1717" i="1"/>
  <c r="M1716" i="1"/>
  <c r="L1716" i="1"/>
  <c r="M1715" i="1"/>
  <c r="L1715" i="1"/>
  <c r="M1714" i="1"/>
  <c r="L1714" i="1"/>
  <c r="M1713" i="1"/>
  <c r="L1713" i="1"/>
  <c r="M1712" i="1"/>
  <c r="L1712" i="1"/>
  <c r="M1711" i="1"/>
  <c r="L1711" i="1"/>
  <c r="M1710" i="1"/>
  <c r="L1710" i="1"/>
  <c r="M1709" i="1"/>
  <c r="L1709" i="1"/>
  <c r="M1708" i="1"/>
  <c r="L1708" i="1"/>
  <c r="M1707" i="1"/>
  <c r="L1707" i="1"/>
  <c r="M1706" i="1"/>
  <c r="L1706" i="1"/>
  <c r="M1705" i="1"/>
  <c r="L1705" i="1"/>
  <c r="M1704" i="1"/>
  <c r="L1704" i="1"/>
  <c r="M1703" i="1"/>
  <c r="L1703" i="1"/>
  <c r="M1702" i="1"/>
  <c r="L1702" i="1"/>
  <c r="M1701" i="1"/>
  <c r="L1701" i="1"/>
  <c r="M1700" i="1"/>
  <c r="L1700" i="1"/>
  <c r="M1699" i="1"/>
  <c r="L1699" i="1"/>
  <c r="M1698" i="1"/>
  <c r="L1698" i="1"/>
  <c r="M1697" i="1"/>
  <c r="L1697" i="1"/>
  <c r="M1696" i="1"/>
  <c r="L1696" i="1"/>
  <c r="M1695" i="1"/>
  <c r="L1695" i="1"/>
  <c r="M1694" i="1"/>
  <c r="L1694" i="1"/>
  <c r="M1693" i="1"/>
  <c r="L1693" i="1"/>
  <c r="M1692" i="1"/>
  <c r="L1692" i="1"/>
  <c r="M1691" i="1"/>
  <c r="L1691" i="1"/>
  <c r="M1690" i="1"/>
  <c r="L1690" i="1"/>
  <c r="M1689" i="1"/>
  <c r="L1689" i="1"/>
  <c r="M1688" i="1"/>
  <c r="L1688" i="1"/>
  <c r="M1687" i="1"/>
  <c r="L1687" i="1"/>
  <c r="M1686" i="1"/>
  <c r="L1686" i="1"/>
  <c r="M1685" i="1"/>
  <c r="L1685" i="1"/>
  <c r="M1684" i="1"/>
  <c r="L1684" i="1"/>
  <c r="M1683" i="1"/>
  <c r="L1683" i="1"/>
  <c r="M1682" i="1"/>
  <c r="L1682" i="1"/>
  <c r="M1681" i="1"/>
  <c r="L1681" i="1"/>
  <c r="M1680" i="1"/>
  <c r="L1680" i="1"/>
  <c r="M1679" i="1"/>
  <c r="L1679" i="1"/>
  <c r="M1678" i="1"/>
  <c r="L1678" i="1"/>
  <c r="M1677" i="1"/>
  <c r="L1677" i="1"/>
  <c r="M1676" i="1"/>
  <c r="L1676" i="1"/>
  <c r="M1675" i="1"/>
  <c r="L1675" i="1"/>
  <c r="M1674" i="1"/>
  <c r="L1674" i="1"/>
  <c r="M1673" i="1"/>
  <c r="L1673" i="1"/>
  <c r="M1672" i="1"/>
  <c r="L1672" i="1"/>
  <c r="M1671" i="1"/>
  <c r="L1671" i="1"/>
  <c r="M1670" i="1"/>
  <c r="L1670" i="1"/>
  <c r="M1669" i="1"/>
  <c r="L1669" i="1"/>
  <c r="M1668" i="1"/>
  <c r="L1668" i="1"/>
  <c r="M1667" i="1"/>
  <c r="L1667" i="1"/>
  <c r="M1666" i="1"/>
  <c r="L1666" i="1"/>
  <c r="M1665" i="1"/>
  <c r="L1665" i="1"/>
  <c r="M1664" i="1"/>
  <c r="L1664" i="1"/>
  <c r="M1663" i="1"/>
  <c r="L1663" i="1"/>
  <c r="M1662" i="1"/>
  <c r="L1662" i="1"/>
  <c r="M1661" i="1"/>
  <c r="L1661" i="1"/>
  <c r="M1660" i="1"/>
  <c r="L1660" i="1"/>
  <c r="M1659" i="1"/>
  <c r="L1659" i="1"/>
  <c r="M1658" i="1"/>
  <c r="L1658" i="1"/>
  <c r="M1657" i="1"/>
  <c r="L1657" i="1"/>
  <c r="M1656" i="1"/>
  <c r="L1656" i="1"/>
  <c r="M1655" i="1"/>
  <c r="L1655" i="1"/>
  <c r="M1654" i="1"/>
  <c r="L1654" i="1"/>
  <c r="M1653" i="1"/>
  <c r="L1653" i="1"/>
  <c r="M1652" i="1"/>
  <c r="L1652" i="1"/>
  <c r="M1651" i="1"/>
  <c r="L1651" i="1"/>
  <c r="M1650" i="1"/>
  <c r="L1650" i="1"/>
  <c r="M1649" i="1"/>
  <c r="L1649" i="1"/>
  <c r="M1648" i="1"/>
  <c r="L1648" i="1"/>
  <c r="M1647" i="1"/>
  <c r="L1647" i="1"/>
  <c r="M1646" i="1"/>
  <c r="L1646" i="1"/>
  <c r="M1645" i="1"/>
  <c r="L1645" i="1"/>
  <c r="M1644" i="1"/>
  <c r="L1644" i="1"/>
  <c r="M1643" i="1"/>
  <c r="L1643" i="1"/>
  <c r="M1642" i="1"/>
  <c r="L1642" i="1"/>
  <c r="M1641" i="1"/>
  <c r="L1641" i="1"/>
  <c r="M1640" i="1"/>
  <c r="L1640" i="1"/>
  <c r="M1639" i="1"/>
  <c r="L1639" i="1"/>
  <c r="M1638" i="1"/>
  <c r="L1638" i="1"/>
  <c r="M1637" i="1"/>
  <c r="L1637" i="1"/>
  <c r="M1636" i="1"/>
  <c r="L1636" i="1"/>
  <c r="M1635" i="1"/>
  <c r="L1635" i="1"/>
  <c r="M1634" i="1"/>
  <c r="L1634" i="1"/>
  <c r="M1633" i="1"/>
  <c r="L1633" i="1"/>
  <c r="M1632" i="1"/>
  <c r="L1632" i="1"/>
  <c r="M1631" i="1"/>
  <c r="L1631" i="1"/>
  <c r="M1630" i="1"/>
  <c r="L1630" i="1"/>
  <c r="M1629" i="1"/>
  <c r="L1629" i="1"/>
  <c r="M1628" i="1"/>
  <c r="L1628" i="1"/>
  <c r="M1627" i="1"/>
  <c r="L1627" i="1"/>
  <c r="M1626" i="1"/>
  <c r="L1626" i="1"/>
  <c r="M1625" i="1"/>
  <c r="L1625" i="1"/>
  <c r="M1624" i="1"/>
  <c r="L1624" i="1"/>
  <c r="M1623" i="1"/>
  <c r="L1623" i="1"/>
  <c r="M1622" i="1"/>
  <c r="L1622" i="1"/>
  <c r="M1621" i="1"/>
  <c r="L1621" i="1"/>
  <c r="M1620" i="1"/>
  <c r="L1620" i="1"/>
  <c r="M1619" i="1"/>
  <c r="L1619" i="1"/>
  <c r="M1618" i="1"/>
  <c r="L1618" i="1"/>
  <c r="M1617" i="1"/>
  <c r="L1617" i="1"/>
  <c r="M1616" i="1"/>
  <c r="L1616" i="1"/>
  <c r="M1615" i="1"/>
  <c r="L1615" i="1"/>
  <c r="M1614" i="1"/>
  <c r="L1614" i="1"/>
  <c r="M1613" i="1"/>
  <c r="L1613" i="1"/>
  <c r="M1612" i="1"/>
  <c r="L1612" i="1"/>
  <c r="M1611" i="1"/>
  <c r="L1611" i="1"/>
  <c r="M1610" i="1"/>
  <c r="L1610" i="1"/>
  <c r="M1609" i="1"/>
  <c r="L1609" i="1"/>
  <c r="M1608" i="1"/>
  <c r="L1608" i="1"/>
  <c r="M1607" i="1"/>
  <c r="L1607" i="1"/>
  <c r="M1606" i="1"/>
  <c r="L1606" i="1"/>
  <c r="M1605" i="1"/>
  <c r="L1605" i="1"/>
  <c r="M1604" i="1"/>
  <c r="L1604" i="1"/>
  <c r="M1603" i="1"/>
  <c r="L1603" i="1"/>
  <c r="M1602" i="1"/>
  <c r="L1602" i="1"/>
  <c r="M1601" i="1"/>
  <c r="L1601" i="1"/>
  <c r="M1600" i="1"/>
  <c r="L1600" i="1"/>
  <c r="M1599" i="1"/>
  <c r="L1599" i="1"/>
  <c r="M1598" i="1"/>
  <c r="L1598" i="1"/>
  <c r="M1597" i="1"/>
  <c r="L1597" i="1"/>
  <c r="M1596" i="1"/>
  <c r="L1596" i="1"/>
  <c r="M1595" i="1"/>
  <c r="L1595" i="1"/>
  <c r="M1594" i="1"/>
  <c r="L1594" i="1"/>
  <c r="M1593" i="1"/>
  <c r="L1593" i="1"/>
  <c r="M1592" i="1"/>
  <c r="L1592" i="1"/>
  <c r="M1591" i="1"/>
  <c r="L1591" i="1"/>
  <c r="M1590" i="1"/>
  <c r="L1590" i="1"/>
  <c r="M1589" i="1"/>
  <c r="L1589" i="1"/>
  <c r="M1588" i="1"/>
  <c r="L1588" i="1"/>
  <c r="M1587" i="1"/>
  <c r="L1587" i="1"/>
  <c r="M1586" i="1"/>
  <c r="L1586" i="1"/>
  <c r="M1585" i="1"/>
  <c r="L1585" i="1"/>
  <c r="M1584" i="1"/>
  <c r="L1584" i="1"/>
  <c r="M1583" i="1"/>
  <c r="L1583" i="1"/>
  <c r="M1582" i="1"/>
  <c r="L1582" i="1"/>
  <c r="M1581" i="1"/>
  <c r="L1581" i="1"/>
  <c r="M1580" i="1"/>
  <c r="L1580" i="1"/>
  <c r="M1579" i="1"/>
  <c r="L1579" i="1"/>
  <c r="M1578" i="1"/>
  <c r="L1578" i="1"/>
  <c r="M1577" i="1"/>
  <c r="L1577" i="1"/>
  <c r="M1576" i="1"/>
  <c r="L1576" i="1"/>
  <c r="M1575" i="1"/>
  <c r="L1575" i="1"/>
  <c r="M1574" i="1"/>
  <c r="L1574" i="1"/>
  <c r="M1573" i="1"/>
  <c r="L1573" i="1"/>
  <c r="M1572" i="1"/>
  <c r="L1572" i="1"/>
  <c r="M1571" i="1"/>
  <c r="L1571" i="1"/>
  <c r="M1570" i="1"/>
  <c r="L1570" i="1"/>
  <c r="M1569" i="1"/>
  <c r="L1569" i="1"/>
  <c r="M1568" i="1"/>
  <c r="L1568" i="1"/>
  <c r="M1567" i="1"/>
  <c r="L1567" i="1"/>
  <c r="M1566" i="1"/>
  <c r="L1566" i="1"/>
  <c r="M1565" i="1"/>
  <c r="L1565" i="1"/>
  <c r="M1564" i="1"/>
  <c r="L1564" i="1"/>
  <c r="M1563" i="1"/>
  <c r="L1563" i="1"/>
  <c r="M1562" i="1"/>
  <c r="L1562" i="1"/>
  <c r="M1561" i="1"/>
  <c r="L1561" i="1"/>
  <c r="M1560" i="1"/>
  <c r="L1560" i="1"/>
  <c r="M1559" i="1"/>
  <c r="L1559" i="1"/>
  <c r="M1558" i="1"/>
  <c r="L1558" i="1"/>
  <c r="M1557" i="1"/>
  <c r="L1557" i="1"/>
  <c r="M1556" i="1"/>
  <c r="L1556" i="1"/>
  <c r="M1555" i="1"/>
  <c r="L1555" i="1"/>
  <c r="M1554" i="1"/>
  <c r="L1554" i="1"/>
  <c r="M1553" i="1"/>
  <c r="L1553" i="1"/>
  <c r="M1552" i="1"/>
  <c r="L1552" i="1"/>
  <c r="M1551" i="1"/>
  <c r="L1551" i="1"/>
  <c r="M1550" i="1"/>
  <c r="L1550" i="1"/>
  <c r="M1549" i="1"/>
  <c r="L1549" i="1"/>
  <c r="M1548" i="1"/>
  <c r="L1548" i="1"/>
  <c r="M1547" i="1"/>
  <c r="L1547" i="1"/>
  <c r="M1546" i="1"/>
  <c r="L1546" i="1"/>
  <c r="M1545" i="1"/>
  <c r="L1545" i="1"/>
  <c r="M1544" i="1"/>
  <c r="L1544" i="1"/>
  <c r="M1543" i="1"/>
  <c r="L1543" i="1"/>
  <c r="M1542" i="1"/>
  <c r="L1542" i="1"/>
  <c r="M1541" i="1"/>
  <c r="L1541" i="1"/>
  <c r="M1540" i="1"/>
  <c r="L1540" i="1"/>
  <c r="M1539" i="1"/>
  <c r="L1539" i="1"/>
  <c r="M1538" i="1"/>
  <c r="L1538" i="1"/>
  <c r="M1537" i="1"/>
  <c r="L1537" i="1"/>
  <c r="M1536" i="1"/>
  <c r="L1536" i="1"/>
  <c r="M1535" i="1"/>
  <c r="L1535" i="1"/>
  <c r="M1534" i="1"/>
  <c r="L1534" i="1"/>
  <c r="M1533" i="1"/>
  <c r="L1533" i="1"/>
  <c r="M1532" i="1"/>
  <c r="L1532" i="1"/>
  <c r="M1531" i="1"/>
  <c r="L1531" i="1"/>
  <c r="M1530" i="1"/>
  <c r="L1530" i="1"/>
  <c r="M1529" i="1"/>
  <c r="L1529" i="1"/>
  <c r="M1528" i="1"/>
  <c r="L1528" i="1"/>
  <c r="M1527" i="1"/>
  <c r="L1527" i="1"/>
  <c r="M1526" i="1"/>
  <c r="L1526" i="1"/>
  <c r="M1525" i="1"/>
  <c r="L1525" i="1"/>
  <c r="M1524" i="1"/>
  <c r="L1524" i="1"/>
  <c r="M1523" i="1"/>
  <c r="L1523" i="1"/>
  <c r="M1522" i="1"/>
  <c r="L1522" i="1"/>
  <c r="M1521" i="1"/>
  <c r="L1521" i="1"/>
  <c r="M1520" i="1"/>
  <c r="L1520" i="1"/>
  <c r="M1519" i="1"/>
  <c r="L1519" i="1"/>
  <c r="M1518" i="1"/>
  <c r="L1518" i="1"/>
  <c r="M1517" i="1"/>
  <c r="L1517" i="1"/>
  <c r="M1516" i="1"/>
  <c r="L1516" i="1"/>
  <c r="M1515" i="1"/>
  <c r="L1515" i="1"/>
  <c r="M1514" i="1"/>
  <c r="L1514" i="1"/>
  <c r="M1513" i="1"/>
  <c r="L1513" i="1"/>
  <c r="M1512" i="1"/>
  <c r="L1512" i="1"/>
  <c r="M1511" i="1"/>
  <c r="L1511" i="1"/>
  <c r="M1510" i="1"/>
  <c r="L1510" i="1"/>
  <c r="M1509" i="1"/>
  <c r="L1509" i="1"/>
  <c r="M1508" i="1"/>
  <c r="L1508" i="1"/>
  <c r="M1507" i="1"/>
  <c r="L1507" i="1"/>
  <c r="M1506" i="1"/>
  <c r="L1506" i="1"/>
  <c r="M1505" i="1"/>
  <c r="L1505" i="1"/>
  <c r="M1504" i="1"/>
  <c r="L1504" i="1"/>
  <c r="M1503" i="1"/>
  <c r="L1503" i="1"/>
  <c r="M1502" i="1"/>
  <c r="L1502" i="1"/>
  <c r="M1501" i="1"/>
  <c r="L1501" i="1"/>
  <c r="M1500" i="1"/>
  <c r="L1500" i="1"/>
  <c r="M1499" i="1"/>
  <c r="L1499" i="1"/>
  <c r="M1498" i="1"/>
  <c r="L1498" i="1"/>
  <c r="M1497" i="1"/>
  <c r="L1497" i="1"/>
  <c r="M1496" i="1"/>
  <c r="L1496" i="1"/>
  <c r="M1495" i="1"/>
  <c r="L1495" i="1"/>
  <c r="M1494" i="1"/>
  <c r="L1494" i="1"/>
  <c r="M1493" i="1"/>
  <c r="L1493" i="1"/>
  <c r="M1492" i="1"/>
  <c r="L1492" i="1"/>
  <c r="M1491" i="1"/>
  <c r="L1491" i="1"/>
  <c r="M1490" i="1"/>
  <c r="L1490" i="1"/>
  <c r="M1489" i="1"/>
  <c r="L1489" i="1"/>
  <c r="M1488" i="1"/>
  <c r="L1488" i="1"/>
  <c r="M1487" i="1"/>
  <c r="L1487" i="1"/>
  <c r="M1486" i="1"/>
  <c r="L1486" i="1"/>
  <c r="M1485" i="1"/>
  <c r="L1485" i="1"/>
  <c r="M1484" i="1"/>
  <c r="L1484" i="1"/>
  <c r="M1483" i="1"/>
  <c r="L1483" i="1"/>
  <c r="M1482" i="1"/>
  <c r="L1482" i="1"/>
  <c r="M1481" i="1"/>
  <c r="L1481" i="1"/>
  <c r="M1480" i="1"/>
  <c r="L1480" i="1"/>
  <c r="M1479" i="1"/>
  <c r="L1479" i="1"/>
  <c r="M1478" i="1"/>
  <c r="L1478" i="1"/>
  <c r="M1477" i="1"/>
  <c r="L1477" i="1"/>
  <c r="M1476" i="1"/>
  <c r="L1476" i="1"/>
  <c r="M1475" i="1"/>
  <c r="L1475" i="1"/>
  <c r="M1474" i="1"/>
  <c r="L1474" i="1"/>
  <c r="M1473" i="1"/>
  <c r="L1473" i="1"/>
  <c r="M1472" i="1"/>
  <c r="L1472" i="1"/>
  <c r="M1471" i="1"/>
  <c r="L1471" i="1"/>
  <c r="M1470" i="1"/>
  <c r="L1470" i="1"/>
  <c r="M1469" i="1"/>
  <c r="L1469" i="1"/>
  <c r="M1468" i="1"/>
  <c r="L1468" i="1"/>
  <c r="M1467" i="1"/>
  <c r="L1467" i="1"/>
  <c r="M1466" i="1"/>
  <c r="L1466" i="1"/>
  <c r="M1465" i="1"/>
  <c r="L1465" i="1"/>
  <c r="M1464" i="1"/>
  <c r="L1464" i="1"/>
  <c r="M1463" i="1"/>
  <c r="L1463" i="1"/>
  <c r="M1462" i="1"/>
  <c r="L1462" i="1"/>
  <c r="M1461" i="1"/>
  <c r="L1461" i="1"/>
  <c r="M1460" i="1"/>
  <c r="L1460" i="1"/>
  <c r="M1459" i="1"/>
  <c r="L1459" i="1"/>
  <c r="M1458" i="1"/>
  <c r="L1458" i="1"/>
  <c r="M1457" i="1"/>
  <c r="L1457" i="1"/>
  <c r="M1456" i="1"/>
  <c r="L1456" i="1"/>
  <c r="M1455" i="1"/>
  <c r="L1455" i="1"/>
  <c r="M1454" i="1"/>
  <c r="L1454" i="1"/>
  <c r="M1453" i="1"/>
  <c r="L1453" i="1"/>
  <c r="M1452" i="1"/>
  <c r="L1452" i="1"/>
  <c r="M1451" i="1"/>
  <c r="L1451" i="1"/>
  <c r="M1450" i="1"/>
  <c r="L1450" i="1"/>
  <c r="M1449" i="1"/>
  <c r="L1449" i="1"/>
  <c r="M1448" i="1"/>
  <c r="L1448" i="1"/>
  <c r="M1447" i="1"/>
  <c r="L1447" i="1"/>
  <c r="M1446" i="1"/>
  <c r="L1446" i="1"/>
  <c r="M1445" i="1"/>
  <c r="L1445" i="1"/>
  <c r="M1444" i="1"/>
  <c r="L1444" i="1"/>
  <c r="M1443" i="1"/>
  <c r="L1443" i="1"/>
  <c r="M1442" i="1"/>
  <c r="L1442" i="1"/>
  <c r="M1441" i="1"/>
  <c r="L1441" i="1"/>
  <c r="M1440" i="1"/>
  <c r="L1440" i="1"/>
  <c r="M1439" i="1"/>
  <c r="L1439" i="1"/>
  <c r="M1438" i="1"/>
  <c r="L1438" i="1"/>
  <c r="M1437" i="1"/>
  <c r="L1437" i="1"/>
  <c r="M1436" i="1"/>
  <c r="L1436" i="1"/>
  <c r="M1435" i="1"/>
  <c r="L1435" i="1"/>
  <c r="M1434" i="1"/>
  <c r="L1434" i="1"/>
  <c r="M1433" i="1"/>
  <c r="L1433" i="1"/>
  <c r="M1432" i="1"/>
  <c r="L1432" i="1"/>
  <c r="M1431" i="1"/>
  <c r="L1431" i="1"/>
  <c r="M1430" i="1"/>
  <c r="L1430" i="1"/>
  <c r="M1429" i="1"/>
  <c r="L1429" i="1"/>
  <c r="M1428" i="1"/>
  <c r="L1428" i="1"/>
  <c r="M1427" i="1"/>
  <c r="L1427" i="1"/>
  <c r="M1426" i="1"/>
  <c r="L1426" i="1"/>
  <c r="M1425" i="1"/>
  <c r="L1425" i="1"/>
  <c r="M1424" i="1"/>
  <c r="L1424" i="1"/>
  <c r="M1423" i="1"/>
  <c r="L1423" i="1"/>
  <c r="M1422" i="1"/>
  <c r="L1422" i="1"/>
  <c r="M1421" i="1"/>
  <c r="L1421" i="1"/>
  <c r="M1420" i="1"/>
  <c r="L1420" i="1"/>
  <c r="M1419" i="1"/>
  <c r="L1419" i="1"/>
  <c r="M1418" i="1"/>
  <c r="L1418" i="1"/>
  <c r="M1417" i="1"/>
  <c r="L1417" i="1"/>
  <c r="M1416" i="1"/>
  <c r="L1416" i="1"/>
  <c r="M1415" i="1"/>
  <c r="L1415" i="1"/>
  <c r="M1414" i="1"/>
  <c r="L1414" i="1"/>
  <c r="M1413" i="1"/>
  <c r="L1413" i="1"/>
  <c r="M1412" i="1"/>
  <c r="L1412" i="1"/>
  <c r="M1411" i="1"/>
  <c r="L1411" i="1"/>
  <c r="M1410" i="1"/>
  <c r="L1410" i="1"/>
  <c r="M1409" i="1"/>
  <c r="L1409" i="1"/>
  <c r="M1408" i="1"/>
  <c r="L1408" i="1"/>
  <c r="M1407" i="1"/>
  <c r="L1407" i="1"/>
  <c r="M1406" i="1"/>
  <c r="L1406" i="1"/>
  <c r="M1405" i="1"/>
  <c r="L1405" i="1"/>
  <c r="M1404" i="1"/>
  <c r="L1404" i="1"/>
  <c r="M1403" i="1"/>
  <c r="L1403" i="1"/>
  <c r="M1402" i="1"/>
  <c r="L1402" i="1"/>
  <c r="M1401" i="1"/>
  <c r="L1401" i="1"/>
  <c r="M1400" i="1"/>
  <c r="L1400" i="1"/>
  <c r="M1399" i="1"/>
  <c r="L1399" i="1"/>
  <c r="M1398" i="1"/>
  <c r="L1398" i="1"/>
  <c r="M1397" i="1"/>
  <c r="L1397" i="1"/>
  <c r="M1396" i="1"/>
  <c r="L1396" i="1"/>
  <c r="M1395" i="1"/>
  <c r="L1395" i="1"/>
  <c r="M1394" i="1"/>
  <c r="L1394" i="1"/>
  <c r="M1393" i="1"/>
  <c r="L1393" i="1"/>
  <c r="M1392" i="1"/>
  <c r="L1392" i="1"/>
  <c r="M1391" i="1"/>
  <c r="L1391" i="1"/>
  <c r="M1390" i="1"/>
  <c r="L1390" i="1"/>
  <c r="M1389" i="1"/>
  <c r="L1389" i="1"/>
  <c r="M1388" i="1"/>
  <c r="L1388" i="1"/>
  <c r="M1387" i="1"/>
  <c r="L1387" i="1"/>
  <c r="M1386" i="1"/>
  <c r="L1386" i="1"/>
  <c r="M1385" i="1"/>
  <c r="L1385" i="1"/>
  <c r="M1384" i="1"/>
  <c r="L1384" i="1"/>
  <c r="M1383" i="1"/>
  <c r="L1383" i="1"/>
  <c r="M1382" i="1"/>
  <c r="L1382" i="1"/>
  <c r="M1381" i="1"/>
  <c r="L1381" i="1"/>
  <c r="M1380" i="1"/>
  <c r="L1380" i="1"/>
  <c r="M1379" i="1"/>
  <c r="L1379" i="1"/>
  <c r="M1378" i="1"/>
  <c r="L1378" i="1"/>
  <c r="M1377" i="1"/>
  <c r="L1377" i="1"/>
  <c r="M1376" i="1"/>
  <c r="L1376" i="1"/>
  <c r="M1375" i="1"/>
  <c r="L1375" i="1"/>
  <c r="M1374" i="1"/>
  <c r="L1374" i="1"/>
  <c r="M1373" i="1"/>
  <c r="L1373" i="1"/>
  <c r="M1372" i="1"/>
  <c r="L1372" i="1"/>
  <c r="M1371" i="1"/>
  <c r="L1371" i="1"/>
  <c r="M1370" i="1"/>
  <c r="L1370" i="1"/>
  <c r="M1369" i="1"/>
  <c r="L1369" i="1"/>
  <c r="M1368" i="1"/>
  <c r="L1368" i="1"/>
  <c r="M1367" i="1"/>
  <c r="L1367" i="1"/>
  <c r="M1366" i="1"/>
  <c r="L1366" i="1"/>
  <c r="M1365" i="1"/>
  <c r="L1365" i="1"/>
  <c r="M1364" i="1"/>
  <c r="L1364" i="1"/>
  <c r="M1363" i="1"/>
  <c r="L1363" i="1"/>
  <c r="M1362" i="1"/>
  <c r="L1362" i="1"/>
  <c r="M1361" i="1"/>
  <c r="L1361" i="1"/>
  <c r="M1360" i="1"/>
  <c r="L1360" i="1"/>
  <c r="M1359" i="1"/>
  <c r="L1359" i="1"/>
  <c r="M1358" i="1"/>
  <c r="L1358" i="1"/>
  <c r="M1357" i="1"/>
  <c r="L1357" i="1"/>
  <c r="M1356" i="1"/>
  <c r="L1356" i="1"/>
  <c r="M1355" i="1"/>
  <c r="L1355" i="1"/>
  <c r="M1354" i="1"/>
  <c r="L1354" i="1"/>
  <c r="M1353" i="1"/>
  <c r="L1353" i="1"/>
  <c r="M1352" i="1"/>
  <c r="L1352" i="1"/>
  <c r="M1351" i="1"/>
  <c r="L1351" i="1"/>
  <c r="M1350" i="1"/>
  <c r="L1350" i="1"/>
  <c r="M1349" i="1"/>
  <c r="L1349" i="1"/>
  <c r="M1348" i="1"/>
  <c r="L1348" i="1"/>
  <c r="M1347" i="1"/>
  <c r="L1347" i="1"/>
  <c r="M1346" i="1"/>
  <c r="L1346" i="1"/>
  <c r="M1345" i="1"/>
  <c r="L1345" i="1"/>
  <c r="M1344" i="1"/>
  <c r="L1344" i="1"/>
  <c r="M1343" i="1"/>
  <c r="L1343" i="1"/>
  <c r="M1342" i="1"/>
  <c r="L1342" i="1"/>
  <c r="M1341" i="1"/>
  <c r="L1341" i="1"/>
  <c r="M1340" i="1"/>
  <c r="L1340" i="1"/>
  <c r="M1339" i="1"/>
  <c r="L1339" i="1"/>
  <c r="M1338" i="1"/>
  <c r="L1338" i="1"/>
  <c r="M1337" i="1"/>
  <c r="L1337" i="1"/>
  <c r="M1336" i="1"/>
  <c r="L1336" i="1"/>
  <c r="M1335" i="1"/>
  <c r="L1335" i="1"/>
  <c r="M1334" i="1"/>
  <c r="L1334" i="1"/>
  <c r="M1333" i="1"/>
  <c r="L1333" i="1"/>
  <c r="M1332" i="1"/>
  <c r="L1332" i="1"/>
  <c r="M1331" i="1"/>
  <c r="L1331" i="1"/>
  <c r="M1330" i="1"/>
  <c r="L1330" i="1"/>
  <c r="M1329" i="1"/>
  <c r="L1329" i="1"/>
  <c r="M1328" i="1"/>
  <c r="L1328" i="1"/>
  <c r="M1327" i="1"/>
  <c r="L1327" i="1"/>
  <c r="M1326" i="1"/>
  <c r="L1326" i="1"/>
  <c r="M1325" i="1"/>
  <c r="L1325" i="1"/>
  <c r="M1324" i="1"/>
  <c r="L1324" i="1"/>
  <c r="M1323" i="1"/>
  <c r="L1323" i="1"/>
  <c r="M1322" i="1"/>
  <c r="L1322" i="1"/>
  <c r="M1321" i="1"/>
  <c r="L1321" i="1"/>
  <c r="M1320" i="1"/>
  <c r="L1320" i="1"/>
  <c r="M1319" i="1"/>
  <c r="L1319" i="1"/>
  <c r="M1318" i="1"/>
  <c r="L1318" i="1"/>
  <c r="M1317" i="1"/>
  <c r="L1317" i="1"/>
  <c r="M1316" i="1"/>
  <c r="L1316" i="1"/>
  <c r="M1315" i="1"/>
  <c r="L1315" i="1"/>
  <c r="M1314" i="1"/>
  <c r="L1314" i="1"/>
  <c r="M1313" i="1"/>
  <c r="L1313" i="1"/>
  <c r="M1312" i="1"/>
  <c r="L1312" i="1"/>
  <c r="M1311" i="1"/>
  <c r="L1311" i="1"/>
  <c r="M1310" i="1"/>
  <c r="L1310" i="1"/>
  <c r="M1309" i="1"/>
  <c r="L1309" i="1"/>
  <c r="M1308" i="1"/>
  <c r="L1308" i="1"/>
  <c r="M1307" i="1"/>
  <c r="L1307" i="1"/>
  <c r="M1306" i="1"/>
  <c r="L1306" i="1"/>
  <c r="M1305" i="1"/>
  <c r="L1305" i="1"/>
  <c r="M1304" i="1"/>
  <c r="L1304" i="1"/>
  <c r="M1303" i="1"/>
  <c r="L1303" i="1"/>
  <c r="M1302" i="1"/>
  <c r="L1302" i="1"/>
  <c r="M1301" i="1"/>
  <c r="L1301" i="1"/>
  <c r="M1300" i="1"/>
  <c r="L1300" i="1"/>
  <c r="M1299" i="1"/>
  <c r="L1299" i="1"/>
  <c r="M1298" i="1"/>
  <c r="L1298" i="1"/>
  <c r="M1297" i="1"/>
  <c r="L1297" i="1"/>
  <c r="M1296" i="1"/>
  <c r="L1296" i="1"/>
  <c r="M1295" i="1"/>
  <c r="L1295" i="1"/>
  <c r="M1294" i="1"/>
  <c r="L1294" i="1"/>
  <c r="M1293" i="1"/>
  <c r="L1293" i="1"/>
  <c r="M1292" i="1"/>
  <c r="L1292" i="1"/>
  <c r="M1291" i="1"/>
  <c r="L1291" i="1"/>
  <c r="M1290" i="1"/>
  <c r="L1290" i="1"/>
  <c r="M1289" i="1"/>
  <c r="L1289" i="1"/>
  <c r="M1288" i="1"/>
  <c r="L1288" i="1"/>
  <c r="M1287" i="1"/>
  <c r="L1287" i="1"/>
  <c r="M1286" i="1"/>
  <c r="L1286" i="1"/>
  <c r="M1285" i="1"/>
  <c r="L1285" i="1"/>
  <c r="M1284" i="1"/>
  <c r="L1284" i="1"/>
  <c r="M1283" i="1"/>
  <c r="L1283" i="1"/>
  <c r="M1282" i="1"/>
  <c r="L1282" i="1"/>
  <c r="M1281" i="1"/>
  <c r="L1281" i="1"/>
  <c r="M1280" i="1"/>
  <c r="L1280" i="1"/>
  <c r="M1279" i="1"/>
  <c r="L1279" i="1"/>
  <c r="M1278" i="1"/>
  <c r="L1278" i="1"/>
  <c r="M1277" i="1"/>
  <c r="L1277" i="1"/>
  <c r="M1276" i="1"/>
  <c r="L1276" i="1"/>
  <c r="M1275" i="1"/>
  <c r="L1275" i="1"/>
  <c r="M1274" i="1"/>
  <c r="L1274" i="1"/>
  <c r="M1273" i="1"/>
  <c r="L1273" i="1"/>
  <c r="M1272" i="1"/>
  <c r="L1272" i="1"/>
  <c r="M1271" i="1"/>
  <c r="L1271" i="1"/>
  <c r="M1270" i="1"/>
  <c r="L1270" i="1"/>
  <c r="M1269" i="1"/>
  <c r="L1269" i="1"/>
  <c r="M1268" i="1"/>
  <c r="L1268" i="1"/>
  <c r="M1267" i="1"/>
  <c r="L1267" i="1"/>
  <c r="M1266" i="1"/>
  <c r="L1266" i="1"/>
  <c r="M1265" i="1"/>
  <c r="L1265" i="1"/>
  <c r="M1264" i="1"/>
  <c r="L1264" i="1"/>
  <c r="M1263" i="1"/>
  <c r="L1263" i="1"/>
  <c r="M1262" i="1"/>
  <c r="L1262" i="1"/>
  <c r="M1261" i="1"/>
  <c r="L1261" i="1"/>
  <c r="M1260" i="1"/>
  <c r="L1260" i="1"/>
  <c r="M1259" i="1"/>
  <c r="L1259" i="1"/>
  <c r="M1258" i="1"/>
  <c r="L1258" i="1"/>
  <c r="M1257" i="1"/>
  <c r="L1257" i="1"/>
  <c r="M1256" i="1"/>
  <c r="L1256" i="1"/>
  <c r="M1255" i="1"/>
  <c r="L1255" i="1"/>
  <c r="M1254" i="1"/>
  <c r="L1254" i="1"/>
  <c r="M1253" i="1"/>
  <c r="L1253" i="1"/>
  <c r="M1252" i="1"/>
  <c r="L1252" i="1"/>
  <c r="M1251" i="1"/>
  <c r="L1251" i="1"/>
  <c r="M1250" i="1"/>
  <c r="L1250" i="1"/>
  <c r="M1249" i="1"/>
  <c r="L1249" i="1"/>
  <c r="M1248" i="1"/>
  <c r="L1248" i="1"/>
  <c r="M1247" i="1"/>
  <c r="L1247" i="1"/>
  <c r="M1246" i="1"/>
  <c r="L1246" i="1"/>
  <c r="M1245" i="1"/>
  <c r="L1245" i="1"/>
  <c r="M1244" i="1"/>
  <c r="L1244" i="1"/>
  <c r="M1243" i="1"/>
  <c r="L1243" i="1"/>
  <c r="M1242" i="1"/>
  <c r="L1242" i="1"/>
  <c r="M1241" i="1"/>
  <c r="L1241" i="1"/>
  <c r="M1240" i="1"/>
  <c r="L1240" i="1"/>
  <c r="M1239" i="1"/>
  <c r="L1239" i="1"/>
  <c r="M1238" i="1"/>
  <c r="L1238" i="1"/>
  <c r="M1237" i="1"/>
  <c r="L1237" i="1"/>
  <c r="M1236" i="1"/>
  <c r="L1236" i="1"/>
  <c r="M1235" i="1"/>
  <c r="L1235" i="1"/>
  <c r="M1234" i="1"/>
  <c r="L1234" i="1"/>
  <c r="M1233" i="1"/>
  <c r="L1233" i="1"/>
  <c r="M1232" i="1"/>
  <c r="L1232" i="1"/>
  <c r="M1231" i="1"/>
  <c r="L1231" i="1"/>
  <c r="M1230" i="1"/>
  <c r="L1230" i="1"/>
  <c r="M1229" i="1"/>
  <c r="L1229" i="1"/>
  <c r="M1228" i="1"/>
  <c r="L1228" i="1"/>
  <c r="M1227" i="1"/>
  <c r="L1227" i="1"/>
  <c r="M1226" i="1"/>
  <c r="L1226" i="1"/>
  <c r="M1225" i="1"/>
  <c r="L1225" i="1"/>
  <c r="M1224" i="1"/>
  <c r="L1224" i="1"/>
  <c r="M1223" i="1"/>
  <c r="L1223" i="1"/>
  <c r="M1222" i="1"/>
  <c r="L1222" i="1"/>
  <c r="M1221" i="1"/>
  <c r="L1221" i="1"/>
  <c r="M1220" i="1"/>
  <c r="L1220" i="1"/>
  <c r="M1219" i="1"/>
  <c r="L1219" i="1"/>
  <c r="M1218" i="1"/>
  <c r="L1218" i="1"/>
  <c r="M1217" i="1"/>
  <c r="L1217" i="1"/>
  <c r="M1216" i="1"/>
  <c r="L1216" i="1"/>
  <c r="M1215" i="1"/>
  <c r="L1215" i="1"/>
  <c r="M1214" i="1"/>
  <c r="L1214" i="1"/>
  <c r="M1213" i="1"/>
  <c r="L1213" i="1"/>
  <c r="M1212" i="1"/>
  <c r="L1212" i="1"/>
  <c r="M1211" i="1"/>
  <c r="L1211" i="1"/>
  <c r="M1210" i="1"/>
  <c r="L1210" i="1"/>
  <c r="M1209" i="1"/>
  <c r="L1209" i="1"/>
  <c r="M1208" i="1"/>
  <c r="L1208" i="1"/>
  <c r="M1207" i="1"/>
  <c r="L1207" i="1"/>
  <c r="M1206" i="1"/>
  <c r="L1206" i="1"/>
  <c r="M1205" i="1"/>
  <c r="L1205" i="1"/>
  <c r="M1204" i="1"/>
  <c r="L1204" i="1"/>
  <c r="M1203" i="1"/>
  <c r="L1203" i="1"/>
  <c r="M1202" i="1"/>
  <c r="L1202" i="1"/>
  <c r="M1201" i="1"/>
  <c r="L1201" i="1"/>
  <c r="M1200" i="1"/>
  <c r="L1200" i="1"/>
  <c r="M1199" i="1"/>
  <c r="L1199" i="1"/>
  <c r="M1198" i="1"/>
  <c r="L1198" i="1"/>
  <c r="M1197" i="1"/>
  <c r="L1197" i="1"/>
  <c r="M1196" i="1"/>
  <c r="L1196" i="1"/>
  <c r="M1195" i="1"/>
  <c r="L1195" i="1"/>
  <c r="M1194" i="1"/>
  <c r="L1194" i="1"/>
  <c r="M1193" i="1"/>
  <c r="L1193" i="1"/>
  <c r="M1192" i="1"/>
  <c r="L1192" i="1"/>
  <c r="M1191" i="1"/>
  <c r="L1191" i="1"/>
  <c r="M1190" i="1"/>
  <c r="L1190" i="1"/>
  <c r="M1189" i="1"/>
  <c r="L1189" i="1"/>
  <c r="M1188" i="1"/>
  <c r="L1188" i="1"/>
  <c r="M1187" i="1"/>
  <c r="L1187" i="1"/>
  <c r="M1186" i="1"/>
  <c r="L1186" i="1"/>
  <c r="M1185" i="1"/>
  <c r="L1185" i="1"/>
  <c r="M1184" i="1"/>
  <c r="L1184" i="1"/>
  <c r="M1183" i="1"/>
  <c r="L1183" i="1"/>
  <c r="M1182" i="1"/>
  <c r="L1182" i="1"/>
  <c r="M1181" i="1"/>
  <c r="L1181" i="1"/>
  <c r="M1180" i="1"/>
  <c r="L1180" i="1"/>
  <c r="M1179" i="1"/>
  <c r="L1179" i="1"/>
  <c r="M1178" i="1"/>
  <c r="L1178" i="1"/>
  <c r="M1177" i="1"/>
  <c r="L1177" i="1"/>
  <c r="M1176" i="1"/>
  <c r="L1176" i="1"/>
  <c r="M1175" i="1"/>
  <c r="L1175" i="1"/>
  <c r="M1174" i="1"/>
  <c r="L1174" i="1"/>
  <c r="M1173" i="1"/>
  <c r="L1173" i="1"/>
  <c r="M1172" i="1"/>
  <c r="L1172" i="1"/>
  <c r="M1171" i="1"/>
  <c r="L1171" i="1"/>
  <c r="M1170" i="1"/>
  <c r="L1170" i="1"/>
  <c r="M1169" i="1"/>
  <c r="L1169" i="1"/>
  <c r="M1168" i="1"/>
  <c r="L1168" i="1"/>
  <c r="M1167" i="1"/>
  <c r="L1167" i="1"/>
  <c r="M1166" i="1"/>
  <c r="L1166" i="1"/>
  <c r="M1165" i="1"/>
  <c r="L1165" i="1"/>
  <c r="M1164" i="1"/>
  <c r="L1164" i="1"/>
  <c r="M1163" i="1"/>
  <c r="L1163" i="1"/>
  <c r="M1162" i="1"/>
  <c r="L1162" i="1"/>
  <c r="M1161" i="1"/>
  <c r="L1161" i="1"/>
  <c r="M1160" i="1"/>
  <c r="L1160" i="1"/>
  <c r="M1159" i="1"/>
  <c r="L1159" i="1"/>
  <c r="M1158" i="1"/>
  <c r="L1158" i="1"/>
  <c r="M1157" i="1"/>
  <c r="L1157" i="1"/>
  <c r="M1156" i="1"/>
  <c r="L1156" i="1"/>
  <c r="M1155" i="1"/>
  <c r="L1155" i="1"/>
  <c r="M1154" i="1"/>
  <c r="L1154" i="1"/>
  <c r="M1153" i="1"/>
  <c r="L1153" i="1"/>
  <c r="M1152" i="1"/>
  <c r="L1152" i="1"/>
  <c r="M1151" i="1"/>
  <c r="L1151" i="1"/>
  <c r="M1150" i="1"/>
  <c r="L1150" i="1"/>
  <c r="M1149" i="1"/>
  <c r="L1149" i="1"/>
  <c r="M1148" i="1"/>
  <c r="L1148" i="1"/>
  <c r="M1147" i="1"/>
  <c r="L1147" i="1"/>
  <c r="M1146" i="1"/>
  <c r="L1146" i="1"/>
  <c r="M1145" i="1"/>
  <c r="L1145" i="1"/>
  <c r="M1144" i="1"/>
  <c r="L1144" i="1"/>
  <c r="M1143" i="1"/>
  <c r="L1143" i="1"/>
  <c r="M1142" i="1"/>
  <c r="L1142" i="1"/>
  <c r="M1141" i="1"/>
  <c r="L1141" i="1"/>
  <c r="M1140" i="1"/>
  <c r="L1140" i="1"/>
  <c r="M1139" i="1"/>
  <c r="L1139" i="1"/>
  <c r="M1138" i="1"/>
  <c r="L1138" i="1"/>
  <c r="M1137" i="1"/>
  <c r="L1137" i="1"/>
  <c r="M1136" i="1"/>
  <c r="L1136" i="1"/>
  <c r="M1135" i="1"/>
  <c r="L1135" i="1"/>
  <c r="M1134" i="1"/>
  <c r="L1134" i="1"/>
  <c r="M1133" i="1"/>
  <c r="L1133" i="1"/>
  <c r="M1132" i="1"/>
  <c r="L1132" i="1"/>
  <c r="M1131" i="1"/>
  <c r="L1131" i="1"/>
  <c r="M1130" i="1"/>
  <c r="L1130" i="1"/>
  <c r="M1129" i="1"/>
  <c r="L1129" i="1"/>
  <c r="M1128" i="1"/>
  <c r="L1128" i="1"/>
  <c r="M1127" i="1"/>
  <c r="L1127" i="1"/>
  <c r="M1126" i="1"/>
  <c r="L1126" i="1"/>
  <c r="M1125" i="1"/>
  <c r="L1125" i="1"/>
  <c r="M1124" i="1"/>
  <c r="L1124" i="1"/>
  <c r="M1123" i="1"/>
  <c r="L1123" i="1"/>
  <c r="M1122" i="1"/>
  <c r="L1122" i="1"/>
  <c r="M1121" i="1"/>
  <c r="L1121" i="1"/>
  <c r="M1120" i="1"/>
  <c r="L1120" i="1"/>
  <c r="M1119" i="1"/>
  <c r="L1119" i="1"/>
  <c r="M1118" i="1"/>
  <c r="L1118" i="1"/>
  <c r="M1117" i="1"/>
  <c r="L1117" i="1"/>
  <c r="M1116" i="1"/>
  <c r="L1116" i="1"/>
  <c r="M1115" i="1"/>
  <c r="L1115" i="1"/>
  <c r="M1114" i="1"/>
  <c r="L1114" i="1"/>
  <c r="M1113" i="1"/>
  <c r="L1113" i="1"/>
  <c r="M1112" i="1"/>
  <c r="L1112" i="1"/>
  <c r="M1111" i="1"/>
  <c r="L1111" i="1"/>
  <c r="M1110" i="1"/>
  <c r="L1110" i="1"/>
  <c r="M1109" i="1"/>
  <c r="L1109" i="1"/>
  <c r="M1108" i="1"/>
  <c r="L1108" i="1"/>
  <c r="M1107" i="1"/>
  <c r="L1107" i="1"/>
  <c r="M1106" i="1"/>
  <c r="L1106" i="1"/>
  <c r="M1105" i="1"/>
  <c r="L1105" i="1"/>
  <c r="M1104" i="1"/>
  <c r="L1104" i="1"/>
  <c r="M1103" i="1"/>
  <c r="L1103" i="1"/>
  <c r="M1102" i="1"/>
  <c r="L1102" i="1"/>
  <c r="M1101" i="1"/>
  <c r="L1101" i="1"/>
  <c r="M1100" i="1"/>
  <c r="L1100" i="1"/>
  <c r="M1099" i="1"/>
  <c r="L1099" i="1"/>
  <c r="M1098" i="1"/>
  <c r="L1098" i="1"/>
  <c r="M1097" i="1"/>
  <c r="L1097" i="1"/>
  <c r="M1096" i="1"/>
  <c r="L1096" i="1"/>
  <c r="M1095" i="1"/>
  <c r="L1095" i="1"/>
  <c r="M1094" i="1"/>
  <c r="L1094" i="1"/>
  <c r="M1093" i="1"/>
  <c r="L1093" i="1"/>
  <c r="M1092" i="1"/>
  <c r="L1092" i="1"/>
  <c r="M1091" i="1"/>
  <c r="L1091" i="1"/>
  <c r="M1090" i="1"/>
  <c r="L1090" i="1"/>
  <c r="M1089" i="1"/>
  <c r="L1089" i="1"/>
  <c r="M1088" i="1"/>
  <c r="L1088" i="1"/>
  <c r="M1087" i="1"/>
  <c r="L1087" i="1"/>
  <c r="M1086" i="1"/>
  <c r="L1086" i="1"/>
  <c r="M1085" i="1"/>
  <c r="L1085" i="1"/>
  <c r="M1084" i="1"/>
  <c r="L1084" i="1"/>
  <c r="M1083" i="1"/>
  <c r="L1083" i="1"/>
  <c r="M1082" i="1"/>
  <c r="L1082" i="1"/>
  <c r="M1081" i="1"/>
  <c r="L1081" i="1"/>
  <c r="M1080" i="1"/>
  <c r="L1080" i="1"/>
  <c r="M1079" i="1"/>
  <c r="L1079" i="1"/>
  <c r="M1078" i="1"/>
  <c r="L1078" i="1"/>
  <c r="M1077" i="1"/>
  <c r="L1077" i="1"/>
  <c r="M1076" i="1"/>
  <c r="L1076" i="1"/>
  <c r="M1075" i="1"/>
  <c r="L1075" i="1"/>
  <c r="M1074" i="1"/>
  <c r="L1074" i="1"/>
  <c r="M1073" i="1"/>
  <c r="L1073" i="1"/>
  <c r="M1072" i="1"/>
  <c r="L1072" i="1"/>
  <c r="M1071" i="1"/>
  <c r="L1071" i="1"/>
  <c r="M1070" i="1"/>
  <c r="L1070" i="1"/>
  <c r="M1069" i="1"/>
  <c r="L1069" i="1"/>
  <c r="M1068" i="1"/>
  <c r="L1068" i="1"/>
  <c r="M1067" i="1"/>
  <c r="L1067" i="1"/>
  <c r="M1066" i="1"/>
  <c r="L1066" i="1"/>
  <c r="M1065" i="1"/>
  <c r="L1065" i="1"/>
  <c r="M1064" i="1"/>
  <c r="L1064" i="1"/>
  <c r="M1063" i="1"/>
  <c r="L1063" i="1"/>
  <c r="M1062" i="1"/>
  <c r="L1062" i="1"/>
  <c r="M1061" i="1"/>
  <c r="L1061" i="1"/>
  <c r="M1060" i="1"/>
  <c r="L1060" i="1"/>
  <c r="M1059" i="1"/>
  <c r="L1059" i="1"/>
  <c r="M1058" i="1"/>
  <c r="L1058" i="1"/>
  <c r="M1057" i="1"/>
  <c r="L1057" i="1"/>
  <c r="M1056" i="1"/>
  <c r="L1056" i="1"/>
  <c r="M1055" i="1"/>
  <c r="L1055" i="1"/>
  <c r="M1054" i="1"/>
  <c r="L1054" i="1"/>
  <c r="M1053" i="1"/>
  <c r="L1053" i="1"/>
  <c r="M1052" i="1"/>
  <c r="L1052" i="1"/>
  <c r="M1051" i="1"/>
  <c r="L1051" i="1"/>
  <c r="M1050" i="1"/>
  <c r="L1050" i="1"/>
  <c r="M1049" i="1"/>
  <c r="L1049" i="1"/>
  <c r="M1048" i="1"/>
  <c r="L1048" i="1"/>
  <c r="M1047" i="1"/>
  <c r="L1047" i="1"/>
  <c r="M1046" i="1"/>
  <c r="L1046" i="1"/>
  <c r="M1045" i="1"/>
  <c r="L1045" i="1"/>
  <c r="M1044" i="1"/>
  <c r="L1044" i="1"/>
  <c r="M1043" i="1"/>
  <c r="L1043" i="1"/>
  <c r="M1042" i="1"/>
  <c r="L1042" i="1"/>
  <c r="M1041" i="1"/>
  <c r="L1041" i="1"/>
  <c r="M1040" i="1"/>
  <c r="L1040" i="1"/>
  <c r="M1039" i="1"/>
  <c r="L1039" i="1"/>
  <c r="M1038" i="1"/>
  <c r="L1038" i="1"/>
  <c r="M1037" i="1"/>
  <c r="L1037" i="1"/>
  <c r="M1036" i="1"/>
  <c r="L1036" i="1"/>
  <c r="M1035" i="1"/>
  <c r="L1035" i="1"/>
  <c r="M1034" i="1"/>
  <c r="L1034" i="1"/>
  <c r="M1033" i="1"/>
  <c r="L1033" i="1"/>
  <c r="M1032" i="1"/>
  <c r="L1032" i="1"/>
  <c r="M1031" i="1"/>
  <c r="L1031" i="1"/>
  <c r="M1030" i="1"/>
  <c r="L1030" i="1"/>
  <c r="M1029" i="1"/>
  <c r="L1029" i="1"/>
  <c r="M1028" i="1"/>
  <c r="L1028" i="1"/>
  <c r="M1027" i="1"/>
  <c r="L1027" i="1"/>
  <c r="M1026" i="1"/>
  <c r="L1026" i="1"/>
  <c r="M1025" i="1"/>
  <c r="L1025" i="1"/>
  <c r="M1024" i="1"/>
  <c r="L1024" i="1"/>
  <c r="M1023" i="1"/>
  <c r="L1023" i="1"/>
  <c r="M1022" i="1"/>
  <c r="L1022" i="1"/>
  <c r="M1021" i="1"/>
  <c r="L1021" i="1"/>
  <c r="M1020" i="1"/>
  <c r="L1020" i="1"/>
  <c r="M1019" i="1"/>
  <c r="L1019" i="1"/>
  <c r="M1018" i="1"/>
  <c r="L1018" i="1"/>
  <c r="M1017" i="1"/>
  <c r="L1017" i="1"/>
  <c r="M1016" i="1"/>
  <c r="L1016" i="1"/>
  <c r="M1015" i="1"/>
  <c r="L1015" i="1"/>
  <c r="M1014" i="1"/>
  <c r="L1014" i="1"/>
  <c r="M1013" i="1"/>
  <c r="L1013" i="1"/>
  <c r="M1012" i="1"/>
  <c r="L1012" i="1"/>
  <c r="M1011" i="1"/>
  <c r="L1011" i="1"/>
  <c r="M1010" i="1"/>
  <c r="L1010" i="1"/>
  <c r="M1009" i="1"/>
  <c r="L1009" i="1"/>
  <c r="M1008" i="1"/>
  <c r="L1008" i="1"/>
  <c r="M1007" i="1"/>
  <c r="L1007" i="1"/>
  <c r="M1006" i="1"/>
  <c r="L1006" i="1"/>
  <c r="M1005" i="1"/>
  <c r="L1005" i="1"/>
  <c r="M1004" i="1"/>
  <c r="L1004" i="1"/>
  <c r="M1003" i="1"/>
  <c r="L1003" i="1"/>
  <c r="M1002" i="1"/>
  <c r="L1002" i="1"/>
  <c r="M1001" i="1"/>
  <c r="L1001" i="1"/>
  <c r="M1000" i="1"/>
  <c r="L1000" i="1"/>
  <c r="M999" i="1"/>
  <c r="L999" i="1"/>
  <c r="M998" i="1"/>
  <c r="L998" i="1"/>
  <c r="M997" i="1"/>
  <c r="L997" i="1"/>
  <c r="M996" i="1"/>
  <c r="L996" i="1"/>
  <c r="M995" i="1"/>
  <c r="L995" i="1"/>
  <c r="M994" i="1"/>
  <c r="L994" i="1"/>
  <c r="M993" i="1"/>
  <c r="L993" i="1"/>
  <c r="M992" i="1"/>
  <c r="L992" i="1"/>
  <c r="M991" i="1"/>
  <c r="L991" i="1"/>
  <c r="M990" i="1"/>
  <c r="L990" i="1"/>
  <c r="M989" i="1"/>
  <c r="L989" i="1"/>
  <c r="M988" i="1"/>
  <c r="L988" i="1"/>
  <c r="M987" i="1"/>
  <c r="L987" i="1"/>
  <c r="M986" i="1"/>
  <c r="L986" i="1"/>
  <c r="M985" i="1"/>
  <c r="L985" i="1"/>
  <c r="M984" i="1"/>
  <c r="L984" i="1"/>
  <c r="M983" i="1"/>
  <c r="L983" i="1"/>
  <c r="M982" i="1"/>
  <c r="L982" i="1"/>
  <c r="M981" i="1"/>
  <c r="L981" i="1"/>
  <c r="M980" i="1"/>
  <c r="L980" i="1"/>
  <c r="M979" i="1"/>
  <c r="L979" i="1"/>
  <c r="M978" i="1"/>
  <c r="L978" i="1"/>
  <c r="M977" i="1"/>
  <c r="L977" i="1"/>
  <c r="M976" i="1"/>
  <c r="L976" i="1"/>
  <c r="M975" i="1"/>
  <c r="L975" i="1"/>
  <c r="M974" i="1"/>
  <c r="L974" i="1"/>
  <c r="M973" i="1"/>
  <c r="L973" i="1"/>
  <c r="M972" i="1"/>
  <c r="L972" i="1"/>
  <c r="M971" i="1"/>
  <c r="L971" i="1"/>
  <c r="M970" i="1"/>
  <c r="L970" i="1"/>
  <c r="M969" i="1"/>
  <c r="L969" i="1"/>
  <c r="M968" i="1"/>
  <c r="L968" i="1"/>
  <c r="M967" i="1"/>
  <c r="L967" i="1"/>
  <c r="M966" i="1"/>
  <c r="L966" i="1"/>
  <c r="M965" i="1"/>
  <c r="L965" i="1"/>
  <c r="M964" i="1"/>
  <c r="L964" i="1"/>
  <c r="M963" i="1"/>
  <c r="L963" i="1"/>
  <c r="M962" i="1"/>
  <c r="L962" i="1"/>
  <c r="M961" i="1"/>
  <c r="L961" i="1"/>
  <c r="M960" i="1"/>
  <c r="L960" i="1"/>
  <c r="M959" i="1"/>
  <c r="L959" i="1"/>
  <c r="M958" i="1"/>
  <c r="L958" i="1"/>
  <c r="M957" i="1"/>
  <c r="L957" i="1"/>
  <c r="M956" i="1"/>
  <c r="L956" i="1"/>
  <c r="M955" i="1"/>
  <c r="L955" i="1"/>
  <c r="M954" i="1"/>
  <c r="L954" i="1"/>
  <c r="M953" i="1"/>
  <c r="L953" i="1"/>
  <c r="M952" i="1"/>
  <c r="L952" i="1"/>
  <c r="M951" i="1"/>
  <c r="L951" i="1"/>
  <c r="M950" i="1"/>
  <c r="L950" i="1"/>
  <c r="M949" i="1"/>
  <c r="L949" i="1"/>
  <c r="M948" i="1"/>
  <c r="L948" i="1"/>
  <c r="M947" i="1"/>
  <c r="L947" i="1"/>
  <c r="M946" i="1"/>
  <c r="L946" i="1"/>
  <c r="M945" i="1"/>
  <c r="L945" i="1"/>
  <c r="M944" i="1"/>
  <c r="L944" i="1"/>
  <c r="M943" i="1"/>
  <c r="L943" i="1"/>
  <c r="M942" i="1"/>
  <c r="L942" i="1"/>
  <c r="M941" i="1"/>
  <c r="L941" i="1"/>
  <c r="M940" i="1"/>
  <c r="L940" i="1"/>
  <c r="M939" i="1"/>
  <c r="L939" i="1"/>
  <c r="M938" i="1"/>
  <c r="L938" i="1"/>
  <c r="M937" i="1"/>
  <c r="L937" i="1"/>
  <c r="M936" i="1"/>
  <c r="L936" i="1"/>
  <c r="M935" i="1"/>
  <c r="L935" i="1"/>
  <c r="M934" i="1"/>
  <c r="L934" i="1"/>
  <c r="M933" i="1"/>
  <c r="L933" i="1"/>
  <c r="M932" i="1"/>
  <c r="L932" i="1"/>
  <c r="M931" i="1"/>
  <c r="L931" i="1"/>
  <c r="M930" i="1"/>
  <c r="L930" i="1"/>
  <c r="M929" i="1"/>
  <c r="L929" i="1"/>
  <c r="M928" i="1"/>
  <c r="L928" i="1"/>
  <c r="M927" i="1"/>
  <c r="L927" i="1"/>
  <c r="M926" i="1"/>
  <c r="L926" i="1"/>
  <c r="M925" i="1"/>
  <c r="L925" i="1"/>
  <c r="M924" i="1"/>
  <c r="L924" i="1"/>
  <c r="M923" i="1"/>
  <c r="L923" i="1"/>
  <c r="M922" i="1"/>
  <c r="L922" i="1"/>
  <c r="M921" i="1"/>
  <c r="L921" i="1"/>
  <c r="M920" i="1"/>
  <c r="L920" i="1"/>
  <c r="M919" i="1"/>
  <c r="L919" i="1"/>
  <c r="M918" i="1"/>
  <c r="L918" i="1"/>
  <c r="M917" i="1"/>
  <c r="L917" i="1"/>
  <c r="M916" i="1"/>
  <c r="L916" i="1"/>
  <c r="M915" i="1"/>
  <c r="L915" i="1"/>
  <c r="M914" i="1"/>
  <c r="L914" i="1"/>
  <c r="M913" i="1"/>
  <c r="L913" i="1"/>
  <c r="M912" i="1"/>
  <c r="L912" i="1"/>
  <c r="M911" i="1"/>
  <c r="L911" i="1"/>
  <c r="M910" i="1"/>
  <c r="L910" i="1"/>
  <c r="M909" i="1"/>
  <c r="L909" i="1"/>
  <c r="M908" i="1"/>
  <c r="L908" i="1"/>
  <c r="M907" i="1"/>
  <c r="L907" i="1"/>
  <c r="M906" i="1"/>
  <c r="L906" i="1"/>
  <c r="M905" i="1"/>
  <c r="L905" i="1"/>
  <c r="M904" i="1"/>
  <c r="L904" i="1"/>
  <c r="M903" i="1"/>
  <c r="L903" i="1"/>
  <c r="M902" i="1"/>
  <c r="L902" i="1"/>
  <c r="M901" i="1"/>
  <c r="L901" i="1"/>
  <c r="M900" i="1"/>
  <c r="L900" i="1"/>
  <c r="M899" i="1"/>
  <c r="L899" i="1"/>
  <c r="M898" i="1"/>
  <c r="L898" i="1"/>
  <c r="M897" i="1"/>
  <c r="L897" i="1"/>
  <c r="M896" i="1"/>
  <c r="L896" i="1"/>
  <c r="M895" i="1"/>
  <c r="L895" i="1"/>
  <c r="M894" i="1"/>
  <c r="L894" i="1"/>
  <c r="M893" i="1"/>
  <c r="L893" i="1"/>
  <c r="M892" i="1"/>
  <c r="L892" i="1"/>
  <c r="M891" i="1"/>
  <c r="L891" i="1"/>
  <c r="M890" i="1"/>
  <c r="L890" i="1"/>
  <c r="M889" i="1"/>
  <c r="L889" i="1"/>
  <c r="M888" i="1"/>
  <c r="L888" i="1"/>
  <c r="M887" i="1"/>
  <c r="L887" i="1"/>
  <c r="M886" i="1"/>
  <c r="L886" i="1"/>
  <c r="M885" i="1"/>
  <c r="L885" i="1"/>
  <c r="M884" i="1"/>
  <c r="L884" i="1"/>
  <c r="M883" i="1"/>
  <c r="L883" i="1"/>
  <c r="M882" i="1"/>
  <c r="L882" i="1"/>
  <c r="M881" i="1"/>
  <c r="L881" i="1"/>
  <c r="M880" i="1"/>
  <c r="L880" i="1"/>
  <c r="M879" i="1"/>
  <c r="L879" i="1"/>
  <c r="M878" i="1"/>
  <c r="L878" i="1"/>
  <c r="M877" i="1"/>
  <c r="L877" i="1"/>
  <c r="M876" i="1"/>
  <c r="L876" i="1"/>
  <c r="M875" i="1"/>
  <c r="L875" i="1"/>
  <c r="M874" i="1"/>
  <c r="L874" i="1"/>
  <c r="M873" i="1"/>
  <c r="L873" i="1"/>
  <c r="M872" i="1"/>
  <c r="L872" i="1"/>
  <c r="M871" i="1"/>
  <c r="L871" i="1"/>
  <c r="M870" i="1"/>
  <c r="L870" i="1"/>
  <c r="M869" i="1"/>
  <c r="L869" i="1"/>
  <c r="M868" i="1"/>
  <c r="L868" i="1"/>
  <c r="M867" i="1"/>
  <c r="L867" i="1"/>
  <c r="M866" i="1"/>
  <c r="L866" i="1"/>
  <c r="M865" i="1"/>
  <c r="L865" i="1"/>
  <c r="M864" i="1"/>
  <c r="L864" i="1"/>
  <c r="M863" i="1"/>
  <c r="L863" i="1"/>
  <c r="M862" i="1"/>
  <c r="L862" i="1"/>
  <c r="M861" i="1"/>
  <c r="L861" i="1"/>
  <c r="M860" i="1"/>
  <c r="L860" i="1"/>
  <c r="M859" i="1"/>
  <c r="L859" i="1"/>
  <c r="M858" i="1"/>
  <c r="L858" i="1"/>
  <c r="M857" i="1"/>
  <c r="L857" i="1"/>
  <c r="M856" i="1"/>
  <c r="L856" i="1"/>
  <c r="M855" i="1"/>
  <c r="L855" i="1"/>
  <c r="M854" i="1"/>
  <c r="L854" i="1"/>
  <c r="M853" i="1"/>
  <c r="L853" i="1"/>
  <c r="M852" i="1"/>
  <c r="L852" i="1"/>
  <c r="M851" i="1"/>
  <c r="L851" i="1"/>
  <c r="M850" i="1"/>
  <c r="L850" i="1"/>
  <c r="M849" i="1"/>
  <c r="L849" i="1"/>
  <c r="M848" i="1"/>
  <c r="L848" i="1"/>
  <c r="M847" i="1"/>
  <c r="L847" i="1"/>
  <c r="M846" i="1"/>
  <c r="L846" i="1"/>
  <c r="M845" i="1"/>
  <c r="L845" i="1"/>
  <c r="M844" i="1"/>
  <c r="L844" i="1"/>
  <c r="M843" i="1"/>
  <c r="L843" i="1"/>
  <c r="M842" i="1"/>
  <c r="L842" i="1"/>
  <c r="M841" i="1"/>
  <c r="L841" i="1"/>
  <c r="M840" i="1"/>
  <c r="L840" i="1"/>
  <c r="M839" i="1"/>
  <c r="L839" i="1"/>
  <c r="M838" i="1"/>
  <c r="L838" i="1"/>
  <c r="M837" i="1"/>
  <c r="L837" i="1"/>
  <c r="M836" i="1"/>
  <c r="L836" i="1"/>
  <c r="M835" i="1"/>
  <c r="L835" i="1"/>
  <c r="M834" i="1"/>
  <c r="L834" i="1"/>
  <c r="M833" i="1"/>
  <c r="L833" i="1"/>
  <c r="M832" i="1"/>
  <c r="L832" i="1"/>
  <c r="M831" i="1"/>
  <c r="L831" i="1"/>
  <c r="M830" i="1"/>
  <c r="L830" i="1"/>
  <c r="M829" i="1"/>
  <c r="L829" i="1"/>
  <c r="M828" i="1"/>
  <c r="L828" i="1"/>
  <c r="M827" i="1"/>
  <c r="L827" i="1"/>
  <c r="M826" i="1"/>
  <c r="L826" i="1"/>
  <c r="M825" i="1"/>
  <c r="L825" i="1"/>
  <c r="M824" i="1"/>
  <c r="L824" i="1"/>
  <c r="M823" i="1"/>
  <c r="L823" i="1"/>
  <c r="M822" i="1"/>
  <c r="L822" i="1"/>
  <c r="M821" i="1"/>
  <c r="L821" i="1"/>
  <c r="M820" i="1"/>
  <c r="L820" i="1"/>
  <c r="M819" i="1"/>
  <c r="L819" i="1"/>
  <c r="M818" i="1"/>
  <c r="L818" i="1"/>
  <c r="M817" i="1"/>
  <c r="L817" i="1"/>
  <c r="M816" i="1"/>
  <c r="L816" i="1"/>
  <c r="M815" i="1"/>
  <c r="L815" i="1"/>
  <c r="M814" i="1"/>
  <c r="L814" i="1"/>
  <c r="M813" i="1"/>
  <c r="L813" i="1"/>
  <c r="M812" i="1"/>
  <c r="L812" i="1"/>
  <c r="M811" i="1"/>
  <c r="L811" i="1"/>
  <c r="M810" i="1"/>
  <c r="L810" i="1"/>
  <c r="M809" i="1"/>
  <c r="L809" i="1"/>
  <c r="M808" i="1"/>
  <c r="L808" i="1"/>
  <c r="M807" i="1"/>
  <c r="L807" i="1"/>
  <c r="M806" i="1"/>
  <c r="L806" i="1"/>
  <c r="M805" i="1"/>
  <c r="L805" i="1"/>
  <c r="M804" i="1"/>
  <c r="L804" i="1"/>
  <c r="M803" i="1"/>
  <c r="L803" i="1"/>
  <c r="M802" i="1"/>
  <c r="L802" i="1"/>
  <c r="M801" i="1"/>
  <c r="L801" i="1"/>
  <c r="M800" i="1"/>
  <c r="L800" i="1"/>
  <c r="M799" i="1"/>
  <c r="L799" i="1"/>
  <c r="M798" i="1"/>
  <c r="L798" i="1"/>
  <c r="M797" i="1"/>
  <c r="L797" i="1"/>
  <c r="M796" i="1"/>
  <c r="L796" i="1"/>
  <c r="M795" i="1"/>
  <c r="L795" i="1"/>
  <c r="M794" i="1"/>
  <c r="L794" i="1"/>
  <c r="M793" i="1"/>
  <c r="L793" i="1"/>
  <c r="M792" i="1"/>
  <c r="L792" i="1"/>
  <c r="M791" i="1"/>
  <c r="L791" i="1"/>
  <c r="M790" i="1"/>
  <c r="L790" i="1"/>
  <c r="M789" i="1"/>
  <c r="L789" i="1"/>
  <c r="M788" i="1"/>
  <c r="L788" i="1"/>
  <c r="M787" i="1"/>
  <c r="L787" i="1"/>
  <c r="M786" i="1"/>
  <c r="L786" i="1"/>
  <c r="M785" i="1"/>
  <c r="L785" i="1"/>
  <c r="M784" i="1"/>
  <c r="L784" i="1"/>
  <c r="M783" i="1"/>
  <c r="L783" i="1"/>
  <c r="M782" i="1"/>
  <c r="L782" i="1"/>
  <c r="M781" i="1"/>
  <c r="L781" i="1"/>
  <c r="M780" i="1"/>
  <c r="L780" i="1"/>
  <c r="M779" i="1"/>
  <c r="L779" i="1"/>
  <c r="M778" i="1"/>
  <c r="L778" i="1"/>
  <c r="M777" i="1"/>
  <c r="L777" i="1"/>
  <c r="M776" i="1"/>
  <c r="L776" i="1"/>
  <c r="M775" i="1"/>
  <c r="L775" i="1"/>
  <c r="M774" i="1"/>
  <c r="L774" i="1"/>
  <c r="M773" i="1"/>
  <c r="L773" i="1"/>
  <c r="M772" i="1"/>
  <c r="L772" i="1"/>
  <c r="M771" i="1"/>
  <c r="L771" i="1"/>
  <c r="M770" i="1"/>
  <c r="L770" i="1"/>
  <c r="M769" i="1"/>
  <c r="L769" i="1"/>
  <c r="M768" i="1"/>
  <c r="L768" i="1"/>
  <c r="M767" i="1"/>
  <c r="L767" i="1"/>
  <c r="M766" i="1"/>
  <c r="L766" i="1"/>
  <c r="M765" i="1"/>
  <c r="L765" i="1"/>
  <c r="M764" i="1"/>
  <c r="L764" i="1"/>
  <c r="M763" i="1"/>
  <c r="L763" i="1"/>
  <c r="M762" i="1"/>
  <c r="L762" i="1"/>
  <c r="M761" i="1"/>
  <c r="L761" i="1"/>
  <c r="M760" i="1"/>
  <c r="L760" i="1"/>
  <c r="M759" i="1"/>
  <c r="L759" i="1"/>
  <c r="M758" i="1"/>
  <c r="L758" i="1"/>
  <c r="M757" i="1"/>
  <c r="L757" i="1"/>
  <c r="M756" i="1"/>
  <c r="L756" i="1"/>
  <c r="M755" i="1"/>
  <c r="L755" i="1"/>
  <c r="M754" i="1"/>
  <c r="L754" i="1"/>
  <c r="M753" i="1"/>
  <c r="L753" i="1"/>
  <c r="M752" i="1"/>
  <c r="L752" i="1"/>
  <c r="M751" i="1"/>
  <c r="L751" i="1"/>
  <c r="M750" i="1"/>
  <c r="L750" i="1"/>
  <c r="M749" i="1"/>
  <c r="L749" i="1"/>
  <c r="M748" i="1"/>
  <c r="L748" i="1"/>
  <c r="M747" i="1"/>
  <c r="L747" i="1"/>
  <c r="M746" i="1"/>
  <c r="L746" i="1"/>
  <c r="M745" i="1"/>
  <c r="L745" i="1"/>
  <c r="M744" i="1"/>
  <c r="L744" i="1"/>
  <c r="M743" i="1"/>
  <c r="L743" i="1"/>
  <c r="M742" i="1"/>
  <c r="L742" i="1"/>
  <c r="M741" i="1"/>
  <c r="L741" i="1"/>
  <c r="M740" i="1"/>
  <c r="L740" i="1"/>
  <c r="M739" i="1"/>
  <c r="L739" i="1"/>
  <c r="M738" i="1"/>
  <c r="L738" i="1"/>
  <c r="M737" i="1"/>
  <c r="L737" i="1"/>
  <c r="M736" i="1"/>
  <c r="L736" i="1"/>
  <c r="M735" i="1"/>
  <c r="L735" i="1"/>
  <c r="M734" i="1"/>
  <c r="L734" i="1"/>
  <c r="M733" i="1"/>
  <c r="L733" i="1"/>
  <c r="M732" i="1"/>
  <c r="L732" i="1"/>
  <c r="M731" i="1"/>
  <c r="L731" i="1"/>
  <c r="M730" i="1"/>
  <c r="L730" i="1"/>
  <c r="M729" i="1"/>
  <c r="L729" i="1"/>
  <c r="M728" i="1"/>
  <c r="L728" i="1"/>
  <c r="M727" i="1"/>
  <c r="L727" i="1"/>
  <c r="M726" i="1"/>
  <c r="L726" i="1"/>
  <c r="M725" i="1"/>
  <c r="L725" i="1"/>
  <c r="M724" i="1"/>
  <c r="L724" i="1"/>
  <c r="M723" i="1"/>
  <c r="L723" i="1"/>
  <c r="M722" i="1"/>
  <c r="L722" i="1"/>
  <c r="M721" i="1"/>
  <c r="L721" i="1"/>
  <c r="M720" i="1"/>
  <c r="L720" i="1"/>
  <c r="M719" i="1"/>
  <c r="L719" i="1"/>
  <c r="M718" i="1"/>
  <c r="L718" i="1"/>
  <c r="M717" i="1"/>
  <c r="L717" i="1"/>
  <c r="M716" i="1"/>
  <c r="L716" i="1"/>
  <c r="M715" i="1"/>
  <c r="L715" i="1"/>
  <c r="M714" i="1"/>
  <c r="L714" i="1"/>
  <c r="M713" i="1"/>
  <c r="L713" i="1"/>
  <c r="M712" i="1"/>
  <c r="L712" i="1"/>
  <c r="M711" i="1"/>
  <c r="L711" i="1"/>
  <c r="M710" i="1"/>
  <c r="L710" i="1"/>
  <c r="M709" i="1"/>
  <c r="L709" i="1"/>
  <c r="M708" i="1"/>
  <c r="L708" i="1"/>
  <c r="M707" i="1"/>
  <c r="L707" i="1"/>
  <c r="M706" i="1"/>
  <c r="L706" i="1"/>
  <c r="M705" i="1"/>
  <c r="L705" i="1"/>
  <c r="M704" i="1"/>
  <c r="L704" i="1"/>
  <c r="M703" i="1"/>
  <c r="L703" i="1"/>
  <c r="M702" i="1"/>
  <c r="L702" i="1"/>
  <c r="M701" i="1"/>
  <c r="L701" i="1"/>
  <c r="M700" i="1"/>
  <c r="L700" i="1"/>
  <c r="M699" i="1"/>
  <c r="L699" i="1"/>
  <c r="M698" i="1"/>
  <c r="L698" i="1"/>
  <c r="M697" i="1"/>
  <c r="L697" i="1"/>
  <c r="M696" i="1"/>
  <c r="L696" i="1"/>
  <c r="M695" i="1"/>
  <c r="L695" i="1"/>
  <c r="M694" i="1"/>
  <c r="L694" i="1"/>
  <c r="M693" i="1"/>
  <c r="L693" i="1"/>
  <c r="M692" i="1"/>
  <c r="L692" i="1"/>
  <c r="M691" i="1"/>
  <c r="L691" i="1"/>
  <c r="M690" i="1"/>
  <c r="L690" i="1"/>
  <c r="M689" i="1"/>
  <c r="L689" i="1"/>
  <c r="M688" i="1"/>
  <c r="L688" i="1"/>
  <c r="M687" i="1"/>
  <c r="L687" i="1"/>
  <c r="M686" i="1"/>
  <c r="L686" i="1"/>
  <c r="M685" i="1"/>
  <c r="L685" i="1"/>
  <c r="M684" i="1"/>
  <c r="L684" i="1"/>
  <c r="M683" i="1"/>
  <c r="L683" i="1"/>
  <c r="M682" i="1"/>
  <c r="L682" i="1"/>
  <c r="M681" i="1"/>
  <c r="L681" i="1"/>
  <c r="M680" i="1"/>
  <c r="L680" i="1"/>
  <c r="M679" i="1"/>
  <c r="L679" i="1"/>
  <c r="M678" i="1"/>
  <c r="L678" i="1"/>
  <c r="M677" i="1"/>
  <c r="L677" i="1"/>
  <c r="M676" i="1"/>
  <c r="L676" i="1"/>
  <c r="M675" i="1"/>
  <c r="L675" i="1"/>
  <c r="M674" i="1"/>
  <c r="L674" i="1"/>
  <c r="M673" i="1"/>
  <c r="L673" i="1"/>
  <c r="M672" i="1"/>
  <c r="L672" i="1"/>
  <c r="M671" i="1"/>
  <c r="L671" i="1"/>
  <c r="M670" i="1"/>
  <c r="L670" i="1"/>
  <c r="M669" i="1"/>
  <c r="L669" i="1"/>
  <c r="M668" i="1"/>
  <c r="L668" i="1"/>
  <c r="M667" i="1"/>
  <c r="L667" i="1"/>
  <c r="M666" i="1"/>
  <c r="L666" i="1"/>
  <c r="M665" i="1"/>
  <c r="L665" i="1"/>
  <c r="M664" i="1"/>
  <c r="L664" i="1"/>
  <c r="M663" i="1"/>
  <c r="L663" i="1"/>
  <c r="M662" i="1"/>
  <c r="L662" i="1"/>
  <c r="M661" i="1"/>
  <c r="L661" i="1"/>
  <c r="M660" i="1"/>
  <c r="L660" i="1"/>
  <c r="M659" i="1"/>
  <c r="L659" i="1"/>
  <c r="M658" i="1"/>
  <c r="L658" i="1"/>
  <c r="M657" i="1"/>
  <c r="L657" i="1"/>
  <c r="M656" i="1"/>
  <c r="L656" i="1"/>
  <c r="M655" i="1"/>
  <c r="L655" i="1"/>
  <c r="M654" i="1"/>
  <c r="L654" i="1"/>
  <c r="M653" i="1"/>
  <c r="L653" i="1"/>
  <c r="M652" i="1"/>
  <c r="L652" i="1"/>
  <c r="M651" i="1"/>
  <c r="L651" i="1"/>
  <c r="M650" i="1"/>
  <c r="L650" i="1"/>
  <c r="M649" i="1"/>
  <c r="L649" i="1"/>
  <c r="M648" i="1"/>
  <c r="L648" i="1"/>
  <c r="M647" i="1"/>
  <c r="L647" i="1"/>
  <c r="M646" i="1"/>
  <c r="L646" i="1"/>
  <c r="M645" i="1"/>
  <c r="L645" i="1"/>
  <c r="M644" i="1"/>
  <c r="L644" i="1"/>
  <c r="M643" i="1"/>
  <c r="L643" i="1"/>
  <c r="M642" i="1"/>
  <c r="L642" i="1"/>
  <c r="M641" i="1"/>
  <c r="L641" i="1"/>
  <c r="M640" i="1"/>
  <c r="L640" i="1"/>
  <c r="M639" i="1"/>
  <c r="L639" i="1"/>
  <c r="M638" i="1"/>
  <c r="L638" i="1"/>
  <c r="M637" i="1"/>
  <c r="L637" i="1"/>
  <c r="M636" i="1"/>
  <c r="L636" i="1"/>
  <c r="M635" i="1"/>
  <c r="L635" i="1"/>
  <c r="M634" i="1"/>
  <c r="L634" i="1"/>
  <c r="M633" i="1"/>
  <c r="L633" i="1"/>
  <c r="M632" i="1"/>
  <c r="L632" i="1"/>
  <c r="M631" i="1"/>
  <c r="L631" i="1"/>
  <c r="M630" i="1"/>
  <c r="L630" i="1"/>
  <c r="M629" i="1"/>
  <c r="L629" i="1"/>
  <c r="M628" i="1"/>
  <c r="L628" i="1"/>
  <c r="M627" i="1"/>
  <c r="L627" i="1"/>
  <c r="M626" i="1"/>
  <c r="L626" i="1"/>
  <c r="M625" i="1"/>
  <c r="L625" i="1"/>
  <c r="L624" i="1"/>
  <c r="M623" i="1"/>
  <c r="L623" i="1"/>
  <c r="M622" i="1"/>
  <c r="L622" i="1"/>
  <c r="M621" i="1"/>
  <c r="L621" i="1"/>
  <c r="M620" i="1"/>
  <c r="L620" i="1"/>
  <c r="M619" i="1"/>
  <c r="L619" i="1"/>
  <c r="M618" i="1"/>
  <c r="L618" i="1"/>
  <c r="M617" i="1"/>
  <c r="L617" i="1"/>
  <c r="M616" i="1"/>
  <c r="L616" i="1"/>
  <c r="M615" i="1"/>
  <c r="L615" i="1"/>
  <c r="M614" i="1"/>
  <c r="L614" i="1"/>
  <c r="M613" i="1"/>
  <c r="L613" i="1"/>
  <c r="M612" i="1"/>
  <c r="L612" i="1"/>
  <c r="M611" i="1"/>
  <c r="L611" i="1"/>
  <c r="M610" i="1"/>
  <c r="L610" i="1"/>
  <c r="M609" i="1"/>
  <c r="L609" i="1"/>
  <c r="M608" i="1"/>
  <c r="L608" i="1"/>
  <c r="M607" i="1"/>
  <c r="L607" i="1"/>
  <c r="M606" i="1"/>
  <c r="L606" i="1"/>
  <c r="M605" i="1"/>
  <c r="L605" i="1"/>
  <c r="M604" i="1"/>
  <c r="L604" i="1"/>
  <c r="M603" i="1"/>
  <c r="L603" i="1"/>
  <c r="M602" i="1"/>
  <c r="L602" i="1"/>
  <c r="M601" i="1"/>
  <c r="L601" i="1"/>
  <c r="M600" i="1"/>
  <c r="L600" i="1"/>
  <c r="M599" i="1"/>
  <c r="L599" i="1"/>
  <c r="M598" i="1"/>
  <c r="L598" i="1"/>
  <c r="M597" i="1"/>
  <c r="L597" i="1"/>
  <c r="M596" i="1"/>
  <c r="L596" i="1"/>
  <c r="M595" i="1"/>
  <c r="L595" i="1"/>
  <c r="M594" i="1"/>
  <c r="L594" i="1"/>
  <c r="M593" i="1"/>
  <c r="L593" i="1"/>
  <c r="M592" i="1"/>
  <c r="L592" i="1"/>
  <c r="M591" i="1"/>
  <c r="L591" i="1"/>
  <c r="M590" i="1"/>
  <c r="L590" i="1"/>
  <c r="M589" i="1"/>
  <c r="L589" i="1"/>
  <c r="M588" i="1"/>
  <c r="L588" i="1"/>
  <c r="M587" i="1"/>
  <c r="L587" i="1"/>
  <c r="M586" i="1"/>
  <c r="L586" i="1"/>
  <c r="M585" i="1"/>
  <c r="L585" i="1"/>
  <c r="M584" i="1"/>
  <c r="L584" i="1"/>
  <c r="M583" i="1"/>
  <c r="L583" i="1"/>
  <c r="M582" i="1"/>
  <c r="L582" i="1"/>
  <c r="M581" i="1"/>
  <c r="L581" i="1"/>
  <c r="M580" i="1"/>
  <c r="L580" i="1"/>
  <c r="M579" i="1"/>
  <c r="L579" i="1"/>
  <c r="M578" i="1"/>
  <c r="L578" i="1"/>
  <c r="M577" i="1"/>
  <c r="L577" i="1"/>
  <c r="M576" i="1"/>
  <c r="L576" i="1"/>
  <c r="M575" i="1"/>
  <c r="L575" i="1"/>
  <c r="M574" i="1"/>
  <c r="L574" i="1"/>
  <c r="M573" i="1"/>
  <c r="L573" i="1"/>
  <c r="M572" i="1"/>
  <c r="L572" i="1"/>
  <c r="M571" i="1"/>
  <c r="L571" i="1"/>
  <c r="M570" i="1"/>
  <c r="L570" i="1"/>
  <c r="M569" i="1"/>
  <c r="L569" i="1"/>
  <c r="M568" i="1"/>
  <c r="L568" i="1"/>
  <c r="M567" i="1"/>
  <c r="L567" i="1"/>
  <c r="M566" i="1"/>
  <c r="L566" i="1"/>
  <c r="M565" i="1"/>
  <c r="L565" i="1"/>
  <c r="M564" i="1"/>
  <c r="L564" i="1"/>
  <c r="M563" i="1"/>
  <c r="L563" i="1"/>
  <c r="M562" i="1"/>
  <c r="L562" i="1"/>
  <c r="M561" i="1"/>
  <c r="L561" i="1"/>
  <c r="M560" i="1"/>
  <c r="L560" i="1"/>
  <c r="M559" i="1"/>
  <c r="L559" i="1"/>
  <c r="M558" i="1"/>
  <c r="L558" i="1"/>
  <c r="M557" i="1"/>
  <c r="L557" i="1"/>
  <c r="M556" i="1"/>
  <c r="L556" i="1"/>
  <c r="M555" i="1"/>
  <c r="L555" i="1"/>
  <c r="M554" i="1"/>
  <c r="L554" i="1"/>
  <c r="M553" i="1"/>
  <c r="L553" i="1"/>
  <c r="M552" i="1"/>
  <c r="L552" i="1"/>
  <c r="M551" i="1"/>
  <c r="L551" i="1"/>
  <c r="M550" i="1"/>
  <c r="L550" i="1"/>
  <c r="M549" i="1"/>
  <c r="L549" i="1"/>
  <c r="M548" i="1"/>
  <c r="L548" i="1"/>
  <c r="M547" i="1"/>
  <c r="L547" i="1"/>
  <c r="M546" i="1"/>
  <c r="L546" i="1"/>
  <c r="M545" i="1"/>
  <c r="L545" i="1"/>
  <c r="M544" i="1"/>
  <c r="L544" i="1"/>
  <c r="M543" i="1"/>
  <c r="L543" i="1"/>
  <c r="M542" i="1"/>
  <c r="L542" i="1"/>
  <c r="M541" i="1"/>
  <c r="L541" i="1"/>
  <c r="M540" i="1"/>
  <c r="L540" i="1"/>
  <c r="M539" i="1"/>
  <c r="L539" i="1"/>
  <c r="M538" i="1"/>
  <c r="L538" i="1"/>
  <c r="M537" i="1"/>
  <c r="L537" i="1"/>
  <c r="M536" i="1"/>
  <c r="L536" i="1"/>
  <c r="M535" i="1"/>
  <c r="L535" i="1"/>
  <c r="M534" i="1"/>
  <c r="L534" i="1"/>
  <c r="M533" i="1"/>
  <c r="L533" i="1"/>
  <c r="M532" i="1"/>
  <c r="L532" i="1"/>
  <c r="M531" i="1"/>
  <c r="L531" i="1"/>
  <c r="M530" i="1"/>
  <c r="L530" i="1"/>
  <c r="M529" i="1"/>
  <c r="L529" i="1"/>
  <c r="M528" i="1"/>
  <c r="L528" i="1"/>
  <c r="M527" i="1"/>
  <c r="L527" i="1"/>
  <c r="M526" i="1"/>
  <c r="L526" i="1"/>
  <c r="M525" i="1"/>
  <c r="L525" i="1"/>
  <c r="M524" i="1"/>
  <c r="L524" i="1"/>
  <c r="M523" i="1"/>
  <c r="L523" i="1"/>
  <c r="M522" i="1"/>
  <c r="L522" i="1"/>
  <c r="M521" i="1"/>
  <c r="L521" i="1"/>
  <c r="M520" i="1"/>
  <c r="L520" i="1"/>
  <c r="M519" i="1"/>
  <c r="L519" i="1"/>
  <c r="M518" i="1"/>
  <c r="L518" i="1"/>
  <c r="M517" i="1"/>
  <c r="L517" i="1"/>
  <c r="M516" i="1"/>
  <c r="L516" i="1"/>
  <c r="M515" i="1"/>
  <c r="L515" i="1"/>
  <c r="M514" i="1"/>
  <c r="L514" i="1"/>
  <c r="M513" i="1"/>
  <c r="L513" i="1"/>
  <c r="M512" i="1"/>
  <c r="L512" i="1"/>
  <c r="M511" i="1"/>
  <c r="L511" i="1"/>
  <c r="M510" i="1"/>
  <c r="L510" i="1"/>
  <c r="M509" i="1"/>
  <c r="L509" i="1"/>
  <c r="M508" i="1"/>
  <c r="L508" i="1"/>
  <c r="M507" i="1"/>
  <c r="L507" i="1"/>
  <c r="M506" i="1"/>
  <c r="L506" i="1"/>
  <c r="M505" i="1"/>
  <c r="L505" i="1"/>
  <c r="M504" i="1"/>
  <c r="L504" i="1"/>
  <c r="M503" i="1"/>
  <c r="L503" i="1"/>
  <c r="M502" i="1"/>
  <c r="L502" i="1"/>
  <c r="M501" i="1"/>
  <c r="L501" i="1"/>
  <c r="M500" i="1"/>
  <c r="L500" i="1"/>
  <c r="M499" i="1"/>
  <c r="L499" i="1"/>
  <c r="M498" i="1"/>
  <c r="L498" i="1"/>
  <c r="M497" i="1"/>
  <c r="L497" i="1"/>
  <c r="M496" i="1"/>
  <c r="L496" i="1"/>
  <c r="M495" i="1"/>
  <c r="L495" i="1"/>
  <c r="M494" i="1"/>
  <c r="L494" i="1"/>
  <c r="M493" i="1"/>
  <c r="L493" i="1"/>
  <c r="M492" i="1"/>
  <c r="L492" i="1"/>
  <c r="M491" i="1"/>
  <c r="L491" i="1"/>
  <c r="M490" i="1"/>
  <c r="L490" i="1"/>
  <c r="M489" i="1"/>
  <c r="L489" i="1"/>
  <c r="M488" i="1"/>
  <c r="L488" i="1"/>
  <c r="M487" i="1"/>
  <c r="L487" i="1"/>
  <c r="M486" i="1"/>
  <c r="L486" i="1"/>
  <c r="M485" i="1"/>
  <c r="L485" i="1"/>
  <c r="M484" i="1"/>
  <c r="L484" i="1"/>
  <c r="M483" i="1"/>
  <c r="L483" i="1"/>
  <c r="M482" i="1"/>
  <c r="L482" i="1"/>
  <c r="M481" i="1"/>
  <c r="L481" i="1"/>
  <c r="M480" i="1"/>
  <c r="L480" i="1"/>
  <c r="M479" i="1"/>
  <c r="L479" i="1"/>
  <c r="M478" i="1"/>
  <c r="L478" i="1"/>
  <c r="M477" i="1"/>
  <c r="L477" i="1"/>
  <c r="M476" i="1"/>
  <c r="L476" i="1"/>
  <c r="M475" i="1"/>
  <c r="L475" i="1"/>
  <c r="M474" i="1"/>
  <c r="L474" i="1"/>
  <c r="M473" i="1"/>
  <c r="L473" i="1"/>
  <c r="M472" i="1"/>
  <c r="L472" i="1"/>
  <c r="M471" i="1"/>
  <c r="L471" i="1"/>
  <c r="M470" i="1"/>
  <c r="L470" i="1"/>
  <c r="M469" i="1"/>
  <c r="L469" i="1"/>
  <c r="M468" i="1"/>
  <c r="L468" i="1"/>
  <c r="M467" i="1"/>
  <c r="L467" i="1"/>
  <c r="M466" i="1"/>
  <c r="L466" i="1"/>
  <c r="M465" i="1"/>
  <c r="L465" i="1"/>
  <c r="M464" i="1"/>
  <c r="L464" i="1"/>
  <c r="M463" i="1"/>
  <c r="L463" i="1"/>
  <c r="M462" i="1"/>
  <c r="L462" i="1"/>
  <c r="M461" i="1"/>
  <c r="L461" i="1"/>
  <c r="M460" i="1"/>
  <c r="L460" i="1"/>
  <c r="M459" i="1"/>
  <c r="L459" i="1"/>
  <c r="M458" i="1"/>
  <c r="L458" i="1"/>
  <c r="M457" i="1"/>
  <c r="L457" i="1"/>
  <c r="M456" i="1"/>
  <c r="L456" i="1"/>
  <c r="M455" i="1"/>
  <c r="L455" i="1"/>
  <c r="M454" i="1"/>
  <c r="L454" i="1"/>
  <c r="M453" i="1"/>
  <c r="L453" i="1"/>
  <c r="M452" i="1"/>
  <c r="L452" i="1"/>
  <c r="M451" i="1"/>
  <c r="L451" i="1"/>
  <c r="M450" i="1"/>
  <c r="L450" i="1"/>
  <c r="M449" i="1"/>
  <c r="L449" i="1"/>
  <c r="M448" i="1"/>
  <c r="L448" i="1"/>
  <c r="M447" i="1"/>
  <c r="L447" i="1"/>
  <c r="M446" i="1"/>
  <c r="L446" i="1"/>
  <c r="M445" i="1"/>
  <c r="L445" i="1"/>
  <c r="M444" i="1"/>
  <c r="L444" i="1"/>
  <c r="M443" i="1"/>
  <c r="L443" i="1"/>
  <c r="M442" i="1"/>
  <c r="L442" i="1"/>
  <c r="M441" i="1"/>
  <c r="L441" i="1"/>
  <c r="M440" i="1"/>
  <c r="L440" i="1"/>
  <c r="M439" i="1"/>
  <c r="L439" i="1"/>
  <c r="M438" i="1"/>
  <c r="L438" i="1"/>
  <c r="M437" i="1"/>
  <c r="L437" i="1"/>
  <c r="M436" i="1"/>
  <c r="L436" i="1"/>
  <c r="M435" i="1"/>
  <c r="L435" i="1"/>
  <c r="M434" i="1"/>
  <c r="L434" i="1"/>
  <c r="M433" i="1"/>
  <c r="L433" i="1"/>
  <c r="M432" i="1"/>
  <c r="L432" i="1"/>
  <c r="M431" i="1"/>
  <c r="L431" i="1"/>
  <c r="M430" i="1"/>
  <c r="L430" i="1"/>
  <c r="M429" i="1"/>
  <c r="L429" i="1"/>
  <c r="M428" i="1"/>
  <c r="L428" i="1"/>
  <c r="M427" i="1"/>
  <c r="L427" i="1"/>
  <c r="M426" i="1"/>
  <c r="L426" i="1"/>
  <c r="M425" i="1"/>
  <c r="L425" i="1"/>
  <c r="M424" i="1"/>
  <c r="L424" i="1"/>
  <c r="M423" i="1"/>
  <c r="L423" i="1"/>
  <c r="M422" i="1"/>
  <c r="L422" i="1"/>
  <c r="M421" i="1"/>
  <c r="L421" i="1"/>
  <c r="M420" i="1"/>
  <c r="L420" i="1"/>
  <c r="M419" i="1"/>
  <c r="L419" i="1"/>
  <c r="M418" i="1"/>
  <c r="L418" i="1"/>
  <c r="M417" i="1"/>
  <c r="L417" i="1"/>
  <c r="M416" i="1"/>
  <c r="L416" i="1"/>
  <c r="M415" i="1"/>
  <c r="L415" i="1"/>
  <c r="M414" i="1"/>
  <c r="L414" i="1"/>
  <c r="M413" i="1"/>
  <c r="L413" i="1"/>
  <c r="M412" i="1"/>
  <c r="L412" i="1"/>
  <c r="M411" i="1"/>
  <c r="L411" i="1"/>
  <c r="M410" i="1"/>
  <c r="L410" i="1"/>
  <c r="M409" i="1"/>
  <c r="L409" i="1"/>
  <c r="M408" i="1"/>
  <c r="L408" i="1"/>
  <c r="M407" i="1"/>
  <c r="L407" i="1"/>
  <c r="M406" i="1"/>
  <c r="L406" i="1"/>
  <c r="M405" i="1"/>
  <c r="L405" i="1"/>
  <c r="M404" i="1"/>
  <c r="L404" i="1"/>
  <c r="M403" i="1"/>
  <c r="L403" i="1"/>
  <c r="M402" i="1"/>
  <c r="L402" i="1"/>
  <c r="M401" i="1"/>
  <c r="L401" i="1"/>
  <c r="M400" i="1"/>
  <c r="L400" i="1"/>
  <c r="M399" i="1"/>
  <c r="L399" i="1"/>
  <c r="M398" i="1"/>
  <c r="L398" i="1"/>
  <c r="M397" i="1"/>
  <c r="L397" i="1"/>
  <c r="M396" i="1"/>
  <c r="L396" i="1"/>
  <c r="M395" i="1"/>
  <c r="L395" i="1"/>
  <c r="M394" i="1"/>
  <c r="L394" i="1"/>
  <c r="M393" i="1"/>
  <c r="L393" i="1"/>
  <c r="M392" i="1"/>
  <c r="L392" i="1"/>
  <c r="M391" i="1"/>
  <c r="L391" i="1"/>
  <c r="M390" i="1"/>
  <c r="L390" i="1"/>
  <c r="M389" i="1"/>
  <c r="L389" i="1"/>
  <c r="M388" i="1"/>
  <c r="L388" i="1"/>
  <c r="M387" i="1"/>
  <c r="L387" i="1"/>
  <c r="M386" i="1"/>
  <c r="L386" i="1"/>
  <c r="M385" i="1"/>
  <c r="L385" i="1"/>
  <c r="M384" i="1"/>
  <c r="L384" i="1"/>
  <c r="M383" i="1"/>
  <c r="L383" i="1"/>
  <c r="M382" i="1"/>
  <c r="L382" i="1"/>
  <c r="M381" i="1"/>
  <c r="L381" i="1"/>
  <c r="M380" i="1"/>
  <c r="L380" i="1"/>
  <c r="M379" i="1"/>
  <c r="L379" i="1"/>
  <c r="M378" i="1"/>
  <c r="L378" i="1"/>
  <c r="M377" i="1"/>
  <c r="L377" i="1"/>
  <c r="L376" i="1"/>
  <c r="L375" i="1"/>
  <c r="L374" i="1"/>
  <c r="M373" i="1"/>
  <c r="L373" i="1"/>
  <c r="M372" i="1"/>
  <c r="L372" i="1"/>
  <c r="M371" i="1"/>
  <c r="L371" i="1"/>
  <c r="M370" i="1"/>
  <c r="L370" i="1"/>
  <c r="M369" i="1"/>
  <c r="L369" i="1"/>
  <c r="M368" i="1"/>
  <c r="L368" i="1"/>
  <c r="M367" i="1"/>
  <c r="L367" i="1"/>
  <c r="M366" i="1"/>
  <c r="L366" i="1"/>
  <c r="M365" i="1"/>
  <c r="L365" i="1"/>
  <c r="M364" i="1"/>
  <c r="L364" i="1"/>
  <c r="M363" i="1"/>
  <c r="L363" i="1"/>
  <c r="M362" i="1"/>
  <c r="L362" i="1"/>
  <c r="M361" i="1"/>
  <c r="L361" i="1"/>
  <c r="M360" i="1"/>
  <c r="L360" i="1"/>
  <c r="M359" i="1"/>
  <c r="L359" i="1"/>
  <c r="M358" i="1"/>
  <c r="L358" i="1"/>
  <c r="M357" i="1"/>
  <c r="L357" i="1"/>
  <c r="M356" i="1"/>
  <c r="L356" i="1"/>
  <c r="M355" i="1"/>
  <c r="L355" i="1"/>
  <c r="M354" i="1"/>
  <c r="L354" i="1"/>
  <c r="M353" i="1"/>
  <c r="L353" i="1"/>
  <c r="M352" i="1"/>
  <c r="L352" i="1"/>
  <c r="M351" i="1"/>
  <c r="L351" i="1"/>
  <c r="M350" i="1"/>
  <c r="L350" i="1"/>
  <c r="M349" i="1"/>
  <c r="L349" i="1"/>
  <c r="M348" i="1"/>
  <c r="L348" i="1"/>
  <c r="M347" i="1"/>
  <c r="L347" i="1"/>
  <c r="M346" i="1"/>
  <c r="L346" i="1"/>
  <c r="M345" i="1"/>
  <c r="L345" i="1"/>
  <c r="M344" i="1"/>
  <c r="L344" i="1"/>
  <c r="M343" i="1"/>
  <c r="L343" i="1"/>
  <c r="M342" i="1"/>
  <c r="L342" i="1"/>
  <c r="M341" i="1"/>
  <c r="L341" i="1"/>
  <c r="M340" i="1"/>
  <c r="L340" i="1"/>
  <c r="M339" i="1"/>
  <c r="L339" i="1"/>
  <c r="M338" i="1"/>
  <c r="L338" i="1"/>
  <c r="M337" i="1"/>
  <c r="L337" i="1"/>
  <c r="M336" i="1"/>
  <c r="L336" i="1"/>
  <c r="M335" i="1"/>
  <c r="L335" i="1"/>
  <c r="M334" i="1"/>
  <c r="L334" i="1"/>
  <c r="M333" i="1"/>
  <c r="L333" i="1"/>
  <c r="M332" i="1"/>
  <c r="L332" i="1"/>
  <c r="M331" i="1"/>
  <c r="L331" i="1"/>
  <c r="M330" i="1"/>
  <c r="L330" i="1"/>
  <c r="M329" i="1"/>
  <c r="L329" i="1"/>
  <c r="M328" i="1"/>
  <c r="L328" i="1"/>
  <c r="M327" i="1"/>
  <c r="L327" i="1"/>
  <c r="M326" i="1"/>
  <c r="L326" i="1"/>
  <c r="M325" i="1"/>
  <c r="L325" i="1"/>
  <c r="M324" i="1"/>
  <c r="L324" i="1"/>
  <c r="M323" i="1"/>
  <c r="L323" i="1"/>
  <c r="M322" i="1"/>
  <c r="L322" i="1"/>
  <c r="M321" i="1"/>
  <c r="L321" i="1"/>
  <c r="M320" i="1"/>
  <c r="L320" i="1"/>
  <c r="M319" i="1"/>
  <c r="L319" i="1"/>
  <c r="M318" i="1"/>
  <c r="L318" i="1"/>
  <c r="M317" i="1"/>
  <c r="L317" i="1"/>
  <c r="M316" i="1"/>
  <c r="L316" i="1"/>
  <c r="M315" i="1"/>
  <c r="L315" i="1"/>
  <c r="M314" i="1"/>
  <c r="L314" i="1"/>
  <c r="M313" i="1"/>
  <c r="L313" i="1"/>
  <c r="M312" i="1"/>
  <c r="L312" i="1"/>
  <c r="M311" i="1"/>
  <c r="L311" i="1"/>
  <c r="M310" i="1"/>
  <c r="L310" i="1"/>
  <c r="M309" i="1"/>
  <c r="L309" i="1"/>
  <c r="M308" i="1"/>
  <c r="L308" i="1"/>
  <c r="M307" i="1"/>
  <c r="L307" i="1"/>
  <c r="M306" i="1"/>
  <c r="L306" i="1"/>
  <c r="M305" i="1"/>
  <c r="L305" i="1"/>
  <c r="M304" i="1"/>
  <c r="L304" i="1"/>
  <c r="M303" i="1"/>
  <c r="L303" i="1"/>
  <c r="M302" i="1"/>
  <c r="L302" i="1"/>
  <c r="M301" i="1"/>
  <c r="L301" i="1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L236" i="1"/>
  <c r="M235" i="1"/>
  <c r="L235" i="1"/>
  <c r="M234" i="1"/>
  <c r="L234" i="1"/>
  <c r="M233" i="1"/>
  <c r="L233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4" i="1"/>
  <c r="L4" i="1"/>
  <c r="M3" i="1"/>
  <c r="L3" i="1"/>
  <c r="M2" i="1"/>
  <c r="L2" i="1"/>
  <c r="D2" i="2" l="1"/>
  <c r="C3" i="2"/>
  <c r="AA4" i="1" a="1"/>
  <c r="AA4" i="1" s="1"/>
  <c r="X4" i="1" a="1"/>
  <c r="X4" i="1" s="1"/>
  <c r="D3" i="2" l="1"/>
  <c r="C4" i="2"/>
  <c r="C5" i="2" l="1"/>
  <c r="D4" i="2"/>
  <c r="C6" i="2" l="1"/>
  <c r="D5" i="2"/>
  <c r="C7" i="2" l="1"/>
  <c r="D6" i="2"/>
  <c r="C8" i="2" l="1"/>
  <c r="D7" i="2"/>
  <c r="C9" i="2" l="1"/>
  <c r="D8" i="2"/>
  <c r="C10" i="2" l="1"/>
  <c r="D9" i="2"/>
  <c r="C11" i="2" l="1"/>
  <c r="D10" i="2"/>
  <c r="C12" i="2" l="1"/>
  <c r="D11" i="2"/>
  <c r="C13" i="2" l="1"/>
  <c r="D12" i="2"/>
  <c r="C14" i="2" l="1"/>
  <c r="D13" i="2"/>
  <c r="C15" i="2" l="1"/>
  <c r="D14" i="2"/>
  <c r="C16" i="2" l="1"/>
  <c r="D15" i="2"/>
  <c r="C17" i="2" l="1"/>
  <c r="D16" i="2"/>
  <c r="C18" i="2" l="1"/>
  <c r="D17" i="2"/>
  <c r="C19" i="2" l="1"/>
  <c r="D18" i="2"/>
  <c r="C20" i="2" l="1"/>
  <c r="D19" i="2"/>
  <c r="C21" i="2" l="1"/>
  <c r="D20" i="2"/>
  <c r="C22" i="2" l="1"/>
  <c r="D21" i="2"/>
  <c r="C23" i="2" l="1"/>
  <c r="D22" i="2"/>
  <c r="C24" i="2" l="1"/>
  <c r="D23" i="2"/>
  <c r="C25" i="2" l="1"/>
  <c r="D24" i="2"/>
  <c r="C26" i="2" l="1"/>
  <c r="D25" i="2"/>
  <c r="C27" i="2" l="1"/>
  <c r="D26" i="2"/>
  <c r="C28" i="2" l="1"/>
  <c r="D27" i="2"/>
  <c r="C29" i="2" l="1"/>
  <c r="D28" i="2"/>
  <c r="C30" i="2" l="1"/>
  <c r="D29" i="2"/>
  <c r="C31" i="2" l="1"/>
  <c r="D30" i="2"/>
  <c r="C32" i="2" l="1"/>
  <c r="D31" i="2"/>
  <c r="C33" i="2" l="1"/>
  <c r="D32" i="2"/>
  <c r="C34" i="2" l="1"/>
  <c r="D33" i="2"/>
  <c r="C35" i="2" l="1"/>
  <c r="D34" i="2"/>
  <c r="C36" i="2" l="1"/>
  <c r="D35" i="2"/>
  <c r="C37" i="2" l="1"/>
  <c r="D36" i="2"/>
  <c r="C38" i="2" l="1"/>
  <c r="D37" i="2"/>
  <c r="C39" i="2" l="1"/>
  <c r="D38" i="2"/>
  <c r="C40" i="2" l="1"/>
  <c r="D39" i="2"/>
  <c r="C41" i="2" l="1"/>
  <c r="D40" i="2"/>
  <c r="C42" i="2" l="1"/>
  <c r="D41" i="2"/>
  <c r="C43" i="2" l="1"/>
  <c r="D42" i="2"/>
  <c r="C44" i="2" l="1"/>
  <c r="D43" i="2"/>
  <c r="C45" i="2" l="1"/>
  <c r="D44" i="2"/>
  <c r="C46" i="2" l="1"/>
  <c r="D45" i="2"/>
  <c r="C47" i="2" l="1"/>
  <c r="D46" i="2"/>
  <c r="C48" i="2" l="1"/>
  <c r="D47" i="2"/>
  <c r="C49" i="2" l="1"/>
  <c r="D48" i="2"/>
  <c r="C50" i="2" l="1"/>
  <c r="D49" i="2"/>
  <c r="C51" i="2" l="1"/>
  <c r="D50" i="2"/>
  <c r="C52" i="2" l="1"/>
  <c r="D51" i="2"/>
  <c r="C53" i="2" l="1"/>
  <c r="D52" i="2"/>
  <c r="C54" i="2" l="1"/>
  <c r="D53" i="2"/>
  <c r="C55" i="2" l="1"/>
  <c r="D54" i="2"/>
  <c r="C56" i="2" l="1"/>
  <c r="D55" i="2"/>
  <c r="C57" i="2" l="1"/>
  <c r="D56" i="2"/>
  <c r="C58" i="2" l="1"/>
  <c r="D57" i="2"/>
  <c r="C59" i="2" l="1"/>
  <c r="D58" i="2"/>
  <c r="C60" i="2" l="1"/>
  <c r="D59" i="2"/>
  <c r="C61" i="2" l="1"/>
  <c r="D60" i="2"/>
  <c r="C62" i="2" l="1"/>
  <c r="D61" i="2"/>
  <c r="C63" i="2" l="1"/>
  <c r="D62" i="2"/>
  <c r="C64" i="2" l="1"/>
  <c r="D63" i="2"/>
  <c r="C65" i="2" l="1"/>
  <c r="D64" i="2"/>
  <c r="C66" i="2" l="1"/>
  <c r="D65" i="2"/>
  <c r="C67" i="2" l="1"/>
  <c r="D66" i="2"/>
  <c r="C68" i="2" l="1"/>
  <c r="D67" i="2"/>
  <c r="C69" i="2" l="1"/>
  <c r="D68" i="2"/>
  <c r="C70" i="2" l="1"/>
  <c r="D69" i="2"/>
  <c r="C71" i="2" l="1"/>
  <c r="D70" i="2"/>
  <c r="C72" i="2" l="1"/>
  <c r="D71" i="2"/>
  <c r="C73" i="2" l="1"/>
  <c r="D72" i="2"/>
  <c r="C74" i="2" l="1"/>
  <c r="D73" i="2"/>
  <c r="C75" i="2" l="1"/>
  <c r="D74" i="2"/>
  <c r="C76" i="2" l="1"/>
  <c r="D75" i="2"/>
  <c r="C77" i="2" l="1"/>
  <c r="D76" i="2"/>
  <c r="C78" i="2" l="1"/>
  <c r="D77" i="2"/>
  <c r="C79" i="2" l="1"/>
  <c r="D78" i="2"/>
  <c r="C80" i="2" l="1"/>
  <c r="D79" i="2"/>
  <c r="C81" i="2" l="1"/>
  <c r="D80" i="2"/>
  <c r="C82" i="2" l="1"/>
  <c r="D81" i="2"/>
  <c r="C83" i="2" l="1"/>
  <c r="D82" i="2"/>
  <c r="C84" i="2" l="1"/>
  <c r="D83" i="2"/>
  <c r="C85" i="2" l="1"/>
  <c r="D84" i="2"/>
  <c r="C86" i="2" l="1"/>
  <c r="D85" i="2"/>
  <c r="C87" i="2" l="1"/>
  <c r="D86" i="2"/>
  <c r="C88" i="2" l="1"/>
  <c r="D87" i="2"/>
  <c r="C89" i="2" l="1"/>
  <c r="D88" i="2"/>
  <c r="C90" i="2" l="1"/>
  <c r="D89" i="2"/>
  <c r="C91" i="2" l="1"/>
  <c r="D90" i="2"/>
  <c r="C92" i="2" l="1"/>
  <c r="D91" i="2"/>
  <c r="C93" i="2" l="1"/>
  <c r="D92" i="2"/>
  <c r="C94" i="2" l="1"/>
  <c r="D93" i="2"/>
  <c r="C95" i="2" l="1"/>
  <c r="D94" i="2"/>
  <c r="C96" i="2" l="1"/>
  <c r="D95" i="2"/>
  <c r="C97" i="2" l="1"/>
  <c r="D96" i="2"/>
  <c r="C98" i="2" l="1"/>
  <c r="D97" i="2"/>
  <c r="C99" i="2" l="1"/>
  <c r="D98" i="2"/>
  <c r="C100" i="2" l="1"/>
  <c r="D99" i="2"/>
  <c r="C101" i="2" l="1"/>
  <c r="D100" i="2"/>
  <c r="C102" i="2" l="1"/>
  <c r="D101" i="2"/>
  <c r="C103" i="2" l="1"/>
  <c r="D102" i="2"/>
  <c r="C104" i="2" l="1"/>
  <c r="D103" i="2"/>
  <c r="C105" i="2" l="1"/>
  <c r="D104" i="2"/>
  <c r="C106" i="2" l="1"/>
  <c r="D105" i="2"/>
  <c r="C107" i="2" l="1"/>
  <c r="D106" i="2"/>
  <c r="C108" i="2" l="1"/>
  <c r="D107" i="2"/>
  <c r="C109" i="2" l="1"/>
  <c r="D108" i="2"/>
  <c r="C110" i="2" l="1"/>
  <c r="D109" i="2"/>
  <c r="C111" i="2" l="1"/>
  <c r="D110" i="2"/>
  <c r="C112" i="2" l="1"/>
  <c r="D111" i="2"/>
  <c r="C113" i="2" l="1"/>
  <c r="D112" i="2"/>
  <c r="C114" i="2" l="1"/>
  <c r="D113" i="2"/>
  <c r="C115" i="2" l="1"/>
  <c r="D114" i="2"/>
  <c r="C116" i="2" l="1"/>
  <c r="D115" i="2"/>
  <c r="C117" i="2" l="1"/>
  <c r="D116" i="2"/>
  <c r="C118" i="2" l="1"/>
  <c r="D117" i="2"/>
  <c r="C119" i="2" l="1"/>
  <c r="D118" i="2"/>
  <c r="C120" i="2" l="1"/>
  <c r="D119" i="2"/>
  <c r="C121" i="2" l="1"/>
  <c r="D120" i="2"/>
  <c r="C122" i="2" l="1"/>
  <c r="D121" i="2"/>
  <c r="C123" i="2" l="1"/>
  <c r="D122" i="2"/>
  <c r="C124" i="2" l="1"/>
  <c r="D123" i="2"/>
  <c r="C125" i="2" l="1"/>
  <c r="D124" i="2"/>
  <c r="C126" i="2" l="1"/>
  <c r="D125" i="2"/>
  <c r="C127" i="2" l="1"/>
  <c r="D126" i="2"/>
  <c r="C128" i="2" l="1"/>
  <c r="D127" i="2"/>
  <c r="C129" i="2" l="1"/>
  <c r="D128" i="2"/>
  <c r="C130" i="2" l="1"/>
  <c r="D129" i="2"/>
  <c r="C131" i="2" l="1"/>
  <c r="D130" i="2"/>
  <c r="C132" i="2" l="1"/>
  <c r="D131" i="2"/>
  <c r="C133" i="2" l="1"/>
  <c r="D132" i="2"/>
  <c r="C134" i="2" l="1"/>
  <c r="D133" i="2"/>
  <c r="C135" i="2" l="1"/>
  <c r="D134" i="2"/>
  <c r="C136" i="2" l="1"/>
  <c r="D135" i="2"/>
  <c r="C137" i="2" l="1"/>
  <c r="D136" i="2"/>
  <c r="C138" i="2" l="1"/>
  <c r="D137" i="2"/>
  <c r="C139" i="2" l="1"/>
  <c r="D138" i="2"/>
  <c r="C140" i="2" l="1"/>
  <c r="D139" i="2"/>
  <c r="C141" i="2" l="1"/>
  <c r="D140" i="2"/>
  <c r="C142" i="2" l="1"/>
  <c r="D141" i="2"/>
  <c r="C143" i="2" l="1"/>
  <c r="D142" i="2"/>
  <c r="C144" i="2" l="1"/>
  <c r="D143" i="2"/>
  <c r="C145" i="2" l="1"/>
  <c r="D144" i="2"/>
  <c r="C146" i="2" l="1"/>
  <c r="D145" i="2"/>
  <c r="C147" i="2" l="1"/>
  <c r="D146" i="2"/>
  <c r="C148" i="2" l="1"/>
  <c r="D147" i="2"/>
  <c r="C149" i="2" l="1"/>
  <c r="D148" i="2"/>
  <c r="C150" i="2" l="1"/>
  <c r="D149" i="2"/>
  <c r="C151" i="2" l="1"/>
  <c r="D150" i="2"/>
  <c r="C152" i="2" l="1"/>
  <c r="D151" i="2"/>
  <c r="C153" i="2" l="1"/>
  <c r="D152" i="2"/>
  <c r="C154" i="2" l="1"/>
  <c r="D153" i="2"/>
  <c r="C155" i="2" l="1"/>
  <c r="D154" i="2"/>
  <c r="C156" i="2" l="1"/>
  <c r="D156" i="2" s="1"/>
  <c r="D155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<sst xmlns="http://schemas.openxmlformats.org/spreadsheetml/2006/main" count="13134" uniqueCount="7011">
  <si>
    <t>Yang name</t>
  </si>
  <si>
    <t>Sub-path</t>
  </si>
  <si>
    <t>Leaf Name</t>
  </si>
  <si>
    <t>Ticket</t>
  </si>
  <si>
    <t>Big Cluster Customer Cout</t>
  </si>
  <si>
    <t>Big Cluster Device Cout</t>
  </si>
  <si>
    <t>Small Clusters customer count</t>
  </si>
  <si>
    <t>Small Clusters Device Count</t>
  </si>
  <si>
    <t>PLM Priotity</t>
  </si>
  <si>
    <t>Leaf CNXUI Present</t>
  </si>
  <si>
    <t>Yang Module UI Present</t>
  </si>
  <si>
    <t>Total Customer Count</t>
  </si>
  <si>
    <t>Total Device Count</t>
  </si>
  <si>
    <t>Mismatch</t>
  </si>
  <si>
    <t>Unnamed: 9</t>
  </si>
  <si>
    <t>type2_graphql_matches</t>
  </si>
  <si>
    <t>type2_match_count</t>
  </si>
  <si>
    <t>has_type2_matches</t>
  </si>
  <si>
    <t>type2_confidence_score</t>
  </si>
  <si>
    <t>aruba-vlan</t>
  </si>
  <si>
    <t>layer2-vlan.l2-vlan.vlan</t>
  </si>
  <si>
    <t>aruba-vlan:layer2-vlan.l2-vlan.vlan</t>
  </si>
  <si>
    <t>Yes</t>
  </si>
  <si>
    <t>l2_vlan.vlan; vlan</t>
  </si>
  <si>
    <t>aruba-interface-ethernet</t>
  </si>
  <si>
    <t>ethernet-interfaces.interface.name</t>
  </si>
  <si>
    <t>aruba-interface-ethernet:ethernet-interfaces.interface.name</t>
  </si>
  <si>
    <t>interface.name; name</t>
  </si>
  <si>
    <t>Max Customer</t>
  </si>
  <si>
    <t>Max Device</t>
  </si>
  <si>
    <t>aruba-stp</t>
  </si>
  <si>
    <t>stp.profile.name</t>
  </si>
  <si>
    <t>aruba-stp:stp.profile.name</t>
  </si>
  <si>
    <t>name; profile.name</t>
  </si>
  <si>
    <t>stp.profile.enable</t>
  </si>
  <si>
    <t>aruba-stp:stp.profile.enable</t>
  </si>
  <si>
    <t>enable; profile.enable; profile.rpvst.enable; rpvst.enable</t>
  </si>
  <si>
    <t>aruba-local-management</t>
  </si>
  <si>
    <t>local-management.profile.name</t>
  </si>
  <si>
    <t>aruba-local-management:local-management.profile.name</t>
  </si>
  <si>
    <t>layer2-vlan.l2-vlan.name</t>
  </si>
  <si>
    <t>aruba-vlan:layer2-vlan.l2-vlan.name</t>
  </si>
  <si>
    <t>l2_vlan.name; name</t>
  </si>
  <si>
    <t>aruba-ntp</t>
  </si>
  <si>
    <t>ntp.profile.name</t>
  </si>
  <si>
    <t>aruba-ntp:ntp.profile.name</t>
  </si>
  <si>
    <t>aruba-management-user</t>
  </si>
  <si>
    <t>management-users.user.name</t>
  </si>
  <si>
    <t>aruba-management-user:management-users.user.name</t>
  </si>
  <si>
    <t>name; user.name</t>
  </si>
  <si>
    <t>management-users.user.username</t>
  </si>
  <si>
    <t>aruba-management-user:management-users.user.username</t>
  </si>
  <si>
    <t>user.username; username</t>
  </si>
  <si>
    <t>management-users.user.user-group</t>
  </si>
  <si>
    <t>aruba-management-user:management-users.user.user-group</t>
  </si>
  <si>
    <t>user.user_group; user_group</t>
  </si>
  <si>
    <t>management-users.user.format</t>
  </si>
  <si>
    <t>aruba-management-user:management-users.user.format</t>
  </si>
  <si>
    <t>format; user.format</t>
  </si>
  <si>
    <t>aruba-interface-vlan</t>
  </si>
  <si>
    <t>vlan-interfaces.interface.id</t>
  </si>
  <si>
    <t>aruba-interface-vlan:vlan-interfaces.interface.id</t>
  </si>
  <si>
    <t>id; interface.id</t>
  </si>
  <si>
    <t>vlan-interfaces.interface.is-valid</t>
  </si>
  <si>
    <t>aruba-interface-vlan:vlan-interfaces.interface.is-valid</t>
  </si>
  <si>
    <t>interface.is_valid; is_valid</t>
  </si>
  <si>
    <t>ntp.profile.servers.address</t>
  </si>
  <si>
    <t>aruba-ntp:ntp.profile.servers.address</t>
  </si>
  <si>
    <t>profile.servers.address; servers.address</t>
  </si>
  <si>
    <t>vlan-interfaces.interface.ipv4.address</t>
  </si>
  <si>
    <t>aruba-interface-vlan:vlan-interfaces.interface.ipv4.address</t>
  </si>
  <si>
    <t>interface.ipv4.address; ipv4.address</t>
  </si>
  <si>
    <t>local-management.profile.ssh-server-global-configs.enabled-vrfs</t>
  </si>
  <si>
    <t>aruba-local-management:local-management.profile.ssh-server-global-configs.enabled-vrfs</t>
  </si>
  <si>
    <t>profile.ssh_server_global_configs.enabled_vrfs; ssh_server_global_configs.enabled_vrfs</t>
  </si>
  <si>
    <t>ethernet-interfaces.interface.enable</t>
  </si>
  <si>
    <t>aruba-interface-ethernet:ethernet-interfaces.interface.enable</t>
  </si>
  <si>
    <t>aaa.authentication.dot1x_auth.enable; aaa.authentication.mac_auth.enable; cdp.enable; enable; igmp.enable; interface.aaa.authentication.dot1x_auth.enable; interface.aaa.authentication.mac_auth.enable; interface.cdp.enable; interface.enable; interface.igmp.enable; interface.loop_protect.enable; interface.mld.enable; interface.pim6_dense.enable; interface.pim6_sparse.enable; interface.pim_dense.enable; interface.pim_sparse.enable; interface.port_monitor.enable; interface.port_security.enable; interface.stp.enable; interface.udld.enable; loop_protect.enable; mld.enable; pim6_dense.enable; pim6_sparse.enable; pim_dense.enable; pim_sparse.enable; port_monitor.enable; port_security.enable; stp.enable; udld.enable</t>
  </si>
  <si>
    <t>ethernet-interfaces.interface.switchport.interface-mode</t>
  </si>
  <si>
    <t>aruba-interface-ethernet:ethernet-interfaces.interface.switchport.interface-mode</t>
  </si>
  <si>
    <t>interface.switchport.interface_mode; switchport.interface_mode</t>
  </si>
  <si>
    <t>ethernet-interfaces.interface.switchport.access-vlan</t>
  </si>
  <si>
    <t>aruba-interface-ethernet:ethernet-interfaces.interface.switchport.access-vlan</t>
  </si>
  <si>
    <t>interface.switchport.access_vlan; switchport.access_vlan</t>
  </si>
  <si>
    <t>local-management.profile.webservers.enabled-vrfs</t>
  </si>
  <si>
    <t>aruba-local-management:local-management.profile.webservers.enabled-vrfs</t>
  </si>
  <si>
    <t>profile.webservers.enabled_vrfs; webservers.enabled_vrfs</t>
  </si>
  <si>
    <t>aruba-switch-system</t>
  </si>
  <si>
    <t>switch-system.profile.name</t>
  </si>
  <si>
    <t>aruba-switch-system:switch-system.profile.name</t>
  </si>
  <si>
    <t>management-users.user.ciphertext-password</t>
  </si>
  <si>
    <t>aruba-management-user:management-users.user.ciphertext-password</t>
  </si>
  <si>
    <t>CNX-209472</t>
  </si>
  <si>
    <t>No</t>
  </si>
  <si>
    <t>ethernet-interfaces.interface.switchport.native-vlan</t>
  </si>
  <si>
    <t>aruba-interface-ethernet:ethernet-interfaces.interface.switchport.native-vlan</t>
  </si>
  <si>
    <t>interface.switchport.native_vlan; switchport.native_vlan</t>
  </si>
  <si>
    <t>ntp.profile.servers.tx-mode</t>
  </si>
  <si>
    <t>aruba-ntp:ntp.profile.servers.tx-mode</t>
  </si>
  <si>
    <t>ntp.profile.servers.iburst</t>
  </si>
  <si>
    <t>aruba-ntp:ntp.profile.servers.iburst</t>
  </si>
  <si>
    <t>profile.servers.iburst; servers.iburst</t>
  </si>
  <si>
    <t>aruba-dns</t>
  </si>
  <si>
    <t>dns.profile.name</t>
  </si>
  <si>
    <t>aruba-dns:dns.profile.name</t>
  </si>
  <si>
    <t>domain.name; name; profile.domain.name; profile.name</t>
  </si>
  <si>
    <t>switch-system.profile.timezone.timezone-name</t>
  </si>
  <si>
    <t>aruba-switch-system:switch-system.profile.timezone.timezone-name</t>
  </si>
  <si>
    <t>profile.timezone.timezone_name; timezone.timezone_name</t>
  </si>
  <si>
    <t>ntp.profile.servers.min-poll</t>
  </si>
  <si>
    <t>aruba-ntp:ntp.profile.servers.min-poll</t>
  </si>
  <si>
    <t>profile.servers.min_poll; servers.min_poll</t>
  </si>
  <si>
    <t>ntp.profile.servers.max-poll</t>
  </si>
  <si>
    <t>aruba-ntp:ntp.profile.servers.max-poll</t>
  </si>
  <si>
    <t>profile.servers.max_poll; servers.max_poll</t>
  </si>
  <si>
    <t>aruba-static-route</t>
  </si>
  <si>
    <t>static-route.profile.name</t>
  </si>
  <si>
    <t>aruba-static-route:static-route.profile.name</t>
  </si>
  <si>
    <t>static-route.profile.ipv4.nexthop-id</t>
  </si>
  <si>
    <t>aruba-static-route:static-route.profile.ipv4.nexthop-id</t>
  </si>
  <si>
    <t>static-route.profile.ipv4.prefix</t>
  </si>
  <si>
    <t>aruba-static-route:static-route.profile.ipv4.prefix</t>
  </si>
  <si>
    <t>static-route.profile.ipv4.prefix-vrf-nexthop-id</t>
  </si>
  <si>
    <t>aruba-static-route:static-route.profile.ipv4.prefix-vrf-nexthop-id</t>
  </si>
  <si>
    <t>ipv4.prefix_vrf_nexthop_id; profile.ipv4.prefix_vrf_nexthop_id</t>
  </si>
  <si>
    <t>static-route.profile.ipv4.vrf</t>
  </si>
  <si>
    <t>aruba-static-route:static-route.profile.ipv4.vrf</t>
  </si>
  <si>
    <t>static-route.profile.ipv4.forwarding-type</t>
  </si>
  <si>
    <t>aruba-static-route:static-route.profile.ipv4.forwarding-type</t>
  </si>
  <si>
    <t>ipv4.forwarding_type; profile.ipv4.forwarding_type</t>
  </si>
  <si>
    <t>static-route.profile.ipv4.next-hop</t>
  </si>
  <si>
    <t>aruba-static-route:static-route.profile.ipv4.next-hop</t>
  </si>
  <si>
    <t>ipv4.next_hop; profile.ipv4.next_hop</t>
  </si>
  <si>
    <t>aruba-snmp</t>
  </si>
  <si>
    <t>snmp.profile.name</t>
  </si>
  <si>
    <t>aruba-snmp:snmp.profile.name</t>
  </si>
  <si>
    <t>ethernet-interfaces.interface.description</t>
  </si>
  <si>
    <t>aruba-interface-ethernet:ethernet-interfaces.interface.description</t>
  </si>
  <si>
    <t>description; interface.description</t>
  </si>
  <si>
    <t>aruba-interface-management</t>
  </si>
  <si>
    <t>mgmt-interfaces.profile.name</t>
  </si>
  <si>
    <t>aruba-interface-management:mgmt-interfaces.profile.name</t>
  </si>
  <si>
    <t>mgmt-interfaces.profile.enable</t>
  </si>
  <si>
    <t>aruba-interface-management:mgmt-interfaces.profile.enable</t>
  </si>
  <si>
    <t>enable; profile.enable</t>
  </si>
  <si>
    <t>snmp.profile.community.community</t>
  </si>
  <si>
    <t>aruba-snmp:snmp.profile.community.community</t>
  </si>
  <si>
    <t>community.community; profile.community.community</t>
  </si>
  <si>
    <t>ethernet-interfaces.interface.switchport.trunk-vlan-ranges</t>
  </si>
  <si>
    <t>aruba-interface-ethernet:ethernet-interfaces.interface.switchport.trunk-vlan-ranges</t>
  </si>
  <si>
    <t>interface.switchport.trunk_vlan_ranges; switchport.trunk_vlan_ranges</t>
  </si>
  <si>
    <t>dns.profile.resolver.name-server.ip</t>
  </si>
  <si>
    <t>aruba-dns:dns.profile.resolver.name-server.ip</t>
  </si>
  <si>
    <t>profile.resolver.name_server.ip; resolver.name_server.ip</t>
  </si>
  <si>
    <t>dns.profile.resolver.vrf</t>
  </si>
  <si>
    <t>aruba-dns:dns.profile.resolver.vrf</t>
  </si>
  <si>
    <t>profile.resolver.vrf; resolver.vrf</t>
  </si>
  <si>
    <t>dns.profile.resolver.name-server.priority</t>
  </si>
  <si>
    <t>aruba-dns:dns.profile.resolver.name-server.priority</t>
  </si>
  <si>
    <t>profile.resolver.name_server.priority; resolver.name_server.priority</t>
  </si>
  <si>
    <t>aruba-switch-stack</t>
  </si>
  <si>
    <t>stacks.stack.name</t>
  </si>
  <si>
    <t>aruba-switch-stack:stacks.stack.name</t>
  </si>
  <si>
    <t>name; stack.name</t>
  </si>
  <si>
    <t>stacks.stack.members.id</t>
  </si>
  <si>
    <t>aruba-switch-stack:stacks.stack.members.id</t>
  </si>
  <si>
    <t>members.id; stack.members.id</t>
  </si>
  <si>
    <t>stacks.stack.members.sku</t>
  </si>
  <si>
    <t>aruba-switch-stack:stacks.stack.members.sku</t>
  </si>
  <si>
    <t>members.sku; stack.members.sku</t>
  </si>
  <si>
    <t>stacks.stack.platform</t>
  </si>
  <si>
    <t>aruba-switch-stack:stacks.stack.platform</t>
  </si>
  <si>
    <t>platform; stack.platform</t>
  </si>
  <si>
    <t>ethernet-interfaces.interface.routing</t>
  </si>
  <si>
    <t>aruba-interface-ethernet:ethernet-interfaces.interface.routing</t>
  </si>
  <si>
    <t>interface.routing; routing</t>
  </si>
  <si>
    <t>aruba-vsf-template</t>
  </si>
  <si>
    <t>vsf-templates.template.name</t>
  </si>
  <si>
    <t>aruba-vsf-template:vsf-templates.template.name</t>
  </si>
  <si>
    <t>name; template.name</t>
  </si>
  <si>
    <t>vsf-templates.template.members.id</t>
  </si>
  <si>
    <t>aruba-vsf-template:vsf-templates.template.members.id</t>
  </si>
  <si>
    <t>members.id; template.members.id</t>
  </si>
  <si>
    <t>vsf-templates.template.members.sku</t>
  </si>
  <si>
    <t>aruba-vsf-template:vsf-templates.template.members.sku</t>
  </si>
  <si>
    <t>members.sku; template.members.sku</t>
  </si>
  <si>
    <t>ethernet-interfaces.interface.switchport.trunk-vlan-all</t>
  </si>
  <si>
    <t>aruba-interface-ethernet:ethernet-interfaces.interface.switchport.trunk-vlan-all</t>
  </si>
  <si>
    <t>interface.switchport.trunk_vlan_all; switchport.trunk_vlan_all</t>
  </si>
  <si>
    <t>mgmt-interfaces.profile.dhcp-client</t>
  </si>
  <si>
    <t>aruba-interface-management:mgmt-interfaces.profile.dhcp-client</t>
  </si>
  <si>
    <t>dhcp_client; profile.dhcp_client</t>
  </si>
  <si>
    <t>aruba-sw-port-profile</t>
  </si>
  <si>
    <t>sw-port-profiles.profile.profile-name</t>
  </si>
  <si>
    <t>aruba-sw-port-profile:sw-port-profiles.profile.profile-name</t>
  </si>
  <si>
    <t>profile.profile_name; profile_name</t>
  </si>
  <si>
    <t>switch-system.profile.location</t>
  </si>
  <si>
    <t>aruba-switch-system:switch-system.profile.location</t>
  </si>
  <si>
    <t>location; profile.location</t>
  </si>
  <si>
    <t>snmp.profile.vrf</t>
  </si>
  <si>
    <t>aruba-snmp:snmp.profile.vrf</t>
  </si>
  <si>
    <t>profile.vrf; vrf</t>
  </si>
  <si>
    <t>switch-system.profile.contact</t>
  </si>
  <si>
    <t>aruba-switch-system:switch-system.profile.contact</t>
  </si>
  <si>
    <t>contact; profile.contact</t>
  </si>
  <si>
    <t>aruba-interface-portchannel</t>
  </si>
  <si>
    <t>portchannels.interface.name</t>
  </si>
  <si>
    <t>aruba-interface-portchannel:portchannels.interface.name</t>
  </si>
  <si>
    <t>portchannels.interface.enable</t>
  </si>
  <si>
    <t>aruba-interface-portchannel:portchannels.interface.enable</t>
  </si>
  <si>
    <t>enable; igmp.enable; interface.enable; interface.igmp.enable; interface.loop_protect.enable; interface.mld.enable; interface.pim6_dense.enable; interface.pim6_sparse.enable; interface.pim_dense.enable; interface.pim_sparse.enable; interface.stp.enable; loop_protect.enable; mld.enable; pim6_dense.enable; pim6_sparse.enable; pim_dense.enable; pim_sparse.enable; stp.enable</t>
  </si>
  <si>
    <t>portchannels.interface.switchport.interface-mode</t>
  </si>
  <si>
    <t>aruba-interface-portchannel:portchannels.interface.switchport.interface-mode</t>
  </si>
  <si>
    <t>local-management.profile.ssh-server-global-configs.kex-algorithms.algorithm</t>
  </si>
  <si>
    <t>aruba-local-management:local-management.profile.ssh-server-global-configs.kex-algorithms.algorithm</t>
  </si>
  <si>
    <t>CNX-202816</t>
  </si>
  <si>
    <t>local-management.profile.ssh-server-global-configs.kex-algorithms.priority</t>
  </si>
  <si>
    <t>aruba-local-management:local-management.profile.ssh-server-global-configs.kex-algorithms.priority</t>
  </si>
  <si>
    <t>portchannels.interface.port-list</t>
  </si>
  <si>
    <t>aruba-interface-portchannel:portchannels.interface.port-list</t>
  </si>
  <si>
    <t>interface.port_list; port_list</t>
  </si>
  <si>
    <t>portchannels.interface.switchport.native-vlan</t>
  </si>
  <si>
    <t>aruba-interface-portchannel:portchannels.interface.switchport.native-vlan</t>
  </si>
  <si>
    <t>ethernet-interfaces.interface.portchannel-lag</t>
  </si>
  <si>
    <t>aruba-interface-ethernet:ethernet-interfaces.interface.portchannel-lag</t>
  </si>
  <si>
    <t>interface.portchannel_lag; portchannel_lag</t>
  </si>
  <si>
    <t>vlan-interfaces.interface.enable</t>
  </si>
  <si>
    <t>aruba-interface-vlan:vlan-interfaces.interface.enable</t>
  </si>
  <si>
    <t>enable; igmp.enable; interface.enable; interface.igmp.enable; interface.mdns_sd.enable; interface.mld.enable; interface.pim6_dense.enable; interface.pim6_sparse.enable; interface.pim_dense.enable; interface.pim_sparse.enable; mdns_sd.enable; mld.enable; pim6_dense.enable; pim6_sparse.enable; pim_dense.enable; pim_sparse.enable</t>
  </si>
  <si>
    <t>portchannels.interface.lacp.mode</t>
  </si>
  <si>
    <t>aruba-interface-portchannel:portchannels.interface.lacp.mode</t>
  </si>
  <si>
    <t>interface.lacp.mode; lacp.mode</t>
  </si>
  <si>
    <t>portchannels.interface.trunk-type</t>
  </si>
  <si>
    <t>aruba-interface-portchannel:portchannels.interface.trunk-type</t>
  </si>
  <si>
    <t>interface.trunk_type; trunk_type</t>
  </si>
  <si>
    <t>aruba-auth-server</t>
  </si>
  <si>
    <t>auth-servers.auth-server.name</t>
  </si>
  <si>
    <t>aruba-auth-server:auth-servers.auth-server.name</t>
  </si>
  <si>
    <t>auth_server.name; name</t>
  </si>
  <si>
    <t>auth-servers.auth-server.type</t>
  </si>
  <si>
    <t>aruba-auth-server:auth-servers.auth-server.type</t>
  </si>
  <si>
    <t>auth_server.called_station_id.type; auth_server.type; called_station_id.type; type</t>
  </si>
  <si>
    <t>stp.profile.mode</t>
  </si>
  <si>
    <t>aruba-stp:stp.profile.mode</t>
  </si>
  <si>
    <t>mode; profile.mode</t>
  </si>
  <si>
    <t>layer2-vlan.l2-vlan.description</t>
  </si>
  <si>
    <t>aruba-vlan:layer2-vlan.l2-vlan.description</t>
  </si>
  <si>
    <t>description; l2_vlan.description</t>
  </si>
  <si>
    <t>aruba-logging</t>
  </si>
  <si>
    <t>logging.profile.name</t>
  </si>
  <si>
    <t>aruba-logging:logging.profile.name</t>
  </si>
  <si>
    <t>portchannels.interface.routing</t>
  </si>
  <si>
    <t>aruba-interface-portchannel:portchannels.interface.routing</t>
  </si>
  <si>
    <t>portchannels.interface.description</t>
  </si>
  <si>
    <t>aruba-interface-portchannel:portchannels.interface.description</t>
  </si>
  <si>
    <t>stacks.stack.members.links.link1.interfaces</t>
  </si>
  <si>
    <t>aruba-switch-stack:stacks.stack.members.links.link1.interfaces</t>
  </si>
  <si>
    <t>members.links.link1.interfaces; stack.members.links.link1.interfaces</t>
  </si>
  <si>
    <t>auth-servers.auth-server.auth-server-address</t>
  </si>
  <si>
    <t>aruba-auth-server:auth-servers.auth-server.auth-server-address</t>
  </si>
  <si>
    <t>auth_server.auth_server_address; auth_server_address</t>
  </si>
  <si>
    <t>aruba-aaa-macauth</t>
  </si>
  <si>
    <t>macauth.profile.name</t>
  </si>
  <si>
    <t>aruba-aaa-macauth:macauth.profile.name</t>
  </si>
  <si>
    <t>name</t>
  </si>
  <si>
    <t>local-management.profile.authentication.authentication-group.access-group.access-type</t>
  </si>
  <si>
    <t>aruba-local-management:local-management.profile.authentication.authentication-group.access-group.access-type</t>
  </si>
  <si>
    <t>authentication.authentication_group.access_group.access_type; profile.authentication.authentication_group.access_group.access_type</t>
  </si>
  <si>
    <t>local-management.profile.authentication.authentication-group.session</t>
  </si>
  <si>
    <t>aruba-local-management:local-management.profile.authentication.authentication-group.session</t>
  </si>
  <si>
    <t>authentication.authentication_group.session; profile.authentication.authentication_group.session</t>
  </si>
  <si>
    <t>local-management.profile.ssh-server-global-configs.enable</t>
  </si>
  <si>
    <t>aruba-local-management:local-management.profile.ssh-server-global-configs.enable</t>
  </si>
  <si>
    <t>profile.ssh_server_global_configs.enable; ssh_server_global_configs.enable</t>
  </si>
  <si>
    <t>aruba-aaa-dot1xauth</t>
  </si>
  <si>
    <t>dot1xauth.profile.name</t>
  </si>
  <si>
    <t>aruba-aaa-dot1xauth:dot1xauth.profile.name</t>
  </si>
  <si>
    <t>local-management.profile.webservers.enable</t>
  </si>
  <si>
    <t>aruba-local-management:local-management.profile.webservers.enable</t>
  </si>
  <si>
    <t>profile.webservers.enable; webservers.enable</t>
  </si>
  <si>
    <t>stacks.stack.members.links.link2.interfaces</t>
  </si>
  <si>
    <t>aruba-switch-stack:stacks.stack.members.links.link2.interfaces</t>
  </si>
  <si>
    <t>members.links.link2.interfaces; stack.members.links.link2.interfaces</t>
  </si>
  <si>
    <t>portchannels.interface.switchport.trunk-vlan-all</t>
  </si>
  <si>
    <t>aruba-interface-portchannel:portchannels.interface.switchport.trunk-vlan-all</t>
  </si>
  <si>
    <t>local-management.profile.authentication.authentication-group.access-group.auth-instances.auth-method</t>
  </si>
  <si>
    <t>aruba-local-management:local-management.profile.authentication.authentication-group.access-group.auth-instances.auth-method</t>
  </si>
  <si>
    <t>authentication.authentication_group.access_group.auth_instances.auth_method; profile.authentication.authentication_group.access_group.auth_instances.auth_method</t>
  </si>
  <si>
    <t>local-management.profile.authentication.authentication-group.access-group.auth-instances.seq-id</t>
  </si>
  <si>
    <t>aruba-local-management:local-management.profile.authentication.authentication-group.access-group.auth-instances.seq-id</t>
  </si>
  <si>
    <t>authentication.authentication_group.access_group.auth_instances.seq_id; profile.authentication.authentication_group.access_group.auth_instances.seq_id</t>
  </si>
  <si>
    <t>snmp.profile.notification-receiver.host</t>
  </si>
  <si>
    <t>aruba-snmp:snmp.profile.notification-receiver.host</t>
  </si>
  <si>
    <t>snmp.profile.notification-receiver.host-port-version-receiver-name-vrf</t>
  </si>
  <si>
    <t>aruba-snmp:snmp.profile.notification-receiver.host-port-version-receiver-name-vrf</t>
  </si>
  <si>
    <t>notification_receiver.host_port_version_receiver_name_vrf; profile.notification_receiver.host_port_version_receiver_name_vrf</t>
  </si>
  <si>
    <t>snmp.profile.notification-receiver.inform</t>
  </si>
  <si>
    <t>aruba-snmp:snmp.profile.notification-receiver.inform</t>
  </si>
  <si>
    <t>notification_receiver.inform; profile.notification_receiver.inform</t>
  </si>
  <si>
    <t>snmp.profile.notification-receiver.port</t>
  </si>
  <si>
    <t>aruba-snmp:snmp.profile.notification-receiver.port</t>
  </si>
  <si>
    <t>snmp.profile.notification-receiver.receiver-name</t>
  </si>
  <si>
    <t>aruba-snmp:snmp.profile.notification-receiver.receiver-name</t>
  </si>
  <si>
    <t>snmp.profile.notification-receiver.version</t>
  </si>
  <si>
    <t>aruba-snmp:snmp.profile.notification-receiver.version</t>
  </si>
  <si>
    <t>snmp.profile.notification-receiver.vrf</t>
  </si>
  <si>
    <t>aruba-snmp:snmp.profile.notification-receiver.vrf</t>
  </si>
  <si>
    <t>layer2-vlan.l2-vlan.voice-enable</t>
  </si>
  <si>
    <t>aruba-vlan:layer2-vlan.l2-vlan.voice-enable</t>
  </si>
  <si>
    <t>l2_vlan.voice_enable; voice_enable</t>
  </si>
  <si>
    <t>local-management.profile.banner-message.message-delimiter</t>
  </si>
  <si>
    <t>aruba-local-management:local-management.profile.banner-message.message-delimiter</t>
  </si>
  <si>
    <t>banner_message.message_delimiter; profile.banner_message.message_delimiter</t>
  </si>
  <si>
    <t>local-management.profile.banner-message.text</t>
  </si>
  <si>
    <t>aruba-local-management:local-management.profile.banner-message.text</t>
  </si>
  <si>
    <t>banner_message.text; profile.banner_message.text</t>
  </si>
  <si>
    <t>stacks.stack.secondary-member</t>
  </si>
  <si>
    <t>aruba-switch-stack:stacks.stack.secondary-member</t>
  </si>
  <si>
    <t>secondary_member; stack.secondary_member</t>
  </si>
  <si>
    <t>vsf-templates.template.secondary-member</t>
  </si>
  <si>
    <t>aruba-vsf-template:vsf-templates.template.secondary-member</t>
  </si>
  <si>
    <t>secondary_member; template.secondary_member</t>
  </si>
  <si>
    <t>logging.profile.remote-syslog.host</t>
  </si>
  <si>
    <t>aruba-logging:logging.profile.remote-syslog.host</t>
  </si>
  <si>
    <t>profile.remote_syslog.host; remote_syslog.host</t>
  </si>
  <si>
    <t>auth-servers.auth-server.shared-secret-config.secret-type</t>
  </si>
  <si>
    <t>aruba-auth-server:auth-servers.auth-server.shared-secret-config.secret-type</t>
  </si>
  <si>
    <t>auth_server.shared_secret_config.secret_type; shared_secret_config.secret_type</t>
  </si>
  <si>
    <t>ethernet-interfaces.interface.loop-protect.enable</t>
  </si>
  <si>
    <t>aruba-interface-ethernet:ethernet-interfaces.interface.loop-protect.enable</t>
  </si>
  <si>
    <t>interface.loop_protect.enable; loop_protect.enable</t>
  </si>
  <si>
    <t>sw-port-profiles.profile.ipv4.address</t>
  </si>
  <si>
    <t>aruba-sw-port-profile:sw-port-profiles.profile.ipv4.address</t>
  </si>
  <si>
    <t>CNX-206672</t>
  </si>
  <si>
    <t>aruba-auth-server-group</t>
  </si>
  <si>
    <t>server-groups.server-group.name</t>
  </si>
  <si>
    <t>aruba-auth-server-group:server-groups.server-group.name</t>
  </si>
  <si>
    <t>name; server_group.name</t>
  </si>
  <si>
    <t>server-groups.server-group.type</t>
  </si>
  <si>
    <t>aruba-auth-server-group:server-groups.server-group.type</t>
  </si>
  <si>
    <t>server_group.type; type</t>
  </si>
  <si>
    <t>stp.profile.priority</t>
  </si>
  <si>
    <t>aruba-stp:stp.profile.priority</t>
  </si>
  <si>
    <t>include_rpvst_auto_vlan.priority; mstp.priority; priority; profile.include_rpvst_auto_vlan.priority; profile.mstp.priority; profile.priority; profile.rpvst.priority; rpvst.priority</t>
  </si>
  <si>
    <t>server-groups.server-group.servers.server-name</t>
  </si>
  <si>
    <t>aruba-auth-server-group:server-groups.server-group.servers.server-name</t>
  </si>
  <si>
    <t>server_group.servers.server_name; servers.server_name</t>
  </si>
  <si>
    <t>portchannels.interface.switchport.trunk-vlan-ranges</t>
  </si>
  <si>
    <t>aruba-interface-portchannel:portchannels.interface.switchport.trunk-vlan-ranges</t>
  </si>
  <si>
    <t>local-management.profile.authentication.authentication-group.access-group.auth-instances.mgmt-server-group</t>
  </si>
  <si>
    <t>aruba-local-management:local-management.profile.authentication.authentication-group.access-group.auth-instances.mgmt-server-group</t>
  </si>
  <si>
    <t>authentication.authentication_group.access_group.auth_instances.mgmt_server_group; profile.authentication.authentication_group.access_group.auth_instances.mgmt_server_group</t>
  </si>
  <si>
    <t>aruba-role</t>
  </si>
  <si>
    <t>roles.role.name</t>
  </si>
  <si>
    <t>aruba-role:roles.role.name</t>
  </si>
  <si>
    <t>name; role.name</t>
  </si>
  <si>
    <t>aruba-client-iptracker</t>
  </si>
  <si>
    <t>client-iptracker.profile.name</t>
  </si>
  <si>
    <t>aruba-client-iptracker:client-iptracker.profile.name</t>
  </si>
  <si>
    <t>client-iptracker.profile.enable</t>
  </si>
  <si>
    <t>aruba-client-iptracker:client-iptracker.profile.enable</t>
  </si>
  <si>
    <t>aruba-vlan-range</t>
  </si>
  <si>
    <t>layer2-vlan-range.client-ip-tracker-enable</t>
  </si>
  <si>
    <t>aruba-vlan-range:layer2-vlan-range.client-ip-tracker-enable</t>
  </si>
  <si>
    <t>No ticket</t>
  </si>
  <si>
    <t>N, works via global &amp; port level. Vlan range is low priority</t>
  </si>
  <si>
    <t>ethernet-interfaces.interface.stp.admin-edge-port</t>
  </si>
  <si>
    <t>aruba-interface-ethernet:ethernet-interfaces.interface.stp.admin-edge-port</t>
  </si>
  <si>
    <t>interface.stp.admin_edge_port; stp.admin_edge_port</t>
  </si>
  <si>
    <t>management-users.user.password</t>
  </si>
  <si>
    <t>aruba-management-user:management-users.user.password</t>
  </si>
  <si>
    <t>password; user.password</t>
  </si>
  <si>
    <t>aruba-dhcp-snooping</t>
  </si>
  <si>
    <t>dhcp-snooping.profile.name</t>
  </si>
  <si>
    <t>aruba-dhcp-snooping:dhcp-snooping.profile.name</t>
  </si>
  <si>
    <t>ethernet-interfaces.interface.stp.bpdu-guard</t>
  </si>
  <si>
    <t>aruba-interface-ethernet:ethernet-interfaces.interface.stp.bpdu-guard</t>
  </si>
  <si>
    <t>interface.stp.bpdu_guard; stp.bpdu_guard</t>
  </si>
  <si>
    <t>aruba-policy</t>
  </si>
  <si>
    <t>policies.policy.association</t>
  </si>
  <si>
    <t>aruba-policy:policies.policy.association</t>
  </si>
  <si>
    <t>association; policy.association</t>
  </si>
  <si>
    <t>policies.policy.name</t>
  </si>
  <si>
    <t>aruba-policy:policies.policy.name</t>
  </si>
  <si>
    <t>name; policy.name</t>
  </si>
  <si>
    <t>policies.policy.security-policy.type</t>
  </si>
  <si>
    <t>aruba-policy:policies.policy.security-policy.type</t>
  </si>
  <si>
    <t>policy.security_policy.type</t>
  </si>
  <si>
    <t>policies.policy.type</t>
  </si>
  <si>
    <t>aruba-policy:policies.policy.type</t>
  </si>
  <si>
    <t>action.type; condition.destination.type; condition.source.type; condition.type; policy.security_policy.policy_rule.action.type; policy.security_policy.policy_rule.condition.destination.type; policy.security_policy.policy_rule.condition.source.type; policy.security_policy.policy_rule.condition.type; policy.security_policy.type; policy.type; security_policy.policy_rule.action.type; security_policy.policy_rule.condition.destination.type; security_policy.policy_rule.condition.source.type; security_policy.policy_rule.condition.type; type</t>
  </si>
  <si>
    <t>vlan-interfaces.interface.description</t>
  </si>
  <si>
    <t>aruba-interface-vlan:vlan-interfaces.interface.description</t>
  </si>
  <si>
    <t>interface.description</t>
  </si>
  <si>
    <t>aruba-ip-source-interface</t>
  </si>
  <si>
    <t>ip-source-interfaces.profile.ip-source.ip-protocol</t>
  </si>
  <si>
    <t>aruba-ip-source-interface:ip-source-interfaces.profile.ip-source.ip-protocol</t>
  </si>
  <si>
    <t>ip-source-interfaces.profile.ip-source.ip-version</t>
  </si>
  <si>
    <t>aruba-ip-source-interface:ip-source-interfaces.profile.ip-source.ip-version</t>
  </si>
  <si>
    <t>ip-source-interfaces.profile.ip-source.ip-version-ip-protocol-vrf</t>
  </si>
  <si>
    <t>aruba-ip-source-interface:ip-source-interfaces.profile.ip-source.ip-version-ip-protocol-vrf</t>
  </si>
  <si>
    <t>ip_source.ip_version_ip_protocol_vrf; profile.ip_source.ip_version_ip_protocol_vrf</t>
  </si>
  <si>
    <t>ip-source-interfaces.profile.ip-source.vrf</t>
  </si>
  <si>
    <t>aruba-ip-source-interface:ip-source-interfaces.profile.ip-source.vrf</t>
  </si>
  <si>
    <t>ip-source-interfaces.profile.name</t>
  </si>
  <si>
    <t>aruba-ip-source-interface:ip-source-interfaces.profile.name</t>
  </si>
  <si>
    <t>ip-source-interfaces.profile.ip-source.source</t>
  </si>
  <si>
    <t>aruba-ip-source-interface:ip-source-interfaces.profile.ip-source.source</t>
  </si>
  <si>
    <t>ip_source.source; profile.ip_source.source</t>
  </si>
  <si>
    <t>policies.policy.security-policy.policy-rule.action.type</t>
  </si>
  <si>
    <t>aruba-policy:policies.policy.security-policy.policy-rule.action.type</t>
  </si>
  <si>
    <t>policy.security_policy.policy_rule.action.type; security_policy.policy_rule.action.type</t>
  </si>
  <si>
    <t>policies.policy.security-policy.policy-rule.condition.rule-type</t>
  </si>
  <si>
    <t>aruba-policy:policies.policy.security-policy.policy-rule.condition.rule-type</t>
  </si>
  <si>
    <t>policy.security_policy.policy_rule.condition.rule_type; security_policy.policy_rule.condition.rule_type</t>
  </si>
  <si>
    <t>policies.policy.security-policy.policy-rule.condition.type</t>
  </si>
  <si>
    <t>aruba-policy:policies.policy.security-policy.policy-rule.condition.type</t>
  </si>
  <si>
    <t>policy.security_policy.policy_rule.condition.type; security_policy.policy_rule.condition.type</t>
  </si>
  <si>
    <t>policies.policy.security-policy.policy-rule.position</t>
  </si>
  <si>
    <t>aruba-policy:policies.policy.security-policy.policy-rule.position</t>
  </si>
  <si>
    <t>policy.security_policy.policy_rule.position; security_policy.policy_rule.position</t>
  </si>
  <si>
    <t>policies.policy.security-policy.policy-rule.condition.destination.type</t>
  </si>
  <si>
    <t>aruba-policy:policies.policy.security-policy.policy-rule.condition.destination.type</t>
  </si>
  <si>
    <t>policy.security_policy.policy_rule.condition.destination.type; security_policy.policy_rule.condition.destination.type</t>
  </si>
  <si>
    <t>policies.policy.security-policy.policy-rule.condition.ip-header.protocol</t>
  </si>
  <si>
    <t>aruba-policy:policies.policy.security-policy.policy-rule.condition.ip-header.protocol</t>
  </si>
  <si>
    <t>policy.security_policy.policy_rule.condition.ip_header.protocol; security_policy.policy_rule.condition.ip_header.protocol</t>
  </si>
  <si>
    <t>policies.policy.security-policy.policy-rule.condition.source.type</t>
  </si>
  <si>
    <t>aruba-policy:policies.policy.security-policy.policy-rule.condition.source.type</t>
  </si>
  <si>
    <t>policy.security_policy.policy_rule.condition.source.type; security_policy.policy_rule.condition.source.type</t>
  </si>
  <si>
    <t>sw-port-profiles.profile.ipv6.addresses.address</t>
  </si>
  <si>
    <t>aruba-sw-port-profile:sw-port-profiles.profile.ipv6.addresses.address</t>
  </si>
  <si>
    <t>aruba-named-condition</t>
  </si>
  <si>
    <t>named-conditions.named-condition.condition-rule.position</t>
  </si>
  <si>
    <t>aruba-named-condition:named-conditions.named-condition.condition-rule.position</t>
  </si>
  <si>
    <t>QOS</t>
  </si>
  <si>
    <t>named-conditions.named-condition.name</t>
  </si>
  <si>
    <t>aruba-named-condition:named-conditions.named-condition.name</t>
  </si>
  <si>
    <t>aruba-auth-server-global</t>
  </si>
  <si>
    <t>auth-server-global-config.profile.name</t>
  </si>
  <si>
    <t>aruba-auth-server-global:auth-server-global-config.profile.name</t>
  </si>
  <si>
    <t>auth-server-global-config.profile.type</t>
  </si>
  <si>
    <t>aruba-auth-server-global:auth-server-global-config.profile.type</t>
  </si>
  <si>
    <t>profile.type; type</t>
  </si>
  <si>
    <t>local-management.profile.accounting.accounting-group.access-type</t>
  </si>
  <si>
    <t>aruba-local-management:local-management.profile.accounting.accounting-group.access-type</t>
  </si>
  <si>
    <t>CNX-153823</t>
  </si>
  <si>
    <t>local-management.profile.accounting.accounting-group.record-type</t>
  </si>
  <si>
    <t>aruba-local-management:local-management.profile.accounting.accounting-group.record-type</t>
  </si>
  <si>
    <t>local-management.profile.accounting.accounting-group.acct-instances.accounting-method</t>
  </si>
  <si>
    <t>aruba-local-management:local-management.profile.accounting.accounting-group.acct-instances.accounting-method</t>
  </si>
  <si>
    <t>local-management.profile.accounting.accounting-group.acct-instances.seq-id</t>
  </si>
  <si>
    <t>aruba-local-management:local-management.profile.accounting.accounting-group.acct-instances.seq-id</t>
  </si>
  <si>
    <t>snmp.profile.user.user-name</t>
  </si>
  <si>
    <t>aruba-snmp:snmp.profile.user.user-name</t>
  </si>
  <si>
    <t>profile.user.user_name; user.user_name</t>
  </si>
  <si>
    <t>snmp.profile.user.auth-protocol</t>
  </si>
  <si>
    <t>aruba-snmp:snmp.profile.user.auth-protocol</t>
  </si>
  <si>
    <t>profile.user.auth_protocol; user.auth_protocol</t>
  </si>
  <si>
    <t>local-management.profile.accounting.accounting-group.acct-instances.mgmt-server-group</t>
  </si>
  <si>
    <t>aruba-local-management:local-management.profile.accounting.accounting-group.acct-instances.mgmt-server-group</t>
  </si>
  <si>
    <t>auth-servers.auth-server.shared-secret-config.ciphertext-value</t>
  </si>
  <si>
    <t>aruba-auth-server:auth-servers.auth-server.shared-secret-config.ciphertext-value</t>
  </si>
  <si>
    <t>roles.role.vlan-parameters.trunk-native-vlan</t>
  </si>
  <si>
    <t>aruba-role:roles.role.vlan-parameters.trunk-native-vlan</t>
  </si>
  <si>
    <t>vlan_parameters.trunk_native_vlan</t>
  </si>
  <si>
    <t>roles.role.vlan-parameters.trunk-allowed-vlans</t>
  </si>
  <si>
    <t>aruba-role:roles.role.vlan-parameters.trunk-allowed-vlans</t>
  </si>
  <si>
    <t>vlan_parameters.trunk_allowed_vlans</t>
  </si>
  <si>
    <t>dot1xauth.profile.enable</t>
  </si>
  <si>
    <t>aruba-aaa-dot1xauth:dot1xauth.profile.enable</t>
  </si>
  <si>
    <t>macauth.profile.enable</t>
  </si>
  <si>
    <t>aruba-aaa-macauth:macauth.profile.enable</t>
  </si>
  <si>
    <t>snmp.profile.user.auth-pass-text</t>
  </si>
  <si>
    <t>aruba-snmp:snmp.profile.user.auth-pass-text</t>
  </si>
  <si>
    <t>snmp.profile.user.auth-password</t>
  </si>
  <si>
    <t>aruba-snmp:snmp.profile.user.auth-password</t>
  </si>
  <si>
    <t>profile.user.auth_password; user.auth_password</t>
  </si>
  <si>
    <t>switch-system.profile.aaa.mac-auth.enable</t>
  </si>
  <si>
    <t>aruba-switch-system:switch-system.profile.aaa.mac-auth.enable</t>
  </si>
  <si>
    <t>aaa.mac_auth.enable; profile.aaa.mac_auth.enable</t>
  </si>
  <si>
    <t>switch-system.profile.aaa.dot1x-auth.enable</t>
  </si>
  <si>
    <t>aruba-switch-system:switch-system.profile.aaa.dot1x-auth.enable</t>
  </si>
  <si>
    <t>aaa.dot1x_auth.enable; profile.aaa.dot1x_auth.enable</t>
  </si>
  <si>
    <t>snmp.profile.user.privacy-protocol</t>
  </si>
  <si>
    <t>aruba-snmp:snmp.profile.user.privacy-protocol</t>
  </si>
  <si>
    <t>profile.user.privacy_protocol; user.privacy_protocol</t>
  </si>
  <si>
    <t>snmp.profile.user.privacy-password</t>
  </si>
  <si>
    <t>aruba-snmp:snmp.profile.user.privacy-password</t>
  </si>
  <si>
    <t>profile.user.privacy_password; user.privacy_password</t>
  </si>
  <si>
    <t>snmp.profile.user.auth-pass-cypher</t>
  </si>
  <si>
    <t>aruba-snmp:snmp.profile.user.auth-pass-cypher</t>
  </si>
  <si>
    <t>local-management.profile.authorization.authorization-group.access-type</t>
  </si>
  <si>
    <t>aruba-local-management:local-management.profile.authorization.authorization-group.access-type</t>
  </si>
  <si>
    <t>local-management.profile.authorization.authorization-group.authz-instances.authorization-method</t>
  </si>
  <si>
    <t>aruba-local-management:local-management.profile.authorization.authorization-group.authz-instances.authorization-method</t>
  </si>
  <si>
    <t>local-management.profile.authorization.authorization-group.authz-instances.seq-id</t>
  </si>
  <si>
    <t>aruba-local-management:local-management.profile.authorization.authorization-group.authz-instances.seq-id</t>
  </si>
  <si>
    <t>aruba-device-profile</t>
  </si>
  <si>
    <t>device-profile.profile.name</t>
  </si>
  <si>
    <t>aruba-device-profile:device-profile.profile.name</t>
  </si>
  <si>
    <t>snmp.profile.user.priv-pass-cypher</t>
  </si>
  <si>
    <t>aruba-snmp:snmp.profile.user.priv-pass-cypher</t>
  </si>
  <si>
    <t>CNX-196464</t>
  </si>
  <si>
    <t>already tracked for Jan</t>
  </si>
  <si>
    <t>roles.role.session-parameters.poe-priority</t>
  </si>
  <si>
    <t>aruba-role:roles.role.session-parameters.poe-priority</t>
  </si>
  <si>
    <t>session_parameters.poe_priority</t>
  </si>
  <si>
    <t>ethernet-interfaces.interface.mtu</t>
  </si>
  <si>
    <t>aruba-interface-ethernet:ethernet-interfaces.interface.mtu</t>
  </si>
  <si>
    <t>interface.ip.mtu; interface.mtu; ip.mtu; mtu</t>
  </si>
  <si>
    <t>device-profile.profile.role</t>
  </si>
  <si>
    <t>aruba-device-profile:device-profile.profile.role</t>
  </si>
  <si>
    <t>profile.role; role</t>
  </si>
  <si>
    <t>ethernet-interfaces.interface.aaa.authentication.dot1x-auth.enable</t>
  </si>
  <si>
    <t>aruba-interface-ethernet:ethernet-interfaces.interface.aaa.authentication.dot1x-auth.enable</t>
  </si>
  <si>
    <t>aaa.authentication.dot1x_auth.enable; interface.aaa.authentication.dot1x_auth.enable</t>
  </si>
  <si>
    <t>layer2-vlan-range.enable</t>
  </si>
  <si>
    <t>aruba-vlan-range:layer2-vlan-range.enable</t>
  </si>
  <si>
    <t>TBD</t>
  </si>
  <si>
    <t>Layer2 vlan ticket</t>
  </si>
  <si>
    <t>ethernet-interfaces.interface.aaa.authentication.mac-auth.enable</t>
  </si>
  <si>
    <t>aruba-interface-ethernet:ethernet-interfaces.interface.aaa.authentication.mac-auth.enable</t>
  </si>
  <si>
    <t>aaa.authentication.mac_auth.enable; interface.aaa.authentication.mac_auth.enable</t>
  </si>
  <si>
    <t>policies.policy.security-policy.policy-rule.condition.source.host-address.host-ipv4-address</t>
  </si>
  <si>
    <t>aruba-policy:policies.policy.security-policy.policy-rule.condition.source.host-address.host-ipv4-address</t>
  </si>
  <si>
    <t>policy.security_policy.policy_rule.condition.source.host_address.host_ipv4_address; security_policy.policy_rule.condition.source.host_address.host_ipv4_address</t>
  </si>
  <si>
    <t>device-profile.profile.lldp-group-entries.action</t>
  </si>
  <si>
    <t>aruba-device-profile:device-profile.profile.lldp-group-entries.action</t>
  </si>
  <si>
    <t>lldp_group_entries.action; profile.lldp_group_entries.action</t>
  </si>
  <si>
    <t>device-profile.profile.lldp-group-entries.sequence-number</t>
  </si>
  <si>
    <t>aruba-device-profile:device-profile.profile.lldp-group-entries.sequence-number</t>
  </si>
  <si>
    <t>lldp_group_entries.sequence_number; profile.lldp_group_entries.sequence_number</t>
  </si>
  <si>
    <t>aruba-loop-protect</t>
  </si>
  <si>
    <t>loop-protect.profile.name</t>
  </si>
  <si>
    <t>aruba-loop-protect:loop-protect.profile.name</t>
  </si>
  <si>
    <t>ethernet-interfaces.interface.speed-duplex</t>
  </si>
  <si>
    <t>aruba-interface-ethernet:ethernet-interfaces.interface.speed-duplex</t>
  </si>
  <si>
    <t>interface.speed_duplex; speed_duplex</t>
  </si>
  <si>
    <t>dns.profile.domain.name</t>
  </si>
  <si>
    <t>aruba-dns:dns.profile.domain.name</t>
  </si>
  <si>
    <t>domain.name; profile.domain.name</t>
  </si>
  <si>
    <t>dns.profile.domain.vrf</t>
  </si>
  <si>
    <t>aruba-dns:dns.profile.domain.vrf</t>
  </si>
  <si>
    <t>domain.vrf; profile.domain.vrf</t>
  </si>
  <si>
    <t>aruba-vrf</t>
  </si>
  <si>
    <t>vrfs.vrf.name</t>
  </si>
  <si>
    <t>aruba-vrf:vrfs.vrf.name</t>
  </si>
  <si>
    <t>name; vrf.name</t>
  </si>
  <si>
    <t>roles.role.session-parameters.trust-mode</t>
  </si>
  <si>
    <t>aruba-role:roles.role.session-parameters.trust-mode</t>
  </si>
  <si>
    <t>session_parameters.trust_mode</t>
  </si>
  <si>
    <t>vlan-interfaces.interface.ipv4-relay.server.ip</t>
  </si>
  <si>
    <t>aruba-interface-vlan:vlan-interfaces.interface.ipv4-relay.server.ip</t>
  </si>
  <si>
    <t>interface.ipv4_relay.server.ip; ipv4_relay.server.ip</t>
  </si>
  <si>
    <t>vlan-interfaces.interface.ipv4-relay.server.ip-vrf</t>
  </si>
  <si>
    <t>aruba-interface-vlan:vlan-interfaces.interface.ipv4-relay.server.ip-vrf</t>
  </si>
  <si>
    <t>interface.ipv4_relay.server.ip_vrf; ipv4_relay.server.ip_vrf</t>
  </si>
  <si>
    <t>vlan-interfaces.interface.ipv4-relay.server.vrf</t>
  </si>
  <si>
    <t>aruba-interface-vlan:vlan-interfaces.interface.ipv4-relay.server.vrf</t>
  </si>
  <si>
    <t>interface.ipv4_relay.server.vrf; ipv4_relay.server.vrf</t>
  </si>
  <si>
    <t>aruba-switch-profiles</t>
  </si>
  <si>
    <t>switch-profiles.profile.name</t>
  </si>
  <si>
    <t>aruba-switch-profiles:switch-profiles.profile.name</t>
  </si>
  <si>
    <t>switch-profiles.profile.selected</t>
  </si>
  <si>
    <t>aruba-switch-profiles:switch-profiles.profile.selected</t>
  </si>
  <si>
    <t>client-iptracker.profile.enable-all-vlans</t>
  </si>
  <si>
    <t>aruba-client-iptracker:client-iptracker.profile.enable-all-vlans</t>
  </si>
  <si>
    <t>aruba-qos-dscp</t>
  </si>
  <si>
    <t>qos-dscp.profile.dscp-map.dscp</t>
  </si>
  <si>
    <t>aruba-qos-dscp:qos-dscp.profile.dscp-map.dscp</t>
  </si>
  <si>
    <t>qos-dscp.profile.name</t>
  </si>
  <si>
    <t>aruba-qos-dscp:qos-dscp.profile.name</t>
  </si>
  <si>
    <t>aruba-aaa-profile</t>
  </si>
  <si>
    <t>aaa-profile.profile.name</t>
  </si>
  <si>
    <t>aruba-aaa-profile:aaa-profile.profile.name</t>
  </si>
  <si>
    <t>ethernet-interfaces.interface.aaa.authentication.client-limit</t>
  </si>
  <si>
    <t>aruba-interface-ethernet:ethernet-interfaces.interface.aaa.authentication.client-limit</t>
  </si>
  <si>
    <t>aaa.authentication.client_limit; interface.aaa.authentication.client_limit</t>
  </si>
  <si>
    <t>ip-source-interfaces.profile.ip-source.vlan</t>
  </si>
  <si>
    <t>aruba-ip-source-interface:ip-source-interfaces.profile.ip-source.vlan</t>
  </si>
  <si>
    <t>ip_source.vlan; profile.ip_source.vlan</t>
  </si>
  <si>
    <t>sw-port-profiles.profile.speed-duplex</t>
  </si>
  <si>
    <t>aruba-sw-port-profile:sw-port-profiles.profile.speed-duplex</t>
  </si>
  <si>
    <t>profile.speed_duplex; speed_duplex</t>
  </si>
  <si>
    <t>roles.role.vlan-parameters.access-vlan</t>
  </si>
  <si>
    <t>aruba-role:roles.role.vlan-parameters.access-vlan</t>
  </si>
  <si>
    <t>vlan_parameters.access_vlan</t>
  </si>
  <si>
    <t>ethernet-interfaces.interface.ipv4.address</t>
  </si>
  <si>
    <t>aruba-interface-ethernet:ethernet-interfaces.interface.ipv4.address</t>
  </si>
  <si>
    <t>sw-port-profiles.profile.qos.trust</t>
  </si>
  <si>
    <t>aruba-sw-port-profile:sw-port-profiles.profile.qos.trust</t>
  </si>
  <si>
    <t>profile.qos.trust; qos.trust</t>
  </si>
  <si>
    <t>switch-system.profile.aaa.client-event-log-enable</t>
  </si>
  <si>
    <t>aruba-switch-system:switch-system.profile.aaa.client-event-log-enable</t>
  </si>
  <si>
    <t>CNX-208861</t>
  </si>
  <si>
    <t>tracked, auth events must be added to be enabled in defaults</t>
  </si>
  <si>
    <t>dhcp-snooping.profile.ipv4.client-event-log</t>
  </si>
  <si>
    <t>aruba-dhcp-snooping:dhcp-snooping.profile.ipv4.client-event-log</t>
  </si>
  <si>
    <t>ipv4.client_event_log; profile.ipv4.client_event_log</t>
  </si>
  <si>
    <t>aruba-client-insight</t>
  </si>
  <si>
    <t>client-insight.profile.name</t>
  </si>
  <si>
    <t>aruba-client-insight:client-insight.profile.name</t>
  </si>
  <si>
    <t>Intent Config</t>
  </si>
  <si>
    <t>client-insight.profile.enable</t>
  </si>
  <si>
    <t>aruba-client-insight:client-insight.profile.enable</t>
  </si>
  <si>
    <t>qos-dscp.profile.dscp-map.local-priority</t>
  </si>
  <si>
    <t>aruba-qos-dscp:qos-dscp.profile.dscp-map.local-priority</t>
  </si>
  <si>
    <t>portchannels.interface.switchport.access-vlan</t>
  </si>
  <si>
    <t>aruba-interface-portchannel:portchannels.interface.switchport.access-vlan</t>
  </si>
  <si>
    <t>ethernet-interfaces.interface.poe.enabled</t>
  </si>
  <si>
    <t>aruba-interface-ethernet:ethernet-interfaces.interface.poe.enabled</t>
  </si>
  <si>
    <t>interface.poe.enabled; poe.enabled</t>
  </si>
  <si>
    <t>client-insight.profile.onboarding-event-log</t>
  </si>
  <si>
    <t>aruba-client-insight:client-insight.profile.onboarding-event-log</t>
  </si>
  <si>
    <t>logging.profile.module.process</t>
  </si>
  <si>
    <t>aruba-logging:logging.profile.module.process</t>
  </si>
  <si>
    <t>logging.profile.module.subcategory</t>
  </si>
  <si>
    <t>aruba-logging:logging.profile.module.subcategory</t>
  </si>
  <si>
    <t>logging.profile.module.type</t>
  </si>
  <si>
    <t>aruba-logging:logging.profile.module.type</t>
  </si>
  <si>
    <t>logging.profile.module.type-process-subcategory</t>
  </si>
  <si>
    <t>aruba-logging:logging.profile.module.type-process-subcategory</t>
  </si>
  <si>
    <t>layer2-vlan.l2-vlan.client-ip-tracker-enable</t>
  </si>
  <si>
    <t>aruba-vlan:layer2-vlan.l2-vlan.client-ip-tracker-enable</t>
  </si>
  <si>
    <t>client_ip_tracker_enable; l2_vlan.client_ip_tracker_enable</t>
  </si>
  <si>
    <t>switch-system.profile.aaa.accounting.accounting-mode</t>
  </si>
  <si>
    <t>aruba-switch-system:switch-system.profile.aaa.accounting.accounting-mode</t>
  </si>
  <si>
    <t>same as aaa accounting &amp; authorization gaps</t>
  </si>
  <si>
    <t>dhcp-snooping.profile.ipv6.client-event-log</t>
  </si>
  <si>
    <t>aruba-dhcp-snooping:dhcp-snooping.profile.ipv6.client-event-log</t>
  </si>
  <si>
    <t>ipv6.client_event_log; profile.ipv6.client_event_log</t>
  </si>
  <si>
    <t>auth-servers.auth-server.shared-secret-config.plaintext-value</t>
  </si>
  <si>
    <t>aruba-auth-server:auth-servers.auth-server.shared-secret-config.plaintext-value</t>
  </si>
  <si>
    <t>auth_server.shared_secret_config.plaintext_value; shared_secret_config.plaintext_value</t>
  </si>
  <si>
    <t>local-management.profile.authentication.failthrough</t>
  </si>
  <si>
    <t>aruba-local-management:local-management.profile.authentication.failthrough</t>
  </si>
  <si>
    <t>authentication.failthrough; profile.authentication.failthrough</t>
  </si>
  <si>
    <t>loop-protect.profile.re-enable-timer</t>
  </si>
  <si>
    <t>aruba-loop-protect:loop-protect.profile.re-enable-timer</t>
  </si>
  <si>
    <t>sw-port-profiles.profile.loop-protect.re-enable-timer</t>
  </si>
  <si>
    <t>aruba-sw-port-profile:sw-port-profiles.profile.loop-protect.re-enable-timer</t>
  </si>
  <si>
    <t>switch-system.profile.aaa.accounting.acct-server-group</t>
  </si>
  <si>
    <t>aruba-switch-system:switch-system.profile.aaa.accounting.acct-server-group</t>
  </si>
  <si>
    <t>local-management.profile.login-session-timeout</t>
  </si>
  <si>
    <t>aruba-local-management:local-management.profile.login-session-timeout</t>
  </si>
  <si>
    <t>login_session_timeout; profile.login_session_timeout</t>
  </si>
  <si>
    <t>snmp.profile.community.policy-ipv4</t>
  </si>
  <si>
    <t>aruba-snmp:snmp.profile.community.policy-ipv4</t>
  </si>
  <si>
    <t>CNX-211494</t>
  </si>
  <si>
    <t>qos-dscp.profile.dscp-map.color</t>
  </si>
  <si>
    <t>aruba-qos-dscp:qos-dscp.profile.dscp-map.color</t>
  </si>
  <si>
    <t>roles.role.session-parameters.auth-mode</t>
  </si>
  <si>
    <t>aruba-role:roles.role.session-parameters.auth-mode</t>
  </si>
  <si>
    <t>session_parameters.auth_mode</t>
  </si>
  <si>
    <t>auth-server-global-config.profile.enable</t>
  </si>
  <si>
    <t>aruba-auth-server-global:auth-server-global-config.profile.enable</t>
  </si>
  <si>
    <t>dhcp-snooping.profile.ipv4.enable</t>
  </si>
  <si>
    <t>aruba-dhcp-snooping:dhcp-snooping.profile.ipv4.enable</t>
  </si>
  <si>
    <t>ipv4.enable; profile.ipv4.enable</t>
  </si>
  <si>
    <t>ethernet-interfaces.interface.stp.root-guard</t>
  </si>
  <si>
    <t>aruba-interface-ethernet:ethernet-interfaces.interface.stp.root-guard</t>
  </si>
  <si>
    <t>interface.stp.root_guard; stp.root_guard</t>
  </si>
  <si>
    <t>switch-system.profile.aaa.mac-auth.radius-server-group</t>
  </si>
  <si>
    <t>aruba-switch-system:switch-system.profile.aaa.mac-auth.radius-server-group</t>
  </si>
  <si>
    <t>aaa.mac_auth.radius_server_group; profile.aaa.mac_auth.radius_server_group</t>
  </si>
  <si>
    <t>switch-system.profile.aaa.dot1x-auth.radius-server-group</t>
  </si>
  <si>
    <t>aruba-switch-system:switch-system.profile.aaa.dot1x-auth.radius-server-group</t>
  </si>
  <si>
    <t>aaa.dot1x_auth.radius_server_group; profile.aaa.dot1x_auth.radius_server_group</t>
  </si>
  <si>
    <t>device-profile.profile.lldp-group-entries.system-description</t>
  </si>
  <si>
    <t>aruba-device-profile:device-profile.profile.lldp-group-entries.system-description</t>
  </si>
  <si>
    <t>lldp_group_entries.system_description; profile.lldp_group_entries.system_description</t>
  </si>
  <si>
    <t>aruba-vsx-pair</t>
  </si>
  <si>
    <t>vsx-config.vsx.name</t>
  </si>
  <si>
    <t>aruba-vsx-pair:vsx-config.vsx.name</t>
  </si>
  <si>
    <t>Internally covered</t>
  </si>
  <si>
    <t>vsx-config.vsx.inter-switch-link.interface-lag</t>
  </si>
  <si>
    <t>aruba-vsx-pair:vsx-config.vsx.inter-switch-link.interface-lag</t>
  </si>
  <si>
    <t>aruba-vsx</t>
  </si>
  <si>
    <t>vsx-profiles.vsx.name</t>
  </si>
  <si>
    <t>aruba-vsx:vsx-profiles.vsx.name</t>
  </si>
  <si>
    <t>name; vsx.name</t>
  </si>
  <si>
    <t>stp.profile.rpvst.vlan</t>
  </si>
  <si>
    <t>aruba-stp:stp.profile.rpvst.vlan</t>
  </si>
  <si>
    <t>profile.rpvst.vlan; rpvst.vlan</t>
  </si>
  <si>
    <t>local-management.profile.ssh-server-global-configs.allow-list.ipv4-allow-list</t>
  </si>
  <si>
    <t>aruba-local-management:local-management.profile.ssh-server-global-configs.allow-list.ipv4-allow-list</t>
  </si>
  <si>
    <t>ip-source-interfaces.profile.ip-source.ipv4</t>
  </si>
  <si>
    <t>aruba-ip-source-interface:ip-source-interfaces.profile.ip-source.ipv4</t>
  </si>
  <si>
    <t>ip_source.ipv4; profile.ip_source.ipv4</t>
  </si>
  <si>
    <t>aruba-qos</t>
  </si>
  <si>
    <t>global-qos.trust</t>
  </si>
  <si>
    <t>aruba-qos:global-qos.trust</t>
  </si>
  <si>
    <t>switch-system.profile.aaa.accounting.interim-update-enable</t>
  </si>
  <si>
    <t>aruba-switch-system:switch-system.profile.aaa.accounting.interim-update-enable</t>
  </si>
  <si>
    <t>local-management.profile.ssh-server-global-configs.allow-list.allow-list-enable</t>
  </si>
  <si>
    <t>aruba-local-management:local-management.profile.ssh-server-global-configs.allow-list.allow-list-enable</t>
  </si>
  <si>
    <t>layer2-vlan-range.igmp.snooping</t>
  </si>
  <si>
    <t>aruba-vlan-range:layer2-vlan-range.igmp.snooping</t>
  </si>
  <si>
    <t>Mubeesh to create an EPIC/Story</t>
  </si>
  <si>
    <t>logging.profile.remote-syslog.logging-syslog-enable</t>
  </si>
  <si>
    <t>aruba-logging:logging.profile.remote-syslog.logging-syslog-enable</t>
  </si>
  <si>
    <t>profile.remote_syslog.logging_syslog_enable; remote_syslog.logging_syslog_enable</t>
  </si>
  <si>
    <t>layer2-vlan.l2-vlan.igmp.snooping</t>
  </si>
  <si>
    <t>aruba-vlan:layer2-vlan.l2-vlan.igmp.snooping</t>
  </si>
  <si>
    <t>igmp.snooping; l2_vlan.igmp.snooping</t>
  </si>
  <si>
    <t>aruba-mirror</t>
  </si>
  <si>
    <t>mirrors.profile.name</t>
  </si>
  <si>
    <t>aruba-mirror:mirrors.profile.name</t>
  </si>
  <si>
    <t>mirrors.profile.session.session-id</t>
  </si>
  <si>
    <t>aruba-mirror:mirrors.profile.session.session-id</t>
  </si>
  <si>
    <t>same as mirror-end-point-devinfo</t>
  </si>
  <si>
    <t>device-profile.profile.lldp-group-entries.vendor-oui</t>
  </si>
  <si>
    <t>aruba-device-profile:device-profile.profile.lldp-group-entries.vendor-oui</t>
  </si>
  <si>
    <t>lldp_group_entries.vendor_oui; profile.lldp_group_entries.vendor_oui</t>
  </si>
  <si>
    <t>ntp.profile.vrf</t>
  </si>
  <si>
    <t>aruba-ntp:ntp.profile.vrf</t>
  </si>
  <si>
    <t>logging.profile.destination</t>
  </si>
  <si>
    <t>aruba-logging:logging.profile.destination</t>
  </si>
  <si>
    <t>destination; profile.destination</t>
  </si>
  <si>
    <t>vsx-config.vsx.role</t>
  </si>
  <si>
    <t>aruba-vsx-pair:vsx-config.vsx.role</t>
  </si>
  <si>
    <t>vsx-profiles.vsx.peer1.role</t>
  </si>
  <si>
    <t>aruba-vsx:vsx-profiles.vsx.peer1.role</t>
  </si>
  <si>
    <t>peer1.role; vsx.peer1.role</t>
  </si>
  <si>
    <t>vsx-profiles.vsx.peer2.role</t>
  </si>
  <si>
    <t>aruba-vsx:vsx-profiles.vsx.peer2.role</t>
  </si>
  <si>
    <t>peer2.role; vsx.peer2.role</t>
  </si>
  <si>
    <t>mirrors.profile.session.session-destination.destination-type</t>
  </si>
  <si>
    <t>aruba-mirror:mirrors.profile.session.session-destination.destination-type</t>
  </si>
  <si>
    <t>ethernet-interfaces.interface.stp.bpdu-filter</t>
  </si>
  <si>
    <t>aruba-interface-ethernet:ethernet-interfaces.interface.stp.bpdu-filter</t>
  </si>
  <si>
    <t>interface.stp.bpdu_filter; stp.bpdu_filter</t>
  </si>
  <si>
    <t>ethernet-interfaces.interface.dhcpv4-snooping.trust</t>
  </si>
  <si>
    <t>aruba-interface-ethernet:ethernet-interfaces.interface.dhcpv4-snooping.trust</t>
  </si>
  <si>
    <t>dhcpv4_snooping.trust; interface.dhcpv4_snooping.trust</t>
  </si>
  <si>
    <t>vsx-config.vsx.system-mac</t>
  </si>
  <si>
    <t>aruba-vsx-pair:vsx-config.vsx.system-mac</t>
  </si>
  <si>
    <t>vsx-profiles.vsx.sync-features.system-mac</t>
  </si>
  <si>
    <t>aruba-vsx:vsx-profiles.vsx.sync-features.system-mac</t>
  </si>
  <si>
    <t>sync_features.system_mac; vsx.sync_features.system_mac</t>
  </si>
  <si>
    <t>stacks.stack.split-detection-method</t>
  </si>
  <si>
    <t>aruba-switch-stack:stacks.stack.split-detection-method</t>
  </si>
  <si>
    <t>split_detection_method; stack.split_detection_method</t>
  </si>
  <si>
    <t>vsf-templates.template.split-detection-method</t>
  </si>
  <si>
    <t>aruba-vsf-template:vsf-templates.template.split-detection-method</t>
  </si>
  <si>
    <t>split_detection_method; template.split_detection_method</t>
  </si>
  <si>
    <t>roles.role.description</t>
  </si>
  <si>
    <t>aruba-role:roles.role.description</t>
  </si>
  <si>
    <t>description</t>
  </si>
  <si>
    <t>aaa-profile.profile.authentication.concurrent-onboarding</t>
  </si>
  <si>
    <t>aruba-aaa-profile:aaa-profile.profile.authentication.concurrent-onboarding</t>
  </si>
  <si>
    <t>authentication.concurrent_onboarding; profile.authentication.concurrent_onboarding</t>
  </si>
  <si>
    <t>vsx-profiles.vsx.peer1.keepalive-device.peer-ip</t>
  </si>
  <si>
    <t>aruba-vsx:vsx-profiles.vsx.peer1.keepalive-device.peer-ip</t>
  </si>
  <si>
    <t>peer1.keepalive_device.peer_ip; vsx.peer1.keepalive_device.peer_ip</t>
  </si>
  <si>
    <t>vsx-profiles.vsx.peer1.keepalive-device.source-ip</t>
  </si>
  <si>
    <t>aruba-vsx:vsx-profiles.vsx.peer1.keepalive-device.source-ip</t>
  </si>
  <si>
    <t>peer1.keepalive_device.source_ip; vsx.peer1.keepalive_device.source_ip</t>
  </si>
  <si>
    <t>vsx-profiles.vsx.peer2.keepalive-device.peer-ip</t>
  </si>
  <si>
    <t>aruba-vsx:vsx-profiles.vsx.peer2.keepalive-device.peer-ip</t>
  </si>
  <si>
    <t>peer2.keepalive_device.peer_ip; vsx.peer2.keepalive_device.peer_ip</t>
  </si>
  <si>
    <t>vsx-profiles.vsx.peer2.keepalive-device.source-ip</t>
  </si>
  <si>
    <t>aruba-vsx:vsx-profiles.vsx.peer2.keepalive-device.source-ip</t>
  </si>
  <si>
    <t>peer2.keepalive_device.source_ip; vsx.peer2.keepalive_device.source_ip</t>
  </si>
  <si>
    <t>ethernet-interfaces.interface.aaa.authentication.concurrent-onboarding</t>
  </si>
  <si>
    <t>aruba-interface-ethernet:ethernet-interfaces.interface.aaa.authentication.concurrent-onboarding</t>
  </si>
  <si>
    <t>aaa.authentication.concurrent_onboarding; interface.aaa.authentication.concurrent_onboarding</t>
  </si>
  <si>
    <t>aruba-certificate-rcp</t>
  </si>
  <si>
    <t>certificate-rcp.ta-profile.name</t>
  </si>
  <si>
    <t>aruba-certificate-rcp:certificate-rcp.ta-profile.name</t>
  </si>
  <si>
    <t>Ticket for certificiate is already present</t>
  </si>
  <si>
    <t>layer2-vlan-range.dhcpv4-snooping.enable</t>
  </si>
  <si>
    <t>aruba-vlan-range:layer2-vlan-range.dhcpv4-snooping.enable</t>
  </si>
  <si>
    <t>stp.profile.config-name</t>
  </si>
  <si>
    <t>aruba-stp:stp.profile.config-name</t>
  </si>
  <si>
    <t>config_name; profile.config_name</t>
  </si>
  <si>
    <t>loop-protect.profile.trap</t>
  </si>
  <si>
    <t>aruba-loop-protect:loop-protect.profile.trap</t>
  </si>
  <si>
    <t>sw-port-profiles.profile.loop-protect.trap</t>
  </si>
  <si>
    <t>aruba-sw-port-profile:sw-port-profiles.profile.loop-protect.trap</t>
  </si>
  <si>
    <t>layer2-vlan.l2-vlan.dhcpv4-snooping.enable</t>
  </si>
  <si>
    <t>aruba-vlan:layer2-vlan.l2-vlan.dhcpv4-snooping.enable</t>
  </si>
  <si>
    <t>dhcpv4_snooping.enable; l2_vlan.dhcpv4_snooping.enable</t>
  </si>
  <si>
    <t>mirrors.profile.session.enable</t>
  </si>
  <si>
    <t>aruba-mirror:mirrors.profile.session.enable</t>
  </si>
  <si>
    <t>same as mirror-end-point-devinfo?</t>
  </si>
  <si>
    <t>ntp.profile.servers.prefer</t>
  </si>
  <si>
    <t>aruba-ntp:ntp.profile.servers.prefer</t>
  </si>
  <si>
    <t>profile.servers.prefer; servers.prefer</t>
  </si>
  <si>
    <t>aruba-devicefingerprinting-profile</t>
  </si>
  <si>
    <t>devicefingerprinting-profile.profile.name</t>
  </si>
  <si>
    <t>aruba-devicefingerprinting-profile:devicefingerprinting-profile.profile.name</t>
  </si>
  <si>
    <t>same as mirror-end-point-devinfo at system level?</t>
  </si>
  <si>
    <t>switch-system.profile.aaa.accounting.interim-update-interval</t>
  </si>
  <si>
    <t>aruba-switch-system:switch-system.profile.aaa.accounting.interim-update-interval</t>
  </si>
  <si>
    <t>roles.role.session-parameters.stp-admin-edge-port</t>
  </si>
  <si>
    <t>aruba-role:roles.role.session-parameters.stp-admin-edge-port</t>
  </si>
  <si>
    <t>session_parameters.stp_admin_edge_port</t>
  </si>
  <si>
    <t>devicefingerprinting-profile.profile.dhcp-default</t>
  </si>
  <si>
    <t>aruba-devicefingerprinting-profile:devicefingerprinting-profile.profile.dhcp-default</t>
  </si>
  <si>
    <t>ethernet-interfaces.interface.vrf-forwarding</t>
  </si>
  <si>
    <t>aruba-interface-ethernet:ethernet-interfaces.interface.vrf-forwarding</t>
  </si>
  <si>
    <t>interface.vrf_forwarding; vrf_forwarding</t>
  </si>
  <si>
    <t>policies.policy.security-policy.policy-rule.condition.transport-fields.destination-port.operator</t>
  </si>
  <si>
    <t>aruba-policy:policies.policy.security-policy.policy-rule.condition.transport-fields.destination-port.operator</t>
  </si>
  <si>
    <t>policy.security_policy.policy_rule.condition.transport_fields.destination_port.operator; security_policy.policy_rule.condition.transport_fields.destination_port.operator</t>
  </si>
  <si>
    <t>devicefingerprinting-profile.profile.http-parameters</t>
  </si>
  <si>
    <t>aruba-devicefingerprinting-profile:devicefingerprinting-profile.profile.http-parameters</t>
  </si>
  <si>
    <t>aruba-remote-management</t>
  </si>
  <si>
    <t>remote-management.profile.name</t>
  </si>
  <si>
    <t>aruba-remote-management:remote-management.profile.name</t>
  </si>
  <si>
    <t>we didn't plan UI intentionally</t>
  </si>
  <si>
    <t>policies.policy.security-policy.policy-rule.condition.transport-fields.destination-port.min</t>
  </si>
  <si>
    <t>aruba-policy:policies.policy.security-policy.policy-rule.condition.transport-fields.destination-port.min</t>
  </si>
  <si>
    <t>policy.security_policy.policy_rule.condition.transport_fields.destination_port.min; security_policy.policy_rule.condition.transport_fields.destination_port.min</t>
  </si>
  <si>
    <t>aruba-switch-chassis</t>
  </si>
  <si>
    <t>switch-chassis.chassis.chassis-name</t>
  </si>
  <si>
    <t>aruba-switch-chassis:switch-chassis.chassis.chassis-name</t>
  </si>
  <si>
    <t>New Profile</t>
  </si>
  <si>
    <t>switch-chassis.chassis.line-modules.line-module-name</t>
  </si>
  <si>
    <t>aruba-switch-chassis:switch-chassis.chassis.line-modules.line-module-name</t>
  </si>
  <si>
    <t>vsx-config.vsx.keepalive.peer-ip</t>
  </si>
  <si>
    <t>aruba-vsx-pair:vsx-config.vsx.keepalive.peer-ip</t>
  </si>
  <si>
    <t>vsx-config.vsx.keepalive.source-ip</t>
  </si>
  <si>
    <t>aruba-vsx-pair:vsx-config.vsx.keepalive.source-ip</t>
  </si>
  <si>
    <t>vsx-config.vsx.keepalive.vrf-ref</t>
  </si>
  <si>
    <t>aruba-vsx-pair:vsx-config.vsx.keepalive.vrf-ref</t>
  </si>
  <si>
    <t>mgmt-interfaces.profile.default-gateway-ipv4</t>
  </si>
  <si>
    <t>aruba-interface-management:mgmt-interfaces.profile.default-gateway-ipv4</t>
  </si>
  <si>
    <t>default_gateway_ipv4; profile.default_gateway_ipv4</t>
  </si>
  <si>
    <t>mgmt-interfaces.profile.domain-name</t>
  </si>
  <si>
    <t>aruba-interface-management:mgmt-interfaces.profile.domain-name</t>
  </si>
  <si>
    <t>domain_name; profile.domain_name</t>
  </si>
  <si>
    <t>policies.policy.security-policy.policy-rule.condition.source.subnet-address.network-subnet-address</t>
  </si>
  <si>
    <t>aruba-policy:policies.policy.security-policy.policy-rule.condition.source.subnet-address.network-subnet-address</t>
  </si>
  <si>
    <t>aruba-dhcp-server</t>
  </si>
  <si>
    <t>dhcp-server.profile.instance.ip-version</t>
  </si>
  <si>
    <t>aruba-dhcp-server:dhcp-server.profile.instance.ip-version</t>
  </si>
  <si>
    <t>dhcp-server.profile.instance.vrf</t>
  </si>
  <si>
    <t>aruba-dhcp-server:dhcp-server.profile.instance.vrf</t>
  </si>
  <si>
    <t>dhcp-server.profile.instance.vrf-ip-version</t>
  </si>
  <si>
    <t>aruba-dhcp-server:dhcp-server.profile.instance.vrf-ip-version</t>
  </si>
  <si>
    <t>instance.vrf_ip_version; profile.instance.vrf_ip_version</t>
  </si>
  <si>
    <t>dhcp-server.profile.name</t>
  </si>
  <si>
    <t>aruba-dhcp-server:dhcp-server.profile.name</t>
  </si>
  <si>
    <t>mirrors.profile.session.session-destination.eth-interfaces.eth-interface</t>
  </si>
  <si>
    <t>aruba-mirror:mirrors.profile.session.session-destination.eth-interfaces.eth-interface</t>
  </si>
  <si>
    <t>auth-servers.auth-server.radius-server-mode</t>
  </si>
  <si>
    <t>aruba-auth-server:auth-servers.auth-server.radius-server-mode</t>
  </si>
  <si>
    <t>auth_server.radius_server_mode; radius_server_mode</t>
  </si>
  <si>
    <t>ethernet-interfaces.interface.aaa.authentication.dot1x-auth.eapol-max-requests</t>
  </si>
  <si>
    <t>aruba-interface-ethernet:ethernet-interfaces.interface.aaa.authentication.dot1x-auth.eapol-max-requests</t>
  </si>
  <si>
    <t>aaa.authentication.dot1x_auth.eapol_max_requests; interface.aaa.authentication.dot1x_auth.eapol_max_requests</t>
  </si>
  <si>
    <t>aruba-interface-loopback</t>
  </si>
  <si>
    <t>loopback-interfaces.interface.id</t>
  </si>
  <si>
    <t>aruba-interface-loopback:loopback-interfaces.interface.id</t>
  </si>
  <si>
    <t>aruba-dhcp-pool</t>
  </si>
  <si>
    <t>dhcp-pool.profile.ip-version</t>
  </si>
  <si>
    <t>aruba-dhcp-pool:dhcp-pool.profile.ip-version</t>
  </si>
  <si>
    <t>ip_version; profile.ip_version</t>
  </si>
  <si>
    <t>dhcp-pool.profile.ipv4-pool.v4pool-name</t>
  </si>
  <si>
    <t>aruba-dhcp-pool:dhcp-pool.profile.ipv4-pool.v4pool-name</t>
  </si>
  <si>
    <t>Already Supported</t>
  </si>
  <si>
    <t>dhcp-pool.profile.name</t>
  </si>
  <si>
    <t>aruba-dhcp-pool:dhcp-pool.profile.name</t>
  </si>
  <si>
    <t>dhcp-server.profile.instance.dhcp-pool</t>
  </si>
  <si>
    <t>aruba-dhcp-server:dhcp-server.profile.instance.dhcp-pool</t>
  </si>
  <si>
    <t>instance.dhcp_pool; profile.instance.dhcp_pool</t>
  </si>
  <si>
    <t>ethernet-interfaces.interface.stp.tcn-guard</t>
  </si>
  <si>
    <t>aruba-interface-ethernet:ethernet-interfaces.interface.stp.tcn-guard</t>
  </si>
  <si>
    <t>interface.stp.tcn_guard; stp.tcn_guard</t>
  </si>
  <si>
    <t>devicefingerprinting-profile.profile.lldp-tlv-names</t>
  </si>
  <si>
    <t>aruba-devicefingerprinting-profile:devicefingerprinting-profile.profile.lldp-tlv-names</t>
  </si>
  <si>
    <t>Covered via switch-system</t>
  </si>
  <si>
    <t>dhcp-pool.profile.ipv4-pool.range.end-ipv4</t>
  </si>
  <si>
    <t>aruba-dhcp-pool:dhcp-pool.profile.ipv4-pool.range.end-ipv4</t>
  </si>
  <si>
    <t>dhcp-pool.profile.ipv4-pool.range.start-ipv4</t>
  </si>
  <si>
    <t>aruba-dhcp-pool:dhcp-pool.profile.ipv4-pool.range.start-ipv4</t>
  </si>
  <si>
    <t>dhcp-pool.profile.ipv4-pool.range.start-ipv4-end-ipv4</t>
  </si>
  <si>
    <t>aruba-dhcp-pool:dhcp-pool.profile.ipv4-pool.range.start-ipv4-end-ipv4</t>
  </si>
  <si>
    <t>ipv4_pool.range.start_ipv4_end_ipv4; profile.ipv4_pool.range.start_ipv4_end_ipv4</t>
  </si>
  <si>
    <t>aruba-hardware-module-profile</t>
  </si>
  <si>
    <t>hardware-modules.hw-profile.name</t>
  </si>
  <si>
    <t>aruba-hardware-module-profile:hardware-modules.hw-profile.name</t>
  </si>
  <si>
    <t>Already in UI Path</t>
  </si>
  <si>
    <t>aruba-devicefingerprinting</t>
  </si>
  <si>
    <t>devicefingerprinting.profile.name</t>
  </si>
  <si>
    <t>aruba-devicefingerprinting:devicefingerprinting.profile.name</t>
  </si>
  <si>
    <t>devicefingerprinting.profile.profile-name</t>
  </si>
  <si>
    <t>aruba-devicefingerprinting:devicefingerprinting.profile.profile-name</t>
  </si>
  <si>
    <t>dhcp-pool.profile.ipv4-pool.default-router</t>
  </si>
  <si>
    <t>aruba-dhcp-pool:dhcp-pool.profile.ipv4-pool.default-router</t>
  </si>
  <si>
    <t>ipv4_pool.default_router; profile.ipv4_pool.default_router</t>
  </si>
  <si>
    <t>portchannels.interface.switchport.tag</t>
  </si>
  <si>
    <t>aruba-interface-portchannel:portchannels.interface.switchport.tag</t>
  </si>
  <si>
    <t>interface.switchport.tag; switchport.tag</t>
  </si>
  <si>
    <t>logging.profile.remote-syslog.severity</t>
  </si>
  <si>
    <t>aruba-logging:logging.profile.remote-syslog.severity</t>
  </si>
  <si>
    <t>profile.remote_syslog.severity; remote_syslog.severity</t>
  </si>
  <si>
    <t>devicefingerprinting-profile.profile.cdp-tlv-names</t>
  </si>
  <si>
    <t>aruba-devicefingerprinting-profile:devicefingerprinting-profile.profile.cdp-tlv-names</t>
  </si>
  <si>
    <t>portchannels.interface.dhcpv4-snooping.trust</t>
  </si>
  <si>
    <t>aruba-interface-portchannel:portchannels.interface.dhcpv4-snooping.trust</t>
  </si>
  <si>
    <t>dhcp-pool.profile.ipv4-pool.dns-server</t>
  </si>
  <si>
    <t>aruba-dhcp-pool:dhcp-pool.profile.ipv4-pool.dns-server</t>
  </si>
  <si>
    <t>ipv4_pool.dns_server; profile.ipv4_pool.dns_server</t>
  </si>
  <si>
    <t>aruba-system-info</t>
  </si>
  <si>
    <t>system-info.sys-description</t>
  </si>
  <si>
    <t>aruba-system-info:system-info.sys-description</t>
  </si>
  <si>
    <t>sys_description</t>
  </si>
  <si>
    <t>dhcp-server.profile.instance.enable</t>
  </si>
  <si>
    <t>aruba-dhcp-server:dhcp-server.profile.instance.enable</t>
  </si>
  <si>
    <t>instance.enable; profile.instance.enable</t>
  </si>
  <si>
    <t>stp.profile.bpdu-guard-enable-timer</t>
  </si>
  <si>
    <t>aruba-stp:stp.profile.bpdu-guard-enable-timer</t>
  </si>
  <si>
    <t>bpdu_guard_enable_timer; profile.bpdu_guard_enable_timer</t>
  </si>
  <si>
    <t>stp.profile.rpvst.priority</t>
  </si>
  <si>
    <t>aruba-stp:stp.profile.rpvst.priority</t>
  </si>
  <si>
    <t>profile.rpvst.priority; rpvst.priority</t>
  </si>
  <si>
    <t>hardware-modules.hw-profile.interface-group-speed-profile.group-id</t>
  </si>
  <si>
    <t>aruba-hardware-module-profile:hardware-modules.hw-profile.interface-group-speed-profile.group-id</t>
  </si>
  <si>
    <t>hardware-modules.hw-profile.interface-group-speed-profile.speed</t>
  </si>
  <si>
    <t>aruba-hardware-module-profile:hardware-modules.hw-profile.interface-group-speed-profile.speed</t>
  </si>
  <si>
    <t>auth-servers.auth-server.cppm-password-config.password-type</t>
  </si>
  <si>
    <t>aruba-auth-server:auth-servers.auth-server.cppm-password-config.password-type</t>
  </si>
  <si>
    <t>auth_server.cppm_password_config.password_type; cppm_password_config.password_type</t>
  </si>
  <si>
    <t>auth-servers.auth-server.cppm-user-name</t>
  </si>
  <si>
    <t>aruba-auth-server:auth-servers.auth-server.cppm-user-name</t>
  </si>
  <si>
    <t>auth_server.cppm_user_name; cppm_user_name</t>
  </si>
  <si>
    <t>remote-management.profile.central-location</t>
  </si>
  <si>
    <t>aruba-remote-management:remote-management.profile.central-location</t>
  </si>
  <si>
    <t>remote-management.profile.central-location-vrf</t>
  </si>
  <si>
    <t>aruba-remote-management:remote-management.profile.central-location-vrf</t>
  </si>
  <si>
    <t>switch-system.profile.enable-unsupported-transceiver</t>
  </si>
  <si>
    <t>aruba-switch-system:switch-system.profile.enable-unsupported-transceiver</t>
  </si>
  <si>
    <t>enable_unsupported_transceiver; profile.enable_unsupported_transceiver</t>
  </si>
  <si>
    <t>ntp.profile.servers.version</t>
  </si>
  <si>
    <t>aruba-ntp:ntp.profile.servers.version</t>
  </si>
  <si>
    <t>Not required as default is NTP4 and backward compatible.</t>
  </si>
  <si>
    <t>aruba-qos-global</t>
  </si>
  <si>
    <t>qos-global.profile.name</t>
  </si>
  <si>
    <t>aruba-qos-global:qos-global.profile.name</t>
  </si>
  <si>
    <t>portchannels.interface.lacp.rate</t>
  </si>
  <si>
    <t>aruba-interface-portchannel:portchannels.interface.lacp.rate</t>
  </si>
  <si>
    <t>interface.lacp.rate; lacp.rate</t>
  </si>
  <si>
    <t>sw-port-profiles.profile.switchport.interface-mode</t>
  </si>
  <si>
    <t>aruba-sw-port-profile:sw-port-profiles.profile.switchport.interface-mode</t>
  </si>
  <si>
    <t>profile.switchport.interface_mode; switchport.interface_mode</t>
  </si>
  <si>
    <t>ethernet-interfaces.interface.aaa.authentication.dot1x-auth.max-retries</t>
  </si>
  <si>
    <t>aruba-interface-ethernet:ethernet-interfaces.interface.aaa.authentication.dot1x-auth.max-retries</t>
  </si>
  <si>
    <t>aaa.authentication.dot1x_auth.max_retries; interface.aaa.authentication.dot1x_auth.max_retries</t>
  </si>
  <si>
    <t>vlan-interfaces.interface.igmp.enable</t>
  </si>
  <si>
    <t>aruba-interface-vlan:vlan-interfaces.interface.igmp.enable</t>
  </si>
  <si>
    <t>igmp.enable; interface.igmp.enable</t>
  </si>
  <si>
    <t>snmp.profile.user.access-level</t>
  </si>
  <si>
    <t>aruba-snmp:snmp.profile.user.access-level</t>
  </si>
  <si>
    <t>ethernet-interfaces.interface.aaa.authentication.dot1x-auth.reauth-enable</t>
  </si>
  <si>
    <t>aruba-interface-ethernet:ethernet-interfaces.interface.aaa.authentication.dot1x-auth.reauth-enable</t>
  </si>
  <si>
    <t>aaa.authentication.dot1x_auth.reauth_enable; interface.aaa.authentication.dot1x_auth.reauth_enable</t>
  </si>
  <si>
    <t>ethernet-interfaces.interface.aaa.authentication.mac-auth.reauth-enable</t>
  </si>
  <si>
    <t>aruba-interface-ethernet:ethernet-interfaces.interface.aaa.authentication.mac-auth.reauth-enable</t>
  </si>
  <si>
    <t>aaa.authentication.mac_auth.reauth_enable; interface.aaa.authentication.mac_auth.reauth_enable</t>
  </si>
  <si>
    <t>ethernet-interfaces.interface.poe.priority</t>
  </si>
  <si>
    <t>aruba-interface-ethernet:ethernet-interfaces.interface.poe.priority</t>
  </si>
  <si>
    <t>interface.poe.priority; poe.priority</t>
  </si>
  <si>
    <t>ethernet-interfaces.interface.aaa.authentication.dot1x-auth.cached-reauth-enable</t>
  </si>
  <si>
    <t>aruba-interface-ethernet:ethernet-interfaces.interface.aaa.authentication.dot1x-auth.cached-reauth-enable</t>
  </si>
  <si>
    <t>aaa.authentication.dot1x_auth.cached_reauth_enable; interface.aaa.authentication.dot1x_auth.cached_reauth_enable</t>
  </si>
  <si>
    <t>vlan-interfaces.interface.ipv6.addresses.address</t>
  </si>
  <si>
    <t>aruba-interface-vlan:vlan-interfaces.interface.ipv6.addresses.address</t>
  </si>
  <si>
    <t>interface.ipv6.addresses.address; ipv6.addresses.address</t>
  </si>
  <si>
    <t>auth-servers.auth-server.cppm-password-config.ciphertext-value</t>
  </si>
  <si>
    <t>aruba-auth-server:auth-servers.auth-server.cppm-password-config.ciphertext-value</t>
  </si>
  <si>
    <t>vlan-interfaces.interface.ip.mtu</t>
  </si>
  <si>
    <t>aruba-interface-vlan:vlan-interfaces.interface.ip.mtu</t>
  </si>
  <si>
    <t>interface.ip.mtu; ip.mtu</t>
  </si>
  <si>
    <t>roles.role.session-parameters.reauth-period</t>
  </si>
  <si>
    <t>aruba-role:roles.role.session-parameters.reauth-period</t>
  </si>
  <si>
    <t>session_parameters.reauth_period</t>
  </si>
  <si>
    <t>policies.policy.security-policy.policy-rule.action.secondary-actions.count</t>
  </si>
  <si>
    <t>aruba-policy:policies.policy.security-policy.policy-rule.action.secondary-actions.count</t>
  </si>
  <si>
    <t>policy.security_policy.policy_rule.action.secondary_actions.count; security_policy.policy_rule.action.secondary_actions.count</t>
  </si>
  <si>
    <t>ethernet-interfaces.interface.aaa.authentication.mac-auth.cached-reauth-enable</t>
  </si>
  <si>
    <t>aruba-interface-ethernet:ethernet-interfaces.interface.aaa.authentication.mac-auth.cached-reauth-enable</t>
  </si>
  <si>
    <t>aaa.authentication.mac_auth.cached_reauth_enable; interface.aaa.authentication.mac_auth.cached_reauth_enable</t>
  </si>
  <si>
    <t>dhcp-pool.profile.ipv4-pool.lease-time</t>
  </si>
  <si>
    <t>aruba-dhcp-pool:dhcp-pool.profile.ipv4-pool.lease-time</t>
  </si>
  <si>
    <t>ipv4_pool.lease_time; profile.ipv4_pool.lease_time</t>
  </si>
  <si>
    <t>policies.policy.security-policy.policy-rule.condition.destination.host-address.host-ipv4-address</t>
  </si>
  <si>
    <t>aruba-policy:policies.policy.security-policy.policy-rule.condition.destination.host-address.host-ipv4-address</t>
  </si>
  <si>
    <t>policy.security_policy.policy_rule.condition.destination.host_address.host_ipv4_address; security_policy.policy_rule.condition.destination.host_address.host_ipv4_address</t>
  </si>
  <si>
    <t>snmp.profile.enable-snmpv3-only</t>
  </si>
  <si>
    <t>aruba-snmp:snmp.profile.enable-snmpv3-only</t>
  </si>
  <si>
    <t>policies.policy.security-policy.policy-rule.condition.destination.subnet-address.network-subnet-address</t>
  </si>
  <si>
    <t>aruba-policy:policies.policy.security-policy.policy-rule.condition.destination.subnet-address.network-subnet-address</t>
  </si>
  <si>
    <t>local-management.profile.banner-exec.message-delimiter</t>
  </si>
  <si>
    <t>aruba-local-management:local-management.profile.banner-exec.message-delimiter</t>
  </si>
  <si>
    <t>Not required to be exposed in UI</t>
  </si>
  <si>
    <t xml:space="preserve">No </t>
  </si>
  <si>
    <t>local-management.profile.banner-exec.text</t>
  </si>
  <si>
    <t>aruba-local-management:local-management.profile.banner-exec.text</t>
  </si>
  <si>
    <t>ethernet-interfaces.interface.aaa.authentication.bpdu-bypass.lldp</t>
  </si>
  <si>
    <t>aruba-interface-ethernet:ethernet-interfaces.interface.aaa.authentication.bpdu-bypass.lldp</t>
  </si>
  <si>
    <t>aaa.authentication.bpdu_bypass.lldp; interface.aaa.authentication.bpdu_bypass.lldp</t>
  </si>
  <si>
    <t>local-management.profile.authorization.authorization-group.authz-instances.mgmt-server-group</t>
  </si>
  <si>
    <t>aruba-local-management:local-management.profile.authorization.authorization-group.authz-instances.mgmt-server-group</t>
  </si>
  <si>
    <t>comes in December by Deepika K Mohan</t>
  </si>
  <si>
    <t>vlan-interfaces.interface.active-gateway.ipv4-address</t>
  </si>
  <si>
    <t>aruba-interface-vlan:vlan-interfaces.interface.active-gateway.ipv4-address</t>
  </si>
  <si>
    <t>active_gateway.ipv4_address; interface.active_gateway.ipv4_address</t>
  </si>
  <si>
    <t>sw-port-profiles.profile.switchport.access-vlan</t>
  </si>
  <si>
    <t>aruba-sw-port-profile:sw-port-profiles.profile.switchport.access-vlan</t>
  </si>
  <si>
    <t>profile.switchport.access_vlan; switchport.access_vlan</t>
  </si>
  <si>
    <t>vlan-interfaces.interface.active-gateway.mac-address-v4</t>
  </si>
  <si>
    <t>aruba-interface-vlan:vlan-interfaces.interface.active-gateway.mac-address-v4</t>
  </si>
  <si>
    <t>active_gateway.mac_address_v4; interface.active_gateway.mac_address_v4</t>
  </si>
  <si>
    <t>mirrors.profile.session.session-sources.eth-interfaces.direction</t>
  </si>
  <si>
    <t>aruba-mirror:mirrors.profile.session.session-sources.eth-interfaces.direction</t>
  </si>
  <si>
    <t>mirrors.profile.session.session-sources.eth-interfaces.eth-interface</t>
  </si>
  <si>
    <t>aruba-mirror:mirrors.profile.session.session-sources.eth-interfaces.eth-interface</t>
  </si>
  <si>
    <t>ethernet-interfaces.interface.aaa.authentication.dot1x-auth.eapol-timeout</t>
  </si>
  <si>
    <t>aruba-interface-ethernet:ethernet-interfaces.interface.aaa.authentication.dot1x-auth.eapol-timeout</t>
  </si>
  <si>
    <t>aaa.authentication.dot1x_auth.eapol_timeout; interface.aaa.authentication.dot1x_auth.eapol_timeout</t>
  </si>
  <si>
    <t>roles.role.policies.name</t>
  </si>
  <si>
    <t>aruba-role:roles.role.policies.name</t>
  </si>
  <si>
    <t>Exposed internally</t>
  </si>
  <si>
    <t>ethernet-interfaces.interface.qos.trust</t>
  </si>
  <si>
    <t>aruba-interface-ethernet:ethernet-interfaces.interface.qos.trust</t>
  </si>
  <si>
    <t>interface.qos.trust; qos.trust</t>
  </si>
  <si>
    <t>auth-server-global-config.profile.timeout</t>
  </si>
  <si>
    <t>aruba-auth-server-global:auth-server-global-config.profile.timeout</t>
  </si>
  <si>
    <t>profile.timeout; timeout</t>
  </si>
  <si>
    <t>ethernet-interfaces.interface.loop-protect.action</t>
  </si>
  <si>
    <t>aruba-interface-ethernet:ethernet-interfaces.interface.loop-protect.action</t>
  </si>
  <si>
    <t>interface.loop_protect.action; loop_protect.action</t>
  </si>
  <si>
    <t>roles.role.session-parameters.mtu</t>
  </si>
  <si>
    <t>aruba-role:roles.role.session-parameters.mtu</t>
  </si>
  <si>
    <t>session_parameters.mtu</t>
  </si>
  <si>
    <t>portchannels.interface.loop-protect.enable</t>
  </si>
  <si>
    <t>aruba-interface-portchannel:portchannels.interface.loop-protect.enable</t>
  </si>
  <si>
    <t>dhcp-snooping.profile.ipv4.authorized-server.vrf</t>
  </si>
  <si>
    <t>aruba-dhcp-snooping:dhcp-snooping.profile.ipv4.authorized-server.vrf</t>
  </si>
  <si>
    <t>ipv4.authorized_server.vrf; profile.ipv4.authorized_server.vrf</t>
  </si>
  <si>
    <t>mgmt-interfaces.profile.primary-nameserver-ipv4</t>
  </si>
  <si>
    <t>aruba-interface-management:mgmt-interfaces.profile.primary-nameserver-ipv4</t>
  </si>
  <si>
    <t>primary_nameserver_ipv4; profile.primary_nameserver_ipv4</t>
  </si>
  <si>
    <t>aruba-ip-icmp-tcp</t>
  </si>
  <si>
    <t>ip-icmp-tcp.profile.name</t>
  </si>
  <si>
    <t>aruba-ip-icmp-tcp:ip-icmp-tcp.profile.name</t>
  </si>
  <si>
    <t>PROFILE IS DELETED</t>
  </si>
  <si>
    <t>portchannels.interface.stp.root-guard</t>
  </si>
  <si>
    <t>aruba-interface-portchannel:portchannels.interface.stp.root-guard</t>
  </si>
  <si>
    <t>dhcp-snooping.profile.ipv4.option-82.option-82-enable</t>
  </si>
  <si>
    <t>aruba-dhcp-snooping:dhcp-snooping.profile.ipv4.option-82.option-82-enable</t>
  </si>
  <si>
    <t>ipv4.option_82.option_82_enable; profile.ipv4.option_82.option_82_enable</t>
  </si>
  <si>
    <t>dhcp-snooping.profile.ipv4.authorized-server.ip</t>
  </si>
  <si>
    <t>aruba-dhcp-snooping:dhcp-snooping.profile.ipv4.authorized-server.ip</t>
  </si>
  <si>
    <t>ipv4.authorized_server.ip; profile.ipv4.authorized_server.ip</t>
  </si>
  <si>
    <t>layer2-vlan.l2-vlan.enable</t>
  </si>
  <si>
    <t>aruba-vlan:layer2-vlan.l2-vlan.enable</t>
  </si>
  <si>
    <t>dhcpv4_snooping.enable; dhcpv6_snooping.enable; dynamic_arp_inspection.enable; enable; l2_vlan.dhcpv4_snooping.enable; l2_vlan.dhcpv6_snooping.enable; l2_vlan.dynamic_arp_inspection.enable; l2_vlan.enable</t>
  </si>
  <si>
    <t>switch-system.profile.aaa.mac-auth.radius-auth-method</t>
  </si>
  <si>
    <t>aruba-switch-system:switch-system.profile.aaa.mac-auth.radius-auth-method</t>
  </si>
  <si>
    <t>aaa.mac_auth.radius_auth_method; profile.aaa.mac_auth.radius_auth_method</t>
  </si>
  <si>
    <t>vrfs.vrf.ipv4-access-list</t>
  </si>
  <si>
    <t>aruba-vrf:vrfs.vrf.ipv4-access-list</t>
  </si>
  <si>
    <t>snmp.profile.community.access-level</t>
  </si>
  <si>
    <t>aruba-snmp:snmp.profile.community.access-level</t>
  </si>
  <si>
    <t>ip-icmp-tcp.profile.ip-icmp.redirect</t>
  </si>
  <si>
    <t>aruba-ip-icmp-tcp:ip-icmp-tcp.profile.ip-icmp.redirect</t>
  </si>
  <si>
    <t>stp.profile.config-revision</t>
  </si>
  <si>
    <t>aruba-stp:stp.profile.config-revision</t>
  </si>
  <si>
    <t>config_revision; profile.config_revision</t>
  </si>
  <si>
    <t>ethernet-interfaces.interface.stp.loop-guard</t>
  </si>
  <si>
    <t>aruba-interface-ethernet:ethernet-interfaces.interface.stp.loop-guard</t>
  </si>
  <si>
    <t>interface.stp.loop_guard; stp.loop_guard</t>
  </si>
  <si>
    <t>sw-port-profiles.profile.ipv4-relay.server.ip</t>
  </si>
  <si>
    <t>aruba-sw-port-profile:sw-port-profiles.profile.ipv4-relay.server.ip</t>
  </si>
  <si>
    <t>L3 ticket</t>
  </si>
  <si>
    <t>sw-port-profiles.profile.ipv4-relay.server.ip-vrf</t>
  </si>
  <si>
    <t>aruba-sw-port-profile:sw-port-profiles.profile.ipv4-relay.server.ip-vrf</t>
  </si>
  <si>
    <t>sw-port-profiles.profile.ipv4-relay.server.vrf</t>
  </si>
  <si>
    <t>aruba-sw-port-profile:sw-port-profiles.profile.ipv4-relay.server.vrf</t>
  </si>
  <si>
    <t>auth-server-global-config.profile.shared-secret-config.secret-type</t>
  </si>
  <si>
    <t>aruba-auth-server-global:auth-server-global-config.profile.shared-secret-config.secret-type</t>
  </si>
  <si>
    <t>profile.shared_secret_config.secret_type; shared_secret_config.secret_type</t>
  </si>
  <si>
    <t>qos-global.profile.dscp-map.dscp</t>
  </si>
  <si>
    <t>aruba-qos-global:qos-global.profile.dscp-map.dscp</t>
  </si>
  <si>
    <t>qos-global.profile.dscp-map.priority</t>
  </si>
  <si>
    <t>aruba-qos-global:qos-global.profile.dscp-map.priority</t>
  </si>
  <si>
    <t>auth-server-global-config.profile.dynamic-authorization-enable</t>
  </si>
  <si>
    <t>aruba-auth-server-global:auth-server-global-config.profile.dynamic-authorization-enable</t>
  </si>
  <si>
    <t>dynamic_authorization_enable; profile.dynamic_authorization_enable</t>
  </si>
  <si>
    <t>vlan-interfaces.interface.vrf-forwarding</t>
  </si>
  <si>
    <t>aruba-interface-vlan:vlan-interfaces.interface.vrf-forwarding</t>
  </si>
  <si>
    <t>logging.profile.severity</t>
  </si>
  <si>
    <t>aruba-logging:logging.profile.severity</t>
  </si>
  <si>
    <t>profile.remote_syslog.severity; profile.severity; remote_syslog.severity; severity</t>
  </si>
  <si>
    <t>auth-servers.auth-server.vrf</t>
  </si>
  <si>
    <t>aruba-auth-server:auth-servers.auth-server.vrf</t>
  </si>
  <si>
    <t>auth_server.vrf; vrf</t>
  </si>
  <si>
    <t>dhcp-pool.profile.ipv4-pool.prefix-len</t>
  </si>
  <si>
    <t>aruba-dhcp-pool:dhcp-pool.profile.ipv4-pool.prefix-len</t>
  </si>
  <si>
    <t>ipv4_pool.prefix_len; profile.ipv4_pool.prefix_len</t>
  </si>
  <si>
    <t>roles.role.session-parameters.client-inactivity-timeout</t>
  </si>
  <si>
    <t>aruba-role:roles.role.session-parameters.client-inactivity-timeout</t>
  </si>
  <si>
    <t>session_parameters.client_inactivity_timeout</t>
  </si>
  <si>
    <t>device-profile.profile.lldp-group-entries.vendor-oui-subtype.type</t>
  </si>
  <si>
    <t>aruba-device-profile:device-profile.profile.lldp-group-entries.vendor-oui-subtype.type</t>
  </si>
  <si>
    <t>lldp_group_entries.vendor_oui_subtype.type; profile.lldp_group_entries.vendor_oui_subtype.type</t>
  </si>
  <si>
    <t>stp.profile.mstp.instance-id</t>
  </si>
  <si>
    <t>aruba-stp:stp.profile.mstp.instance-id</t>
  </si>
  <si>
    <t>mstp.instance_id; profile.mstp.instance_id</t>
  </si>
  <si>
    <t>ethernet-interfaces.interface.switchport.tag</t>
  </si>
  <si>
    <t>aruba-interface-ethernet:ethernet-interfaces.interface.switchport.tag</t>
  </si>
  <si>
    <t>switch-chassis.chassis.line-modules.sku</t>
  </si>
  <si>
    <t>aruba-switch-chassis:switch-chassis.chassis.line-modules.sku</t>
  </si>
  <si>
    <t>switch-chassis.chassis.platform</t>
  </si>
  <si>
    <t>aruba-switch-chassis:switch-chassis.chassis.platform</t>
  </si>
  <si>
    <t>device-profile.profile.lldp-group-entries.vendor-oui-subtype.value</t>
  </si>
  <si>
    <t>aruba-device-profile:device-profile.profile.lldp-group-entries.vendor-oui-subtype.value</t>
  </si>
  <si>
    <t>auth-server-global-config.profile.shared-secret-config.ciphertext-value</t>
  </si>
  <si>
    <t>aruba-auth-server-global:auth-server-global-config.profile.shared-secret-config.ciphertext-value</t>
  </si>
  <si>
    <t>policies.policy.security-policy.policy-rule.description</t>
  </si>
  <si>
    <t>aruba-policy:policies.policy.security-policy.policy-rule.description</t>
  </si>
  <si>
    <t>policy.security_policy.policy_rule.description; security_policy.policy_rule.description</t>
  </si>
  <si>
    <t>loopback-interfaces.interface.ipv4-prefix</t>
  </si>
  <si>
    <t>aruba-interface-loopback:loopback-interfaces.interface.ipv4-prefix</t>
  </si>
  <si>
    <t>interface.ipv4_prefix</t>
  </si>
  <si>
    <t>ethernet-interfaces.interface.qos.broadcast-rate-limit.rate-type</t>
  </si>
  <si>
    <t>aruba-interface-ethernet:ethernet-interfaces.interface.qos.broadcast-rate-limit.rate-type</t>
  </si>
  <si>
    <t>interface.qos.broadcast_rate_limit.rate_type; qos.broadcast_rate_limit.rate_type</t>
  </si>
  <si>
    <t>snmp.profile.snmp-trap-source.vrf</t>
  </si>
  <si>
    <t>aruba-snmp:snmp.profile.snmp-trap-source.vrf</t>
  </si>
  <si>
    <t>Mubeesh to raise ticket</t>
  </si>
  <si>
    <t>static-route.profile.ipv4.distance</t>
  </si>
  <si>
    <t>aruba-static-route:static-route.profile.ipv4.distance</t>
  </si>
  <si>
    <t>ipv4.distance; profile.ipv4.distance</t>
  </si>
  <si>
    <t>aruba-port-security</t>
  </si>
  <si>
    <t>port-security.policy.name</t>
  </si>
  <si>
    <t>aruba-port-security:port-security.policy.name</t>
  </si>
  <si>
    <t>Internally handled.</t>
  </si>
  <si>
    <t>aruba-ospfv2</t>
  </si>
  <si>
    <t>ospfv2.profile.name</t>
  </si>
  <si>
    <t>aruba-ospfv2:ospfv2.profile.name</t>
  </si>
  <si>
    <t>ospfv2.profile.routers.instance-tag</t>
  </si>
  <si>
    <t>aruba-ospfv2:ospfv2.profile.routers.instance-tag</t>
  </si>
  <si>
    <t>ospfv2.profile.routers.instance-tag-vrf</t>
  </si>
  <si>
    <t>aruba-ospfv2:ospfv2.profile.routers.instance-tag-vrf</t>
  </si>
  <si>
    <t>profile.routers.instance_tag_vrf; routers.instance_tag_vrf</t>
  </si>
  <si>
    <t>ospfv2.profile.routers.vrf</t>
  </si>
  <si>
    <t>aruba-ospfv2:ospfv2.profile.routers.vrf</t>
  </si>
  <si>
    <t>ospfv2.profile.routers.areas.area-id</t>
  </si>
  <si>
    <t>aruba-ospfv2:ospfv2.profile.routers.areas.area-id</t>
  </si>
  <si>
    <t>profile.routers.areas.area_id; routers.areas.area_id</t>
  </si>
  <si>
    <t>qos-global.profile.dscp-map.color</t>
  </si>
  <si>
    <t>aruba-qos-global:qos-global.profile.dscp-map.color</t>
  </si>
  <si>
    <t>aaa-profile.profile.authorization.critical-auth-role</t>
  </si>
  <si>
    <t>aruba-aaa-profile:aaa-profile.profile.authorization.critical-auth-role</t>
  </si>
  <si>
    <t>authorization.critical_auth_role; profile.authorization.critical_auth_role</t>
  </si>
  <si>
    <t>ethernet-interfaces.interface.mode</t>
  </si>
  <si>
    <t>aruba-interface-ethernet:ethernet-interfaces.interface.mode</t>
  </si>
  <si>
    <t>interface.lldp.mode; interface.mode; interface.udld.mode; lldp.mode; mode; udld.mode</t>
  </si>
  <si>
    <t>ethernet-interfaces.interface.aaa.authorization.critical-auth-role</t>
  </si>
  <si>
    <t>aruba-interface-ethernet:ethernet-interfaces.interface.aaa.authorization.critical-auth-role</t>
  </si>
  <si>
    <t>aaa.authorization.critical_auth_role; interface.aaa.authorization.critical_auth_role</t>
  </si>
  <si>
    <t>aruba-ubt</t>
  </si>
  <si>
    <t>ubt.profile.name</t>
  </si>
  <si>
    <t>aruba-ubt:ubt.profile.name</t>
  </si>
  <si>
    <t>ubt.profile.zone.vrf</t>
  </si>
  <si>
    <t>aruba-ubt:ubt.profile.zone.vrf</t>
  </si>
  <si>
    <t>ubt.profile.zone.zone-name</t>
  </si>
  <si>
    <t>aruba-ubt:ubt.profile.zone.zone-name</t>
  </si>
  <si>
    <t>ubt.profile.zone.zone-name-vrf</t>
  </si>
  <si>
    <t>aruba-ubt:ubt.profile.zone.zone-name-vrf</t>
  </si>
  <si>
    <t>profile.zone.zone_name_vrf; zone.zone_name_vrf</t>
  </si>
  <si>
    <t>layer2-vlan-range.igmp.version</t>
  </si>
  <si>
    <t>aruba-vlan-range:layer2-vlan-range.igmp.version</t>
  </si>
  <si>
    <t>layer2-vlan.l2-vlan.igmp.version</t>
  </si>
  <si>
    <t>aruba-vlan:layer2-vlan.l2-vlan.igmp.version</t>
  </si>
  <si>
    <t>igmp.version; l2_vlan.igmp.version</t>
  </si>
  <si>
    <t>aruba-snmp-trap</t>
  </si>
  <si>
    <t>snmp-trap.profile.name</t>
  </si>
  <si>
    <t>aruba-snmp-trap:snmp-trap.profile.name</t>
  </si>
  <si>
    <t>SNMP-Trap may be a new profile</t>
  </si>
  <si>
    <t>snmp-trap.profile.trap.id</t>
  </si>
  <si>
    <t>aruba-snmp-trap:snmp-trap.profile.trap.id</t>
  </si>
  <si>
    <t>ethernet-interfaces.interface.aaa.authentication.bpdu-bypass.cdp</t>
  </si>
  <si>
    <t>aruba-interface-ethernet:ethernet-interfaces.interface.aaa.authentication.bpdu-bypass.cdp</t>
  </si>
  <si>
    <t>aaa.authentication.bpdu_bypass.cdp; interface.aaa.authentication.bpdu_bypass.cdp</t>
  </si>
  <si>
    <t>aruba-bgp</t>
  </si>
  <si>
    <t>bgp.profile.description</t>
  </si>
  <si>
    <t>aruba-bgp:bgp.profile.description</t>
  </si>
  <si>
    <t>description; profile.description; profile.router.neighbor.description; profile.router.peer_group.description; router.neighbor.description; router.peer_group.description</t>
  </si>
  <si>
    <t>bgp.profile.name</t>
  </si>
  <si>
    <t>aruba-bgp:bgp.profile.name</t>
  </si>
  <si>
    <t>bgp.profile.router.as</t>
  </si>
  <si>
    <t>aruba-bgp:bgp.profile.router.as</t>
  </si>
  <si>
    <t>bgp.profile.router.as-vrf</t>
  </si>
  <si>
    <t>aruba-bgp:bgp.profile.router.as-vrf</t>
  </si>
  <si>
    <t>profile.router.as_vrf; router.as_vrf</t>
  </si>
  <si>
    <t>bgp.profile.router.vrf</t>
  </si>
  <si>
    <t>aruba-bgp:bgp.profile.router.vrf</t>
  </si>
  <si>
    <t>ethernet-interfaces.interface.aaa.authentication.dot1x-auth.cached-reauth-period</t>
  </si>
  <si>
    <t>aruba-interface-ethernet:ethernet-interfaces.interface.aaa.authentication.dot1x-auth.cached-reauth-period</t>
  </si>
  <si>
    <t>aaa.authentication.dot1x_auth.cached_reauth_period; interface.aaa.authentication.dot1x_auth.cached_reauth_period</t>
  </si>
  <si>
    <t>aruba-sflow</t>
  </si>
  <si>
    <t>sflow.profile.name</t>
  </si>
  <si>
    <t>aruba-sflow:sflow.profile.name</t>
  </si>
  <si>
    <t>Sflow to be covered</t>
  </si>
  <si>
    <t>sflow.profile.session.session-id</t>
  </si>
  <si>
    <t>aruba-sflow:sflow.profile.session.session-id</t>
  </si>
  <si>
    <t>ubt.profile.zone.enable</t>
  </si>
  <si>
    <t>aruba-ubt:ubt.profile.zone.enable</t>
  </si>
  <si>
    <t>profile.zone.enable; zone.enable</t>
  </si>
  <si>
    <t>dns.profile.static-host.host-ip.host-ip</t>
  </si>
  <si>
    <t>aruba-dns:dns.profile.static-host.host-ip.host-ip</t>
  </si>
  <si>
    <t>Not required to be exposed in UI. Get customer IDS for conclusion</t>
  </si>
  <si>
    <t>dns.profile.static-host.host-ip.hostname</t>
  </si>
  <si>
    <t>aruba-dns:dns.profile.static-host.host-ip.hostname</t>
  </si>
  <si>
    <t>dns.profile.static-host.vrf</t>
  </si>
  <si>
    <t>aruba-dns:dns.profile.static-host.vrf</t>
  </si>
  <si>
    <t>domain.vrf; profile.domain.vrf; profile.resolver.vrf; resolver.vrf</t>
  </si>
  <si>
    <t>aruba-fault-monitor</t>
  </si>
  <si>
    <t>fault-monitor.profile.name</t>
  </si>
  <si>
    <t>aruba-fault-monitor:fault-monitor.profile.name</t>
  </si>
  <si>
    <t>aruba-qos-schedule</t>
  </si>
  <si>
    <t>qos-schedules.profile.sched-profile-name</t>
  </si>
  <si>
    <t>aruba-qos-schedule:qos-schedules.profile.sched-profile-name</t>
  </si>
  <si>
    <t>ethernet-interfaces.interface.poe.pre-std-detect</t>
  </si>
  <si>
    <t>aruba-interface-ethernet:ethernet-interfaces.interface.poe.pre-std-detect</t>
  </si>
  <si>
    <t>interface.poe.pre_std_detect; poe.pre_std_detect</t>
  </si>
  <si>
    <t>ethernet-interfaces.interface.aaa.authentication.mac-auth.cached-reauth-period</t>
  </si>
  <si>
    <t>aruba-interface-ethernet:ethernet-interfaces.interface.aaa.authentication.mac-auth.cached-reauth-period</t>
  </si>
  <si>
    <t>aaa.authentication.mac_auth.cached_reauth_period; interface.aaa.authentication.mac_auth.cached_reauth_period</t>
  </si>
  <si>
    <t>ospfv2.profile.routers.areas.svi-interfaces.svi-id</t>
  </si>
  <si>
    <t>aruba-ospfv2:ospfv2.profile.routers.areas.svi-interfaces.svi-id</t>
  </si>
  <si>
    <t>profile.routers.areas.svi_interfaces.svi_id; routers.areas.svi_interfaces.svi_id</t>
  </si>
  <si>
    <t>vlan-interfaces.interface.policy.ipv4-access-list-in</t>
  </si>
  <si>
    <t>aruba-interface-vlan:vlan-interfaces.interface.policy.ipv4-access-list-in</t>
  </si>
  <si>
    <t>Access list is present</t>
  </si>
  <si>
    <t>auth-servers.auth-server.tracking-enable</t>
  </si>
  <si>
    <t>aruba-auth-server:auth-servers.auth-server.tracking-enable</t>
  </si>
  <si>
    <t>auth_server.tracking_enable; tracking_enable</t>
  </si>
  <si>
    <t>qos-global.profile.trust</t>
  </si>
  <si>
    <t>aruba-qos-global:qos-global.profile.trust</t>
  </si>
  <si>
    <t>sw-port-profiles.profile.lag.qos-lag.trust</t>
  </si>
  <si>
    <t>aruba-sw-port-profile:sw-port-profiles.profile.lag.qos-lag.trust</t>
  </si>
  <si>
    <t>Already present as part of port profile, lag can be enabled using a check box and qos is present.</t>
  </si>
  <si>
    <t>dhcpv4_snooping.trust; dhcpv6_snooping.trust; dynamic_arp_inspection.trust; profile.dhcpv4_snooping.trust; profile.dhcpv6_snooping.trust; profile.dynamic_arp_inspection.trust; profile.qos.trust; qos.trust</t>
  </si>
  <si>
    <t>dhcp-server.profile.instance.authoritative-mode</t>
  </si>
  <si>
    <t>aruba-dhcp-server:dhcp-server.profile.instance.authoritative-mode</t>
  </si>
  <si>
    <t>instance.authoritative_mode; profile.instance.authoritative_mode</t>
  </si>
  <si>
    <t>bgp.profile.router.neighbor.neighbor-id</t>
  </si>
  <si>
    <t>aruba-bgp:bgp.profile.router.neighbor.neighbor-id</t>
  </si>
  <si>
    <t>profile.router.neighbor.neighbor_id; router.neighbor.neighbor_id</t>
  </si>
  <si>
    <t>sw-port-profiles.profile.loop-protect.action</t>
  </si>
  <si>
    <t>aruba-sw-port-profile:sw-port-profiles.profile.loop-protect.action</t>
  </si>
  <si>
    <t>loop_protect.action; profile.loop_protect.action</t>
  </si>
  <si>
    <t>ethernet-interfaces.interface.aaa.authentication.allow-flood-traffic</t>
  </si>
  <si>
    <t>aruba-interface-ethernet:ethernet-interfaces.interface.aaa.authentication.allow-flood-traffic</t>
  </si>
  <si>
    <t>aaa.authentication.allow_flood_traffic; interface.aaa.authentication.allow_flood_traffic</t>
  </si>
  <si>
    <t>ospfv2.profile.routers.router-id</t>
  </si>
  <si>
    <t>aruba-ospfv2:ospfv2.profile.routers.router-id</t>
  </si>
  <si>
    <t>profile.routers.router_id; routers.router_id</t>
  </si>
  <si>
    <t>policies.policy.security-policy.policy-rule.action.secondary-actions.log</t>
  </si>
  <si>
    <t>aruba-policy:policies.policy.security-policy.policy-rule.action.secondary-actions.log</t>
  </si>
  <si>
    <t>policy.security_policy.policy_rule.action.secondary_actions.log; security_policy.policy_rule.action.secondary_actions.log</t>
  </si>
  <si>
    <t>aruba-qos-queue</t>
  </si>
  <si>
    <t>qos-queues.profile.q-profile-name</t>
  </si>
  <si>
    <t>aruba-qos-queue:qos-queues.profile.q-profile-name</t>
  </si>
  <si>
    <t>sflow.profile.session.collector.col-name</t>
  </si>
  <si>
    <t>aruba-sflow:sflow.profile.session.collector.col-name</t>
  </si>
  <si>
    <t>sflow.profile.session.collector.ip-address</t>
  </si>
  <si>
    <t>aruba-sflow:sflow.profile.session.collector.ip-address</t>
  </si>
  <si>
    <t>logging.profile.remote-syslog.transport</t>
  </si>
  <si>
    <t>aruba-logging:logging.profile.remote-syslog.transport</t>
  </si>
  <si>
    <t>Mubeesh to file a ticket, CLI Snippet</t>
  </si>
  <si>
    <t>ubt.profile.zone.primary-controller-ip</t>
  </si>
  <si>
    <t>aruba-ubt:ubt.profile.zone.primary-controller-ip</t>
  </si>
  <si>
    <t>profile.zone.primary_controller_ip; zone.primary_controller_ip</t>
  </si>
  <si>
    <t>bgp.profile.router.neighbor.afi-safi.address-family</t>
  </si>
  <si>
    <t>aruba-bgp:bgp.profile.router.neighbor.afi-safi.address-family</t>
  </si>
  <si>
    <t>profile.router.neighbor.afi_safi.address_family; router.neighbor.afi_safi.address_family</t>
  </si>
  <si>
    <t>ubt.profile.client-vid</t>
  </si>
  <si>
    <t>aruba-ubt:ubt.profile.client-vid</t>
  </si>
  <si>
    <t>client_vid; profile.client_vid</t>
  </si>
  <si>
    <t>ethernet-interfaces.interface.aaa.authentication.mac-auth.reauth-period</t>
  </si>
  <si>
    <t>aruba-interface-ethernet:ethernet-interfaces.interface.aaa.authentication.mac-auth.reauth-period</t>
  </si>
  <si>
    <t>aaa.authentication.mac_auth.reauth_period; interface.aaa.authentication.mac_auth.reauth_period</t>
  </si>
  <si>
    <t>portchannels.interface.stp.admin-edge-port</t>
  </si>
  <si>
    <t>aruba-interface-portchannel:portchannels.interface.stp.admin-edge-port</t>
  </si>
  <si>
    <t>aruba-device-certificate</t>
  </si>
  <si>
    <t>device-certificates.device-certificate.name</t>
  </si>
  <si>
    <t>aruba-device-certificate:device-certificates.device-certificate.name</t>
  </si>
  <si>
    <t>logging.profile.console.enable</t>
  </si>
  <si>
    <t>aruba-logging:logging.profile.console.enable</t>
  </si>
  <si>
    <t>logging.profile.facility</t>
  </si>
  <si>
    <t>aruba-logging:logging.profile.facility</t>
  </si>
  <si>
    <t>mirrors.profile.session.session-sources.lag-interfaces.direction</t>
  </si>
  <si>
    <t>aruba-mirror:mirrors.profile.session.session-sources.lag-interfaces.direction</t>
  </si>
  <si>
    <t>mirrors.profile.session.session-sources.lag-interfaces.lag-interface</t>
  </si>
  <si>
    <t>aruba-mirror:mirrors.profile.session.session-sources.lag-interfaces.lag-interface</t>
  </si>
  <si>
    <t>aruba-lldp</t>
  </si>
  <si>
    <t>lldp.profile.name</t>
  </si>
  <si>
    <t>aruba-lldp:lldp.profile.name</t>
  </si>
  <si>
    <t>qos-queues.profile.priority.queue</t>
  </si>
  <si>
    <t>aruba-qos-queue:qos-queues.profile.priority.queue</t>
  </si>
  <si>
    <t>aaa-profile.profile.authentication.auth-precedence</t>
  </si>
  <si>
    <t>aruba-aaa-profile:aaa-profile.profile.authentication.auth-precedence</t>
  </si>
  <si>
    <t>authentication.auth_precedence; profile.authentication.auth_precedence</t>
  </si>
  <si>
    <t>ethernet-interfaces.interface.aaa.authentication.auth-precedence</t>
  </si>
  <si>
    <t>aruba-interface-ethernet:ethernet-interfaces.interface.aaa.authentication.auth-precedence</t>
  </si>
  <si>
    <t>aaa.authentication.auth_precedence; interface.aaa.authentication.auth_precedence</t>
  </si>
  <si>
    <t>ethernet-interfaces.interface.aaa.authentication.dot1x-auth.reauth-period</t>
  </si>
  <si>
    <t>aruba-interface-ethernet:ethernet-interfaces.interface.aaa.authentication.dot1x-auth.reauth-period</t>
  </si>
  <si>
    <t>aaa.authentication.dot1x_auth.reauth_period; interface.aaa.authentication.dot1x_auth.reauth_period</t>
  </si>
  <si>
    <t>port-security.policy.enable</t>
  </si>
  <si>
    <t>aruba-port-security:port-security.policy.enable</t>
  </si>
  <si>
    <t>ethernet-interfaces.interface.aaa.authentication.dot1x-auth.quiet-period</t>
  </si>
  <si>
    <t>aruba-interface-ethernet:ethernet-interfaces.interface.aaa.authentication.dot1x-auth.quiet-period</t>
  </si>
  <si>
    <t>aaa.authentication.dot1x_auth.quiet_period; interface.aaa.authentication.dot1x_auth.quiet_period</t>
  </si>
  <si>
    <t>bgp.profile.router.global-afi-safi.address-family</t>
  </si>
  <si>
    <t>aruba-bgp:bgp.profile.router.global-afi-safi.address-family</t>
  </si>
  <si>
    <t>profile.router.global_afi_safi.address_family; router.global_afi_safi.address_family</t>
  </si>
  <si>
    <t>ethernet-interfaces.interface.port-security.enable</t>
  </si>
  <si>
    <t>aruba-interface-ethernet:ethernet-interfaces.interface.port-security.enable</t>
  </si>
  <si>
    <t>interface.port_security.enable; port_security.enable</t>
  </si>
  <si>
    <t>portchannels.interface.stp.bpdu-filter</t>
  </si>
  <si>
    <t>aruba-interface-portchannel:portchannels.interface.stp.bpdu-filter</t>
  </si>
  <si>
    <t>logging.profile.remote-syslog.port-number</t>
  </si>
  <si>
    <t>aruba-logging:logging.profile.remote-syslog.port-number</t>
  </si>
  <si>
    <t>profile.remote_syslog.port_number; remote_syslog.port_number</t>
  </si>
  <si>
    <t>aruba-pim</t>
  </si>
  <si>
    <t>pim-router.profile.name</t>
  </si>
  <si>
    <t>aruba-pim:pim-router.profile.name</t>
  </si>
  <si>
    <t>pim-router.profile.router.address-family</t>
  </si>
  <si>
    <t>aruba-pim:pim-router.profile.router.address-family</t>
  </si>
  <si>
    <t>pim-router.profile.router.vrf</t>
  </si>
  <si>
    <t>aruba-pim:pim-router.profile.router.vrf</t>
  </si>
  <si>
    <t>pim-router.profile.router.vrf-address-family</t>
  </si>
  <si>
    <t>aruba-pim:pim-router.profile.router.vrf-address-family</t>
  </si>
  <si>
    <t>router.vrf_address_family</t>
  </si>
  <si>
    <t>switch-system.profile.port-security.enable</t>
  </si>
  <si>
    <t>aruba-switch-system:switch-system.profile.port-security.enable</t>
  </si>
  <si>
    <t>port_security.enable; profile.port_security.enable</t>
  </si>
  <si>
    <t>sw-port-profiles.profile.sflow.enable</t>
  </si>
  <si>
    <t>aruba-sw-port-profile:sw-port-profiles.profile.sflow.enable</t>
  </si>
  <si>
    <t>UI itself gap</t>
  </si>
  <si>
    <t>cdp.enable; enable; lag.enable; loop_protect.enable; profile.cdp.enable; profile.enable; profile.lag.enable; profile.loop_protect.enable; profile.stp.enable; profile.udld.enable; stp.enable; udld.enable</t>
  </si>
  <si>
    <t>aaa-profile.profile.authorization.reject-role</t>
  </si>
  <si>
    <t>aruba-aaa-profile:aaa-profile.profile.authorization.reject-role</t>
  </si>
  <si>
    <t>authorization.reject_role; profile.authorization.reject_role</t>
  </si>
  <si>
    <t>mgmt-interfaces.profile.secondary-nameserver-ipv4</t>
  </si>
  <si>
    <t>aruba-interface-management:mgmt-interfaces.profile.secondary-nameserver-ipv4</t>
  </si>
  <si>
    <t>profile.secondary_nameserver_ipv4; secondary_nameserver_ipv4</t>
  </si>
  <si>
    <t>ethernet-interfaces.interface.qos.multicast-rate-limit.rate-type</t>
  </si>
  <si>
    <t>aruba-interface-ethernet:ethernet-interfaces.interface.qos.multicast-rate-limit.rate-type</t>
  </si>
  <si>
    <t>interface.qos.multicast_rate_limit.rate_type; qos.multicast_rate_limit.rate_type</t>
  </si>
  <si>
    <t>auth-servers.auth-server.timeout</t>
  </si>
  <si>
    <t>aruba-auth-server:auth-servers.auth-server.timeout</t>
  </si>
  <si>
    <t>auth_server.timeout; timeout</t>
  </si>
  <si>
    <t>ethernet-interfaces.interface.aaa.authorization.reject-role</t>
  </si>
  <si>
    <t>aruba-interface-ethernet:ethernet-interfaces.interface.aaa.authorization.reject-role</t>
  </si>
  <si>
    <t>aaa.authorization.reject_role; interface.aaa.authorization.reject_role</t>
  </si>
  <si>
    <t>pim-router.profile.router.enable</t>
  </si>
  <si>
    <t>aruba-pim:pim-router.profile.router.enable</t>
  </si>
  <si>
    <t>router.enable</t>
  </si>
  <si>
    <t>sw-port-profiles.profile.loop-protect.enable</t>
  </si>
  <si>
    <t>aruba-sw-port-profile:sw-port-profiles.profile.loop-protect.enable</t>
  </si>
  <si>
    <t>loop_protect.enable; profile.loop_protect.enable</t>
  </si>
  <si>
    <t>device-certificates.device-certificate.app-usage</t>
  </si>
  <si>
    <t>aruba-device-certificate:device-certificates.device-certificate.app-usage</t>
  </si>
  <si>
    <t>Certificate usage ticket will be given</t>
  </si>
  <si>
    <t>bgp.profile.router.router-id</t>
  </si>
  <si>
    <t>aruba-bgp:bgp.profile.router.router-id</t>
  </si>
  <si>
    <t>profile.router.router_id; router.router_id</t>
  </si>
  <si>
    <t>sflow.profile.session.agent-address</t>
  </si>
  <si>
    <t>aruba-sflow:sflow.profile.session.agent-address</t>
  </si>
  <si>
    <t>Sflow Ticket to be shared</t>
  </si>
  <si>
    <t>dhcp-pool.profile.ipv4-pool.domain</t>
  </si>
  <si>
    <t>aruba-dhcp-pool:dhcp-pool.profile.ipv4-pool.domain</t>
  </si>
  <si>
    <t>ipv4_pool.domain; profile.ipv4_pool.domain</t>
  </si>
  <si>
    <t>aruba-routemap</t>
  </si>
  <si>
    <t>route-maps.route-map.route-map-name</t>
  </si>
  <si>
    <t>aruba-routemap:route-maps.route-map.route-map-name</t>
  </si>
  <si>
    <t>route_map.route_map_name; route_map_name</t>
  </si>
  <si>
    <t>layer2-vlan-range.voice-enable</t>
  </si>
  <si>
    <t>aruba-vlan-range:layer2-vlan-range.voice-enable</t>
  </si>
  <si>
    <t>ethernet-interfaces.interface.qos.broadcast-rate-limit.bit-rate</t>
  </si>
  <si>
    <t>aruba-interface-ethernet:ethernet-interfaces.interface.qos.broadcast-rate-limit.bit-rate</t>
  </si>
  <si>
    <t>interface.qos.broadcast_rate_limit.bit_rate; qos.broadcast_rate_limit.bit_rate</t>
  </si>
  <si>
    <t>route-maps.route-map.route-map-entry.op-type</t>
  </si>
  <si>
    <t>aruba-routemap:route-maps.route-map.route-map-entry.op-type</t>
  </si>
  <si>
    <t>route-maps.route-map.route-map-entry.seq-no</t>
  </si>
  <si>
    <t>aruba-routemap:route-maps.route-map.route-map-entry.seq-no</t>
  </si>
  <si>
    <t>route-maps.route-map.route-map-entry.seq-no-op-type</t>
  </si>
  <si>
    <t>aruba-routemap:route-maps.route-map.route-map-entry.seq-no-op-type</t>
  </si>
  <si>
    <t>route_map.route_map_entry.seq_no_op_type; route_map_entry.seq_no_op_type</t>
  </si>
  <si>
    <t>switch-system.profile.loop-protect.re-enable-timer</t>
  </si>
  <si>
    <t>aruba-switch-system:switch-system.profile.loop-protect.re-enable-timer</t>
  </si>
  <si>
    <t>loop_protect.re_enable_timer; profile.loop_protect.re_enable_timer</t>
  </si>
  <si>
    <t>snmp-trap.profile.trap.enable</t>
  </si>
  <si>
    <t>aruba-snmp-trap:snmp-trap.profile.trap.enable</t>
  </si>
  <si>
    <t>loopback-interfaces.interface.ipv4-config.address</t>
  </si>
  <si>
    <t>aruba-interface-loopback:loopback-interfaces.interface.ipv4-config.address</t>
  </si>
  <si>
    <t>interface.ipv4_config.address; ipv4_config.address</t>
  </si>
  <si>
    <t>loopback-interfaces.interface.ipv4-config.prefix-len</t>
  </si>
  <si>
    <t>aruba-interface-loopback:loopback-interfaces.interface.ipv4-config.prefix-len</t>
  </si>
  <si>
    <t>interface.ipv4_config.prefix_len; ipv4_config.prefix_len</t>
  </si>
  <si>
    <t>portchannels.interface.lacp.fallback</t>
  </si>
  <si>
    <t>aruba-interface-portchannel:portchannels.interface.lacp.fallback</t>
  </si>
  <si>
    <t>interface.lacp.fallback; lacp.fallback</t>
  </si>
  <si>
    <t>ethernet-interfaces.interface.aaa.authentication.mac-auth.quiet-period</t>
  </si>
  <si>
    <t>aruba-interface-ethernet:ethernet-interfaces.interface.aaa.authentication.mac-auth.quiet-period</t>
  </si>
  <si>
    <t>portchannels.interface.qos.trust</t>
  </si>
  <si>
    <t>aruba-interface-portchannel:portchannels.interface.qos.trust</t>
  </si>
  <si>
    <t>aruba-dhcp-relay</t>
  </si>
  <si>
    <t>dhcp-relay.profile.name</t>
  </si>
  <si>
    <t>aruba-dhcp-relay:dhcp-relay.profile.name</t>
  </si>
  <si>
    <t>bgp.profile.router.neighbor.peer-as</t>
  </si>
  <si>
    <t>aruba-bgp:bgp.profile.router.neighbor.peer-as</t>
  </si>
  <si>
    <t>profile.router.neighbor.peer_as; router.neighbor.peer_as</t>
  </si>
  <si>
    <t>aruba-job-scheduler</t>
  </si>
  <si>
    <t>job-scheduler.schedule.name</t>
  </si>
  <si>
    <t>aruba-job-scheduler:job-scheduler.schedule.name</t>
  </si>
  <si>
    <t>Job scheduler averaging ticket will be given</t>
  </si>
  <si>
    <t>aruba-cdp</t>
  </si>
  <si>
    <t>cdp.profile.enable</t>
  </si>
  <si>
    <t>aruba-cdp:cdp.profile.enable</t>
  </si>
  <si>
    <t>cdp.profile.name</t>
  </si>
  <si>
    <t>aruba-cdp:cdp.profile.name</t>
  </si>
  <si>
    <t>port-security.policy.client-limit</t>
  </si>
  <si>
    <t>aruba-port-security:port-security.policy.client-limit</t>
  </si>
  <si>
    <t>ethernet-interfaces.interface.port-security.client-limit</t>
  </si>
  <si>
    <t>aruba-interface-ethernet:ethernet-interfaces.interface.port-security.client-limit</t>
  </si>
  <si>
    <t>interface.port_security.client_limit; port_security.client_limit</t>
  </si>
  <si>
    <t>ospfv2.profile.routers.redistribute-routes.redistribute-id</t>
  </si>
  <si>
    <t>aruba-ospfv2:ospfv2.profile.routers.redistribute-routes.redistribute-id</t>
  </si>
  <si>
    <t>profile.routers.redistribute_routes.redistribute_id; routers.redistribute_routes.redistribute_id</t>
  </si>
  <si>
    <t>ospfv2.profile.routers.redistribute-routes.redistribute-type</t>
  </si>
  <si>
    <t>aruba-ospfv2:ospfv2.profile.routers.redistribute-routes.redistribute-type</t>
  </si>
  <si>
    <t>profile.routers.redistribute_routes.redistribute_type; routers.redistribute_routes.redistribute_type</t>
  </si>
  <si>
    <t>snmp.profile.context.context-name</t>
  </si>
  <si>
    <t>aruba-snmp:snmp.profile.context.context-name</t>
  </si>
  <si>
    <t>snmp.profile.context.vrf</t>
  </si>
  <si>
    <t>aruba-snmp:snmp.profile.context.vrf</t>
  </si>
  <si>
    <t>policies.policy.security-policy.policy-rule.condition.transport-fields.source-port.operator</t>
  </si>
  <si>
    <t>aruba-policy:policies.policy.security-policy.policy-rule.condition.transport-fields.source-port.operator</t>
  </si>
  <si>
    <t>Policy</t>
  </si>
  <si>
    <t>To be analyzed later</t>
  </si>
  <si>
    <t>snmp.profile.snmp-response-source.vrf</t>
  </si>
  <si>
    <t>aruba-snmp:snmp.profile.snmp-response-source.vrf</t>
  </si>
  <si>
    <t>Already present in UI. Recheck</t>
  </si>
  <si>
    <t>policies.policy.security-policy.policy-rule.condition.transport-fields.source-port.min</t>
  </si>
  <si>
    <t>aruba-policy:policies.policy.security-policy.policy-rule.condition.transport-fields.source-port.min</t>
  </si>
  <si>
    <t>ethernet-interfaces.interface.lldp.mode</t>
  </si>
  <si>
    <t>aruba-interface-ethernet:ethernet-interfaces.interface.lldp.mode</t>
  </si>
  <si>
    <t>interface.lldp.mode; lldp.mode</t>
  </si>
  <si>
    <t>portchannels.interface.stp.loop-guard</t>
  </si>
  <si>
    <t>aruba-interface-portchannel:portchannels.interface.stp.loop-guard</t>
  </si>
  <si>
    <t>aruba-prefix-list</t>
  </si>
  <si>
    <t>prefix-lists.prefix-list.address-family</t>
  </si>
  <si>
    <t>aruba-prefix-list:prefix-lists.prefix-list.address-family</t>
  </si>
  <si>
    <t>prefix-lists.prefix-list.prefix-list-name</t>
  </si>
  <si>
    <t>aruba-prefix-list:prefix-lists.prefix-list.prefix-list-name</t>
  </si>
  <si>
    <t>prefix-lists.prefix-list.prefix-list-name-address-family</t>
  </si>
  <si>
    <t>aruba-prefix-list:prefix-lists.prefix-list.prefix-list-name-address-family</t>
  </si>
  <si>
    <t>prefix_list.prefix_list_name_address_family; prefix_list_name_address_family</t>
  </si>
  <si>
    <t>bgp.profile.router.neighbor.afi-safi.ipv4-unicast.enabled</t>
  </si>
  <si>
    <t>aruba-bgp:bgp.profile.router.neighbor.afi-safi.ipv4-unicast.enabled</t>
  </si>
  <si>
    <t>profile.router.neighbor.afi_safi.ipv4_unicast.enabled; router.neighbor.afi_safi.ipv4_unicast.enabled</t>
  </si>
  <si>
    <t>bgp.profile.router.global-afi-safi.global-ipv4-unicast.redistribute.route-type</t>
  </si>
  <si>
    <t>aruba-bgp:bgp.profile.router.global-afi-safi.global-ipv4-unicast.redistribute.route-type</t>
  </si>
  <si>
    <t>profile.router.global_afi_safi.global_ipv4_unicast.redistribute.route_type; router.global_afi_safi.global_ipv4_unicast.redistribute.route_type</t>
  </si>
  <si>
    <t>prefix-lists.prefix-list.prefix-list-entry.optype</t>
  </si>
  <si>
    <t>aruba-prefix-list:prefix-lists.prefix-list.prefix-list-entry.optype</t>
  </si>
  <si>
    <t>prefix-lists.prefix-list.prefix-list-entry.seq-no</t>
  </si>
  <si>
    <t>aruba-prefix-list:prefix-lists.prefix-list.prefix-list-entry.seq-no</t>
  </si>
  <si>
    <t>prefix-lists.prefix-list.prefix-list-entry.seq-no-optype</t>
  </si>
  <si>
    <t>aruba-prefix-list:prefix-lists.prefix-list.prefix-list-entry.seq-no-optype</t>
  </si>
  <si>
    <t>prefix_list.prefix_list_entry.seq_no_optype; prefix_list_entry.seq_no_optype</t>
  </si>
  <si>
    <t>qos-dscp.profile.dscp-map.name</t>
  </si>
  <si>
    <t>aruba-qos-dscp:qos-dscp.profile.dscp-map.name</t>
  </si>
  <si>
    <t>sw-port-profiles.profile.lag.lacp-lag.rate</t>
  </si>
  <si>
    <t>aruba-sw-port-profile:sw-port-profiles.profile.lag.lacp-lag.rate</t>
  </si>
  <si>
    <t>lag.lacp_lag.rate; profile.lag.lacp_lag.rate</t>
  </si>
  <si>
    <t>job-scheduler.schedule.job.job-name</t>
  </si>
  <si>
    <t>aruba-job-scheduler:job-scheduler.schedule.job.job-name</t>
  </si>
  <si>
    <t>local-management.profile.ssh-server-global-configs.ciphers.algorithm</t>
  </si>
  <si>
    <t>aruba-local-management:local-management.profile.ssh-server-global-configs.ciphers.algorithm</t>
  </si>
  <si>
    <t>local-management.profile.ssh-server-global-configs.ciphers.priority</t>
  </si>
  <si>
    <t>aruba-local-management:local-management.profile.ssh-server-global-configs.ciphers.priority</t>
  </si>
  <si>
    <t>aruba-vrrp</t>
  </si>
  <si>
    <t>vrrp-global.profile.enable</t>
  </si>
  <si>
    <t>aruba-vrrp:vrrp-global.profile.enable</t>
  </si>
  <si>
    <t>vrrp-global.profile.name</t>
  </si>
  <si>
    <t>aruba-vrrp:vrrp-global.profile.name</t>
  </si>
  <si>
    <t>vlan-interfaces.interface.igmp.version</t>
  </si>
  <si>
    <t>aruba-interface-vlan:vlan-interfaces.interface.igmp.version</t>
  </si>
  <si>
    <t>igmp.version; interface.igmp.version</t>
  </si>
  <si>
    <t>local-management.profile.max-sessions-per-user</t>
  </si>
  <si>
    <t>aruba-local-management:local-management.profile.max-sessions-per-user</t>
  </si>
  <si>
    <t>prefix-lists.prefix-list.prefix-list-entry.ipv4-prefix</t>
  </si>
  <si>
    <t>aruba-prefix-list:prefix-lists.prefix-list.prefix-list-entry.ipv4-prefix</t>
  </si>
  <si>
    <t>prefix_list.prefix_list_entry.ipv4_prefix; prefix_list_entry.ipv4_prefix</t>
  </si>
  <si>
    <t>ethernet-interfaces.interface.poe.allocation-method</t>
  </si>
  <si>
    <t>aruba-interface-ethernet:ethernet-interfaces.interface.poe.allocation-method</t>
  </si>
  <si>
    <t>interface.poe.allocation_method; poe.allocation_method</t>
  </si>
  <si>
    <t>logging.profile.remote-syslog.vrf</t>
  </si>
  <si>
    <t>aruba-logging:logging.profile.remote-syslog.vrf</t>
  </si>
  <si>
    <t>profile.remote_syslog.vrf; remote_syslog.vrf</t>
  </si>
  <si>
    <t>stp.profile.mstp.priority</t>
  </si>
  <si>
    <t>aruba-stp:stp.profile.mstp.priority</t>
  </si>
  <si>
    <t>mstp.priority; profile.mstp.priority</t>
  </si>
  <si>
    <t>loopback-interfaces.interface.description</t>
  </si>
  <si>
    <t>aruba-interface-loopback:loopback-interfaces.interface.description</t>
  </si>
  <si>
    <t>aaa-profile.profile.authentication.auth-priority</t>
  </si>
  <si>
    <t>aruba-aaa-profile:aaa-profile.profile.authentication.auth-priority</t>
  </si>
  <si>
    <t>qos-queues.profile.priority.name</t>
  </si>
  <si>
    <t>aruba-qos-queue:qos-queues.profile.priority.name</t>
  </si>
  <si>
    <t>ethernet-interfaces.interface.aaa.authentication.auth-priority</t>
  </si>
  <si>
    <t>aruba-interface-ethernet:ethernet-interfaces.interface.aaa.authentication.auth-priority</t>
  </si>
  <si>
    <t>auth-servers.auth-server.enable-radsec</t>
  </si>
  <si>
    <t>aruba-auth-server:auth-servers.auth-server.enable-radsec</t>
  </si>
  <si>
    <t>auth_server.enable_radsec; enable_radsec</t>
  </si>
  <si>
    <t>roles.role.vlan-parameters.access-vlan-name</t>
  </si>
  <si>
    <t>aruba-role:roles.role.vlan-parameters.access-vlan-name</t>
  </si>
  <si>
    <t>CNX-211499</t>
  </si>
  <si>
    <t>File Ticket</t>
  </si>
  <si>
    <t>access_vlan_name</t>
  </si>
  <si>
    <t>mirrors.profile.session.comment</t>
  </si>
  <si>
    <t>aruba-mirror:mirrors.profile.session.comment</t>
  </si>
  <si>
    <t>fault-monitor.profile.excessive-broadcasts.enable</t>
  </si>
  <si>
    <t>aruba-fault-monitor:fault-monitor.profile.excessive-broadcasts.enable</t>
  </si>
  <si>
    <t>excessive_broadcasts.enable; profile.excessive_broadcasts.enable</t>
  </si>
  <si>
    <t>vsx-config.vsx.linkup-delay-timer</t>
  </si>
  <si>
    <t>aruba-vsx-pair:vsx-config.vsx.linkup-delay-timer</t>
  </si>
  <si>
    <t>vsx-profiles.vsx.sync-features.linkup-delay-timer</t>
  </si>
  <si>
    <t>aruba-vsx:vsx-profiles.vsx.sync-features.linkup-delay-timer</t>
  </si>
  <si>
    <t>sync_features.linkup_delay_timer; vsx.sync_features.linkup_delay_timer</t>
  </si>
  <si>
    <t>mirrors.profile.session.session-sources.vlans.direction</t>
  </si>
  <si>
    <t>aruba-mirror:mirrors.profile.session.session-sources.vlans.direction</t>
  </si>
  <si>
    <t>mirrors.profile.session.session-sources.vlans.vlan-id</t>
  </si>
  <si>
    <t>aruba-mirror:mirrors.profile.session.session-sources.vlans.vlan-id</t>
  </si>
  <si>
    <t>auth-server-global-config.profile.tracking-user-name</t>
  </si>
  <si>
    <t>aruba-auth-server-global:auth-server-global-config.profile.tracking-user-name</t>
  </si>
  <si>
    <t>profile.tracking_user_name; tracking_user_name</t>
  </si>
  <si>
    <t>auth-server-global-config.profile.tracking-interval</t>
  </si>
  <si>
    <t>aruba-auth-server-global:auth-server-global-config.profile.tracking-interval</t>
  </si>
  <si>
    <t>profile.tracking_interval; tracking_interval</t>
  </si>
  <si>
    <t>vlan-interfaces.interface.pim-sparse.enable</t>
  </si>
  <si>
    <t>aruba-interface-vlan:vlan-interfaces.interface.pim-sparse.enable</t>
  </si>
  <si>
    <t>interface.pim_sparse.enable; pim_sparse.enable</t>
  </si>
  <si>
    <t>switch-system.profile.usb-port-disable</t>
  </si>
  <si>
    <t>aruba-switch-system:switch-system.profile.usb-port-disable</t>
  </si>
  <si>
    <t>profile.usb_port_disable; usb_port_disable</t>
  </si>
  <si>
    <t>snmp-trap.profile.trap.snmp-server-trap</t>
  </si>
  <si>
    <t>aruba-snmp-trap:snmp-trap.profile.trap.snmp-server-trap</t>
  </si>
  <si>
    <t>snmp-trap.profile.trap.vrf</t>
  </si>
  <si>
    <t>aruba-snmp-trap:snmp-trap.profile.trap.vrf</t>
  </si>
  <si>
    <t>aruba-nae-script</t>
  </si>
  <si>
    <t>nae-scripts.nae-script.name</t>
  </si>
  <si>
    <t>aruba-nae-script:nae-scripts.nae-script.name</t>
  </si>
  <si>
    <t>nae_script.name; name</t>
  </si>
  <si>
    <t>nae-scripts.nae-script.script</t>
  </si>
  <si>
    <t>aruba-nae-script:nae-scripts.nae-script.script</t>
  </si>
  <si>
    <t>nae_script.script; script</t>
  </si>
  <si>
    <t>route-maps.route-map.route-map-entry.match-ipv4-prefix-list</t>
  </si>
  <si>
    <t>aruba-routemap:route-maps.route-map.route-map-entry.match-ipv4-prefix-list</t>
  </si>
  <si>
    <t>route_map.route_map_entry.match_ipv4_prefix_list; route_map_entry.match_ipv4_prefix_list</t>
  </si>
  <si>
    <t>qos-schedules.profile.strict.queue</t>
  </si>
  <si>
    <t>aruba-qos-schedule:qos-schedules.profile.strict.queue</t>
  </si>
  <si>
    <t>mgmt-interfaces.profile.lldp-oper-mode</t>
  </si>
  <si>
    <t>aruba-interface-management:mgmt-interfaces.profile.lldp-oper-mode</t>
  </si>
  <si>
    <t>lldp_oper_mode; profile.lldp_oper_mode</t>
  </si>
  <si>
    <t>server-groups.server-group.attribute-profile.nas-identifier.request-type</t>
  </si>
  <si>
    <t>aruba-auth-server-group:server-groups.server-group.attribute-profile.nas-identifier.request-type</t>
  </si>
  <si>
    <t>attribute_profile.nas_identifier.request_type; server_group.attribute_profile.nas_identifier.request_type</t>
  </si>
  <si>
    <t>server-groups.server-group.attribute-profile.nas-identifier.value</t>
  </si>
  <si>
    <t>aruba-auth-server-group:server-groups.server-group.attribute-profile.nas-identifier.value</t>
  </si>
  <si>
    <t>attribute_profile.nas_identifier.value; server_group.attribute_profile.nas_identifier.value</t>
  </si>
  <si>
    <t>loop-protect.profile.transmit-interval</t>
  </si>
  <si>
    <t>aruba-loop-protect:loop-protect.profile.transmit-interval</t>
  </si>
  <si>
    <t>Loop protect needs a flow</t>
  </si>
  <si>
    <t>sw-port-profiles.profile.loop-protect.transmit-interval</t>
  </si>
  <si>
    <t>aruba-sw-port-profile:sw-port-profiles.profile.loop-protect.transmit-interval</t>
  </si>
  <si>
    <t>snmp.profile.snmp-trap-source.vlan-interface</t>
  </si>
  <si>
    <t>aruba-snmp:snmp.profile.snmp-trap-source.vlan-interface</t>
  </si>
  <si>
    <t>global-qos.q-profile</t>
  </si>
  <si>
    <t>aruba-qos:global-qos.q-profile</t>
  </si>
  <si>
    <t>global-qos.sched-profile</t>
  </si>
  <si>
    <t>aruba-qos:global-qos.sched-profile</t>
  </si>
  <si>
    <t>named-conditions.named-condition.condition-rule.description</t>
  </si>
  <si>
    <t>aruba-named-condition:named-conditions.named-condition.condition-rule.description</t>
  </si>
  <si>
    <t>Only description. CLI Snippet</t>
  </si>
  <si>
    <t>dhcp-snooping.profile.ipv4.allow-overwrite-binding</t>
  </si>
  <si>
    <t>aruba-dhcp-snooping:dhcp-snooping.profile.ipv4.allow-overwrite-binding</t>
  </si>
  <si>
    <t>ethernet-interfaces.interface.flow-control-mode</t>
  </si>
  <si>
    <t>aruba-interface-ethernet:ethernet-interfaces.interface.flow-control-mode</t>
  </si>
  <si>
    <t>stp.profile.traps</t>
  </si>
  <si>
    <t>aruba-stp:stp.profile.traps</t>
  </si>
  <si>
    <t>profile.traps; traps</t>
  </si>
  <si>
    <t>job-scheduler.schedule.job.entry.sequence-number</t>
  </si>
  <si>
    <t>aruba-job-scheduler:job-scheduler.schedule.job.entry.sequence-number</t>
  </si>
  <si>
    <t>ethernet-interfaces.interface.fault-monitor-profile</t>
  </si>
  <si>
    <t>aruba-interface-ethernet:ethernet-interfaces.interface.fault-monitor-profile</t>
  </si>
  <si>
    <t>fault_monitor_profile; interface.fault_monitor_profile</t>
  </si>
  <si>
    <t>roles.role.session-parameters.gateway-zone</t>
  </si>
  <si>
    <t>aruba-role:roles.role.session-parameters.gateway-zone</t>
  </si>
  <si>
    <t>session_parameters.gateway_zone</t>
  </si>
  <si>
    <t>snmp.profile.snmp-trap-source.source-ipv4</t>
  </si>
  <si>
    <t>aruba-snmp:snmp.profile.snmp-trap-source.source-ipv4</t>
  </si>
  <si>
    <t>job-scheduler.schedule.job.entry.cli-command</t>
  </si>
  <si>
    <t>aruba-job-scheduler:job-scheduler.schedule.job.entry.cli-command</t>
  </si>
  <si>
    <t>job-scheduler.schedule.job.entry.type</t>
  </si>
  <si>
    <t>aruba-job-scheduler:job-scheduler.schedule.job.entry.type</t>
  </si>
  <si>
    <t>portchannels.interface.stp.bpdu-guard</t>
  </si>
  <si>
    <t>aruba-interface-portchannel:portchannels.interface.stp.bpdu-guard</t>
  </si>
  <si>
    <t>ethernet-interfaces.interface.llfc-flow-control.direction</t>
  </si>
  <si>
    <t>aruba-interface-ethernet:ethernet-interfaces.interface.llfc-flow-control.direction</t>
  </si>
  <si>
    <t>ethernet-interfaces.interface.qos.multicast-rate-limit.bit-rate</t>
  </si>
  <si>
    <t>aruba-interface-ethernet:ethernet-interfaces.interface.qos.multicast-rate-limit.bit-rate</t>
  </si>
  <si>
    <t>interface.qos.multicast_rate_limit.bit_rate; qos.multicast_rate_limit.bit_rate</t>
  </si>
  <si>
    <t>aruba-nae-agent</t>
  </si>
  <si>
    <t>nae-agents.nae-agent.agent-disable</t>
  </si>
  <si>
    <t>aruba-nae-agent:nae-agents.nae-agent.agent-disable</t>
  </si>
  <si>
    <t>agent_disable; nae_agent.agent_disable</t>
  </si>
  <si>
    <t>nae-agents.nae-agent.agent-name</t>
  </si>
  <si>
    <t>aruba-nae-agent:nae-agents.nae-agent.agent-name</t>
  </si>
  <si>
    <t>agent_name; nae_agent.agent_name</t>
  </si>
  <si>
    <t>nae-agents.nae-agent.script-name</t>
  </si>
  <si>
    <t>aruba-nae-agent:nae-agents.nae-agent.script-name</t>
  </si>
  <si>
    <t>nae_agent.script_name; script_name</t>
  </si>
  <si>
    <t>sw-port-profiles.profile.flow-control-mode</t>
  </si>
  <si>
    <t>aruba-sw-port-profile:sw-port-profiles.profile.flow-control-mode</t>
  </si>
  <si>
    <t>sw-port-profiles.profile.llfc-flow-control.direction</t>
  </si>
  <si>
    <t>aruba-sw-port-profile:sw-port-profiles.profile.llfc-flow-control.direction</t>
  </si>
  <si>
    <t>device-profile.profile.lldp-group-entries.system-name</t>
  </si>
  <si>
    <t>aruba-device-profile:device-profile.profile.lldp-group-entries.system-name</t>
  </si>
  <si>
    <t>lldp_group_entries.system_name; profile.lldp_group_entries.system_name</t>
  </si>
  <si>
    <t>auth-servers.auth-server.port-access-keepalive</t>
  </si>
  <si>
    <t>aruba-auth-server:auth-servers.auth-server.port-access-keepalive</t>
  </si>
  <si>
    <t>fault-monitor.profile.link-flap.enable</t>
  </si>
  <si>
    <t>aruba-fault-monitor:fault-monitor.profile.link-flap.enable</t>
  </si>
  <si>
    <t>link_flap.enable; profile.link_flap.enable</t>
  </si>
  <si>
    <t>ospfv2.profile.routers.areas.svi-interfaces.passive</t>
  </si>
  <si>
    <t>aruba-ospfv2:ospfv2.profile.routers.areas.svi-interfaces.passive</t>
  </si>
  <si>
    <t>profile.routers.areas.svi_interfaces.passive; routers.areas.svi_interfaces.passive</t>
  </si>
  <si>
    <t>ubt.profile.zone.backup-controller-ip</t>
  </si>
  <si>
    <t>aruba-ubt:ubt.profile.zone.backup-controller-ip</t>
  </si>
  <si>
    <t>profile.zone.backup_controller_ip; zone.backup_controller_ip</t>
  </si>
  <si>
    <t>qos-schedules.profile.dwrr.queue</t>
  </si>
  <si>
    <t>aruba-qos-schedule:qos-schedules.profile.dwrr.queue</t>
  </si>
  <si>
    <t>qos-schedules.profile.dwrr.weight</t>
  </si>
  <si>
    <t>aruba-qos-schedule:qos-schedules.profile.dwrr.weight</t>
  </si>
  <si>
    <t>ethernet-interfaces.interface.aaa.authentication.dot1x-auth.discovery-period</t>
  </si>
  <si>
    <t>aruba-interface-ethernet:ethernet-interfaces.interface.aaa.authentication.dot1x-auth.discovery-period</t>
  </si>
  <si>
    <t>aaa.authentication.dot1x_auth.discovery_period; interface.aaa.authentication.dot1x_auth.discovery_period</t>
  </si>
  <si>
    <t>ip-source-interfaces.profile.ip-source.loopback</t>
  </si>
  <si>
    <t>aruba-ip-source-interface:ip-source-interfaces.profile.ip-source.loopback</t>
  </si>
  <si>
    <t>ip_source.loopback; profile.ip_source.loopback</t>
  </si>
  <si>
    <t>ethernet-interfaces.interface.update-interval</t>
  </si>
  <si>
    <t>aruba-interface-ethernet:ethernet-interfaces.interface.update-interval</t>
  </si>
  <si>
    <t>interface.update_interval</t>
  </si>
  <si>
    <t>auth-servers.auth-server.max-retransmit-attempts</t>
  </si>
  <si>
    <t>aruba-auth-server:auth-servers.auth-server.max-retransmit-attempts</t>
  </si>
  <si>
    <t>auth_server.max_retransmit_attempts; max_retransmit_attempts</t>
  </si>
  <si>
    <t>switch-system.profile.icmp.redirect</t>
  </si>
  <si>
    <t>aruba-switch-system:switch-system.profile.icmp.redirect</t>
  </si>
  <si>
    <t>icmp.redirect; profile.icmp.redirect</t>
  </si>
  <si>
    <t>ethernet-interfaces.interface.poe.assigned-class</t>
  </si>
  <si>
    <t>aruba-interface-ethernet:ethernet-interfaces.interface.poe.assigned-class</t>
  </si>
  <si>
    <t>layer2-vlan.l2-vlan.ipv4-access-list-in</t>
  </si>
  <si>
    <t>aruba-vlan:layer2-vlan.l2-vlan.ipv4-access-list-in</t>
  </si>
  <si>
    <t>Mubeesh to file a ticket</t>
  </si>
  <si>
    <t>fault-monitor.profile.excessive-crc-errors.enable</t>
  </si>
  <si>
    <t>aruba-fault-monitor:fault-monitor.profile.excessive-crc-errors.enable</t>
  </si>
  <si>
    <t>excessive_crc_errors.enable; profile.excessive_crc_errors.enable</t>
  </si>
  <si>
    <t>ethernet-interfaces.interface.ip.mtu</t>
  </si>
  <si>
    <t>aruba-interface-ethernet:ethernet-interfaces.interface.ip.mtu</t>
  </si>
  <si>
    <t>snmp.profile.context.community</t>
  </si>
  <si>
    <t>aruba-snmp:snmp.profile.context.community</t>
  </si>
  <si>
    <t>community; community.community; profile.community; profile.community.community</t>
  </si>
  <si>
    <t>ethernet-interfaces.interface.profile-name</t>
  </si>
  <si>
    <t>aruba-interface-ethernet:ethernet-interfaces.interface.profile-name</t>
  </si>
  <si>
    <t>fault-monitor.profile.excessive-tx-drops.enable</t>
  </si>
  <si>
    <t>aruba-fault-monitor:fault-monitor.profile.excessive-tx-drops.enable</t>
  </si>
  <si>
    <t>excessive_tx_drops.enable; profile.excessive_tx_drops.enable</t>
  </si>
  <si>
    <t>ospfv2.profile.routers.areas.loopback-interfaces.loopback-id</t>
  </si>
  <si>
    <t>aruba-ospfv2:ospfv2.profile.routers.areas.loopback-interfaces.loopback-id</t>
  </si>
  <si>
    <t>profile.routers.areas.loopback_interfaces.loopback_id; routers.areas.loopback_interfaces.loopback_id</t>
  </si>
  <si>
    <t>job-scheduler.schedule.trigger-type</t>
  </si>
  <si>
    <t>aruba-job-scheduler:job-scheduler.schedule.trigger-type</t>
  </si>
  <si>
    <t>fault-monitor.profile.excessive-fragments.enable</t>
  </si>
  <si>
    <t>aruba-fault-monitor:fault-monitor.profile.excessive-fragments.enable</t>
  </si>
  <si>
    <t>excessive_fragments.enable; profile.excessive_fragments.enable</t>
  </si>
  <si>
    <t>dhcp-pool.profile.ipv4-pool.static-binding-ipv4.ipaddress</t>
  </si>
  <si>
    <t>aruba-dhcp-pool:dhcp-pool.profile.ipv4-pool.static-binding-ipv4.ipaddress</t>
  </si>
  <si>
    <t>ipv4_pool.static_binding_ipv4.ipaddress; profile.ipv4_pool.static_binding_ipv4.ipaddress</t>
  </si>
  <si>
    <t>dhcp-pool.profile.ipv4-pool.static-binding-ipv4.mac</t>
  </si>
  <si>
    <t>aruba-dhcp-pool:dhcp-pool.profile.ipv4-pool.static-binding-ipv4.mac</t>
  </si>
  <si>
    <t>ipv4_pool.static_binding_ipv4.mac; profile.ipv4_pool.static_binding_ipv4.mac</t>
  </si>
  <si>
    <t>fault-monitor.profile.excessive-jabbers.enable</t>
  </si>
  <si>
    <t>aruba-fault-monitor:fault-monitor.profile.excessive-jabbers.enable</t>
  </si>
  <si>
    <t>excessive_jabbers.enable; profile.excessive_jabbers.enable</t>
  </si>
  <si>
    <t>qos-queues.profile.priority.local-priority</t>
  </si>
  <si>
    <t>aruba-qos-queue:qos-queues.profile.priority.local-priority</t>
  </si>
  <si>
    <t>auth-server-global-config.profile.tracking-password-config.password-type</t>
  </si>
  <si>
    <t>aruba-auth-server-global:auth-server-global-config.profile.tracking-password-config.password-type</t>
  </si>
  <si>
    <t>profile.tracking_password_config.password_type; tracking_password_config.password_type</t>
  </si>
  <si>
    <t>aruba-interface-vxlan</t>
  </si>
  <si>
    <t>vxlan.profile.name</t>
  </si>
  <si>
    <t>aruba-interface-vxlan:vxlan.profile.name</t>
  </si>
  <si>
    <t>ospfv2.profile.routers.passive-interface-default</t>
  </si>
  <si>
    <t>aruba-ospfv2:ospfv2.profile.routers.passive-interface-default</t>
  </si>
  <si>
    <t>profile.routers.passive_interface_default; routers.passive_interface_default</t>
  </si>
  <si>
    <t>stp.profile.mstp.vlans</t>
  </si>
  <si>
    <t>aruba-stp:stp.profile.mstp.vlans</t>
  </si>
  <si>
    <t>mstp.vlans; profile.mstp.vlans</t>
  </si>
  <si>
    <t>vrfs.vrf.route-distinguisher</t>
  </si>
  <si>
    <t>aruba-vrf:vrfs.vrf.route-distinguisher</t>
  </si>
  <si>
    <t>route_distinguisher; vrf.route_distinguisher</t>
  </si>
  <si>
    <t>job-scheduler.schedule.schedule-entry.schedule-job</t>
  </si>
  <si>
    <t>aruba-job-scheduler:job-scheduler.schedule.schedule-entry.schedule-job</t>
  </si>
  <si>
    <t>job-scheduler.schedule.schedule-entry.sequence-number</t>
  </si>
  <si>
    <t>aruba-job-scheduler:job-scheduler.schedule.schedule-entry.sequence-number</t>
  </si>
  <si>
    <t>sw-port-profiles.profile.poe.enabled</t>
  </si>
  <si>
    <t>aruba-sw-port-profile:sw-port-profiles.profile.poe.enabled</t>
  </si>
  <si>
    <t>poe.enabled; profile.poe.enabled</t>
  </si>
  <si>
    <t>aruba-bfd</t>
  </si>
  <si>
    <t>bfd.profile.name</t>
  </si>
  <si>
    <t>aruba-bfd:bfd.profile.name</t>
  </si>
  <si>
    <t>local-management.profile.ssh-server-global-configs.macs.algorithm</t>
  </si>
  <si>
    <t>aruba-local-management:local-management.profile.ssh-server-global-configs.macs.algorithm</t>
  </si>
  <si>
    <t xml:space="preserve">CNX-202816 </t>
  </si>
  <si>
    <t>local-management.profile.ssh-server-global-configs.macs.priority</t>
  </si>
  <si>
    <t>aruba-local-management:local-management.profile.ssh-server-global-configs.macs.priority</t>
  </si>
  <si>
    <t>aruba-management-user-group</t>
  </si>
  <si>
    <t>management-user-groups.user-group.name</t>
  </si>
  <si>
    <t>aruba-management-user-group:management-user-groups.user-group.name</t>
  </si>
  <si>
    <t>name; user_group.name</t>
  </si>
  <si>
    <t>bfd.profile.enable</t>
  </si>
  <si>
    <t>aruba-bfd:bfd.profile.enable</t>
  </si>
  <si>
    <t>fault-monitor.profile.excessive-multicasts.enable</t>
  </si>
  <si>
    <t>aruba-fault-monitor:fault-monitor.profile.excessive-multicasts.enable</t>
  </si>
  <si>
    <t>excessive_multicasts.enable; profile.excessive_multicasts.enable</t>
  </si>
  <si>
    <t>sw-port-profiles.profile.ipv6.autoconfig</t>
  </si>
  <si>
    <t>aruba-sw-port-profile:sw-port-profiles.profile.ipv6.autoconfig</t>
  </si>
  <si>
    <t>vxlan.profile.vni.id</t>
  </si>
  <si>
    <t>aruba-interface-vxlan:vxlan.profile.vni.id</t>
  </si>
  <si>
    <t>device-profile.profile.mac-group-entries.action</t>
  </si>
  <si>
    <t>aruba-device-profile:device-profile.profile.mac-group-entries.action</t>
  </si>
  <si>
    <t>mac_group_entries.action; profile.mac_group_entries.action</t>
  </si>
  <si>
    <t>device-profile.profile.mac-group-entries.mac</t>
  </si>
  <si>
    <t>aruba-device-profile:device-profile.profile.mac-group-entries.mac</t>
  </si>
  <si>
    <t>mac_group_entries.mac; profile.mac_group_entries.mac</t>
  </si>
  <si>
    <t>device-profile.profile.mac-group-entries.sequence-number</t>
  </si>
  <si>
    <t>aruba-device-profile:device-profile.profile.mac-group-entries.sequence-number</t>
  </si>
  <si>
    <t>mac_group_entries.sequence_number; profile.mac_group_entries.sequence_number</t>
  </si>
  <si>
    <t>device-profile.profile.mac-group-entries.type</t>
  </si>
  <si>
    <t>aruba-device-profile:device-profile.profile.mac-group-entries.type</t>
  </si>
  <si>
    <t>mac_group_entries.type; profile.mac_group_entries.type</t>
  </si>
  <si>
    <t>bgp.profile.router.log-neighbor-state-changes</t>
  </si>
  <si>
    <t>aruba-bgp:bgp.profile.router.log-neighbor-state-changes</t>
  </si>
  <si>
    <t>devicefingerprinting-profile.profile.cdp-default</t>
  </si>
  <si>
    <t>aruba-devicefingerprinting-profile:devicefingerprinting-profile.profile.cdp-default</t>
  </si>
  <si>
    <t>vxlan.profile.enable</t>
  </si>
  <si>
    <t>aruba-interface-vxlan:vxlan.profile.enable</t>
  </si>
  <si>
    <t>switch-system.profile.internal-vlan-range</t>
  </si>
  <si>
    <t>aruba-switch-system:switch-system.profile.internal-vlan-range</t>
  </si>
  <si>
    <t>to be exposed via interface-profile</t>
  </si>
  <si>
    <t>ethernet-interfaces.interface.stp.priority</t>
  </si>
  <si>
    <t>aruba-interface-ethernet:ethernet-interfaces.interface.stp.priority</t>
  </si>
  <si>
    <t>interface.stp.priority; stp.priority</t>
  </si>
  <si>
    <t>stp.profile.topology-change-trap</t>
  </si>
  <si>
    <t>aruba-stp:stp.profile.topology-change-trap</t>
  </si>
  <si>
    <t>include_rpvst_auto_vlan.topology_change_trap; mstp.topology_change_trap; profile.include_rpvst_auto_vlan.topology_change_trap; profile.mstp.topology_change_trap; profile.rpvst.topology_change_trap; profile.topology_change_trap; rpvst.topology_change_trap; topology_change_trap</t>
  </si>
  <si>
    <t>local-management.profile.ssh-server-global-configs.max-auth-attempts</t>
  </si>
  <si>
    <t>aruba-local-management:local-management.profile.ssh-server-global-configs.max-auth-attempts</t>
  </si>
  <si>
    <t>Mubeesh to file a ticket. Krishna to Verify. Cross check</t>
  </si>
  <si>
    <t>aruba-vrrp-interface</t>
  </si>
  <si>
    <t>vrrp.profile.description</t>
  </si>
  <si>
    <t>aruba-vrrp-interface:vrrp.profile.description</t>
  </si>
  <si>
    <t>description; profile.description</t>
  </si>
  <si>
    <t>vrrp.profile.name</t>
  </si>
  <si>
    <t>aruba-vrrp-interface:vrrp.profile.name</t>
  </si>
  <si>
    <t>vrrp.profile.virtual-router.address-family</t>
  </si>
  <si>
    <t>aruba-vrrp-interface:vrrp.profile.virtual-router.address-family</t>
  </si>
  <si>
    <t>vrrp.profile.virtual-router.router-id</t>
  </si>
  <si>
    <t>aruba-vrrp-interface:vrrp.profile.virtual-router.router-id</t>
  </si>
  <si>
    <t>vrrp.profile.virtual-router.router-id-address-family</t>
  </si>
  <si>
    <t>aruba-vrrp-interface:vrrp.profile.virtual-router.router-id-address-family</t>
  </si>
  <si>
    <t>profile.virtual_router.router_id_address_family; virtual_router.router_id_address_family</t>
  </si>
  <si>
    <t>ethernet-interfaces.interface.aaa.security-violation.action</t>
  </si>
  <si>
    <t>aruba-interface-ethernet:ethernet-interfaces.interface.aaa.security-violation.action</t>
  </si>
  <si>
    <t>aaa.security_violation.action; interface.aaa.security_violation.action</t>
  </si>
  <si>
    <t>fault-monitor.profile.excessive-broadcasts.action</t>
  </si>
  <si>
    <t>aruba-fault-monitor:fault-monitor.profile.excessive-broadcasts.action</t>
  </si>
  <si>
    <t>excessive_broadcasts.action; profile.excessive_broadcasts.action</t>
  </si>
  <si>
    <t>ethernet-interfaces.interface.aaa.authentication.auth-mode</t>
  </si>
  <si>
    <t>aruba-interface-ethernet:ethernet-interfaces.interface.aaa.authentication.auth-mode</t>
  </si>
  <si>
    <t>aaa.authentication.auth_mode; interface.aaa.authentication.auth_mode</t>
  </si>
  <si>
    <t>management-users.user.authorized-key.public-key</t>
  </si>
  <si>
    <t>aruba-management-user:management-users.user.authorized-key.public-key</t>
  </si>
  <si>
    <t>aaa-profile.profile.authentication.onboarding-precedence</t>
  </si>
  <si>
    <t>aruba-aaa-profile:aaa-profile.profile.authentication.onboarding-precedence</t>
  </si>
  <si>
    <t>authentication.onboarding_precedence; profile.authentication.onboarding_precedence</t>
  </si>
  <si>
    <t>vxlan.profile.src-ipv4</t>
  </si>
  <si>
    <t>aruba-interface-vxlan:vxlan.profile.src-ipv4</t>
  </si>
  <si>
    <t>ethernet-interfaces.interface.aaa.authentication.onboarding-precedence</t>
  </si>
  <si>
    <t>aruba-interface-ethernet:ethernet-interfaces.interface.aaa.authentication.onboarding-precedence</t>
  </si>
  <si>
    <t>aaa.authentication.onboarding_precedence; interface.aaa.authentication.onboarding_precedence</t>
  </si>
  <si>
    <t>dhcp-snooping.profile.ipv6.enable</t>
  </si>
  <si>
    <t>aruba-dhcp-snooping:dhcp-snooping.profile.ipv6.enable</t>
  </si>
  <si>
    <t>ipv6.enable; profile.ipv6.enable</t>
  </si>
  <si>
    <t>snmp.profile.snmp-response-source.source-ipv4</t>
  </si>
  <si>
    <t>aruba-snmp:snmp.profile.snmp-response-source.source-ipv4</t>
  </si>
  <si>
    <t>auth-server-global-config.profile.tracking-password-config.ciphertext-value</t>
  </si>
  <si>
    <t>aruba-auth-server-global:auth-server-global-config.profile.tracking-password-config.ciphertext-value</t>
  </si>
  <si>
    <t>dhcp-relay.profile.ipv4.option-82.policy</t>
  </si>
  <si>
    <t>aruba-dhcp-relay:dhcp-relay.profile.ipv4.option-82.policy</t>
  </si>
  <si>
    <t>ipv4.option_82.policy; profile.ipv4.option_82.policy</t>
  </si>
  <si>
    <t>sflow.profile.session.collector.udp-port</t>
  </si>
  <si>
    <t>aruba-sflow:sflow.profile.session.collector.udp-port</t>
  </si>
  <si>
    <t>vxlan.profile.vni.vlan</t>
  </si>
  <si>
    <t>aruba-interface-vxlan:vxlan.profile.vni.vlan</t>
  </si>
  <si>
    <t>local-management.profile.webservers.session-timeout</t>
  </si>
  <si>
    <t>aruba-local-management:local-management.profile.webservers.session-timeout</t>
  </si>
  <si>
    <t>devicefingerprinting-profile.profile.lldp-default</t>
  </si>
  <si>
    <t>aruba-devicefingerprinting-profile:devicefingerprinting-profile.profile.lldp-default</t>
  </si>
  <si>
    <t>ethernet-interfaces.interface.aaa.authentication.dot1x-auth.initial-auth-response-timeout</t>
  </si>
  <si>
    <t>aruba-interface-ethernet:ethernet-interfaces.interface.aaa.authentication.dot1x-auth.initial-auth-response-timeout</t>
  </si>
  <si>
    <t>stp.profile.rpvst-auto-enable</t>
  </si>
  <si>
    <t>aruba-stp:stp.profile.rpvst-auto-enable</t>
  </si>
  <si>
    <t>profile.rpvst_auto_enable; rpvst_auto_enable</t>
  </si>
  <si>
    <t>sw-port-profiles.profile.stp.admin-edge-port</t>
  </si>
  <si>
    <t>aruba-sw-port-profile:sw-port-profiles.profile.stp.admin-edge-port</t>
  </si>
  <si>
    <t>profile.stp.admin_edge_port; stp.admin_edge_port</t>
  </si>
  <si>
    <t>port-security.policy.sticky-mac-enable</t>
  </si>
  <si>
    <t>aruba-port-security:port-security.policy.sticky-mac-enable</t>
  </si>
  <si>
    <t>logging.profile.remote-syslog.include-auditable-events</t>
  </si>
  <si>
    <t>aruba-logging:logging.profile.remote-syslog.include-auditable-events</t>
  </si>
  <si>
    <t>sw-port-profiles.profile.switchport.trunk-vlan-all</t>
  </si>
  <si>
    <t>aruba-sw-port-profile:sw-port-profiles.profile.switchport.trunk-vlan-all</t>
  </si>
  <si>
    <t>profile.switchport.trunk_vlan_all; switchport.trunk_vlan_all</t>
  </si>
  <si>
    <t>aruba-object-group</t>
  </si>
  <si>
    <t>object-groups.group.name</t>
  </si>
  <si>
    <t>aruba-object-group:object-groups.group.name</t>
  </si>
  <si>
    <t>Priority 2: Mubeesh to review</t>
  </si>
  <si>
    <t>object-groups.group.type</t>
  </si>
  <si>
    <t>aruba-object-group:object-groups.group.type</t>
  </si>
  <si>
    <t>bgp.profile.router.global-afi-safi.global-ipv4-unicast.network.prefix</t>
  </si>
  <si>
    <t>aruba-bgp:bgp.profile.router.global-afi-safi.global-ipv4-unicast.network.prefix</t>
  </si>
  <si>
    <t>profile.router.global_afi_safi.global_ipv4_unicast.network.prefix; router.global_afi_safi.global_ipv4_unicast.network.prefix</t>
  </si>
  <si>
    <t>object-groups.group.items.index</t>
  </si>
  <si>
    <t>aruba-object-group:object-groups.group.items.index</t>
  </si>
  <si>
    <t>vrrp.profile.virtual-router.disable</t>
  </si>
  <si>
    <t>aruba-vrrp-interface:vrrp.profile.virtual-router.disable</t>
  </si>
  <si>
    <t>profile.virtual_router.disable; virtual_router.disable</t>
  </si>
  <si>
    <t>ethernet-interfaces.interface.port-security.sticky-mac-enable</t>
  </si>
  <si>
    <t>aruba-interface-ethernet:ethernet-interfaces.interface.port-security.sticky-mac-enable</t>
  </si>
  <si>
    <t>interface.port_security.sticky_mac_enable; port_security.sticky_mac_enable</t>
  </si>
  <si>
    <t>aaa-profile.profile.authorization.auth-role</t>
  </si>
  <si>
    <t>aruba-aaa-profile:aaa-profile.profile.authorization.auth-role</t>
  </si>
  <si>
    <t>authorization.auth_role; profile.authorization.auth_role</t>
  </si>
  <si>
    <t>dhcp-pool.profile.ipv4-pool.option.opcode</t>
  </si>
  <si>
    <t>aruba-dhcp-pool:dhcp-pool.profile.ipv4-pool.option.opcode</t>
  </si>
  <si>
    <t>ipv4_pool.option.opcode; profile.ipv4_pool.option.opcode</t>
  </si>
  <si>
    <t>dhcp-pool.profile.ipv4-pool.option.opcode-type</t>
  </si>
  <si>
    <t>aruba-dhcp-pool:dhcp-pool.profile.ipv4-pool.option.opcode-type</t>
  </si>
  <si>
    <t>ipv4_pool.option.opcode_type; profile.ipv4_pool.option.opcode_type</t>
  </si>
  <si>
    <t>ethernet-interfaces.interface.aaa.authorization.auth-role</t>
  </si>
  <si>
    <t>aruba-interface-ethernet:ethernet-interfaces.interface.aaa.authorization.auth-role</t>
  </si>
  <si>
    <t>aaa.authorization.auth_role; interface.aaa.authorization.auth_role</t>
  </si>
  <si>
    <t>vlan-interfaces.interface.ip.l3-counters</t>
  </si>
  <si>
    <t>aruba-interface-vlan:vlan-interfaces.interface.ip.l3-counters</t>
  </si>
  <si>
    <t>bgp.profile.router.peer-group.peer-as</t>
  </si>
  <si>
    <t>aruba-bgp:bgp.profile.router.peer-group.peer-as</t>
  </si>
  <si>
    <t>profile.router.peer_group.peer_as; router.peer_group.peer_as</t>
  </si>
  <si>
    <t>vlan-interfaces.interface.vrrp.vrrp-profile-apply</t>
  </si>
  <si>
    <t>aruba-interface-vlan:vlan-interfaces.interface.vrrp.vrrp-profile-apply</t>
  </si>
  <si>
    <t>interface.vrrp.vrrp_profile_apply; vrrp.vrrp_profile_apply</t>
  </si>
  <si>
    <t>portchannels.interface.dynamic-arp-inspection.trust</t>
  </si>
  <si>
    <t>aruba-interface-portchannel:portchannels.interface.dynamic-arp-inspection.trust</t>
  </si>
  <si>
    <t>dynamic_arp_inspection.trust; interface.dynamic_arp_inspection.trust</t>
  </si>
  <si>
    <t>aaa-profile.profile.authentication.client-limit</t>
  </si>
  <si>
    <t>aruba-aaa-profile:aaa-profile.profile.authentication.client-limit</t>
  </si>
  <si>
    <t>authentication.client_limit; profile.authentication.client_limit</t>
  </si>
  <si>
    <t>sflow.profile.session.polling-interval</t>
  </si>
  <si>
    <t>aruba-sflow:sflow.profile.session.polling-interval</t>
  </si>
  <si>
    <t>bgp.profile.router.peer-group.peer-group-name</t>
  </si>
  <si>
    <t>aruba-bgp:bgp.profile.router.peer-group.peer-group-name</t>
  </si>
  <si>
    <t>profile.router.peer_group.peer_group_name; router.peer_group.peer_group_name</t>
  </si>
  <si>
    <t>local-management.profile.ssh-server-global-configs.host-key-algorithms.algorithm</t>
  </si>
  <si>
    <t>aruba-local-management:local-management.profile.ssh-server-global-configs.host-key-algorithms.algorithm</t>
  </si>
  <si>
    <t>local-management.profile.ssh-server-global-configs.host-key-algorithms.priority</t>
  </si>
  <si>
    <t>aruba-local-management:local-management.profile.ssh-server-global-configs.host-key-algorithms.priority</t>
  </si>
  <si>
    <t>object-groups.group.items.address-type</t>
  </si>
  <si>
    <t>aruba-object-group:object-groups.group.items.address-type</t>
  </si>
  <si>
    <t>Object Grouping</t>
  </si>
  <si>
    <t>ethernet-interfaces.interface.dynamic-arp-inspection.trust</t>
  </si>
  <si>
    <t>aruba-interface-ethernet:ethernet-interfaces.interface.dynamic-arp-inspection.trust</t>
  </si>
  <si>
    <t>sw-port-profiles.profile.stp.bpdu-guard</t>
  </si>
  <si>
    <t>aruba-sw-port-profile:sw-port-profiles.profile.stp.bpdu-guard</t>
  </si>
  <si>
    <t>profile.stp.bpdu_guard; stp.bpdu_guard</t>
  </si>
  <si>
    <t>bgp.profile.router.neighbor.afi-safi.l2vpn-evpn.enabled</t>
  </si>
  <si>
    <t>aruba-bgp:bgp.profile.router.neighbor.afi-safi.l2vpn-evpn.enabled</t>
  </si>
  <si>
    <t>profile.router.neighbor.afi_safi.l2vpn_evpn.enabled; router.neighbor.afi_safi.l2vpn_evpn.enabled</t>
  </si>
  <si>
    <t>sflow.profile.session.mode</t>
  </si>
  <si>
    <t>aruba-sflow:sflow.profile.session.mode</t>
  </si>
  <si>
    <t>local-management.profile.console.baud-rate</t>
  </si>
  <si>
    <t>aruba-local-management:local-management.profile.console.baud-rate</t>
  </si>
  <si>
    <t>ospfv2.profile.routers.areas.ether-interfaces.interface-name</t>
  </si>
  <si>
    <t>aruba-ospfv2:ospfv2.profile.routers.areas.ether-interfaces.interface-name</t>
  </si>
  <si>
    <t>profile.routers.areas.ether_interfaces.interface_name; routers.areas.ether_interfaces.interface_name</t>
  </si>
  <si>
    <t>sw-port-profiles.profile.udld.enable</t>
  </si>
  <si>
    <t>aruba-sw-port-profile:sw-port-profiles.profile.udld.enable</t>
  </si>
  <si>
    <t>profile.udld.enable; udld.enable</t>
  </si>
  <si>
    <t>switch-system.profile.virtual-mac</t>
  </si>
  <si>
    <t>aruba-switch-system:switch-system.profile.virtual-mac</t>
  </si>
  <si>
    <t>profile.virtual_mac; virtual_mac</t>
  </si>
  <si>
    <t>ethernet-interfaces.interface.udld.enable</t>
  </si>
  <si>
    <t>aruba-interface-ethernet:ethernet-interfaces.interface.udld.enable</t>
  </si>
  <si>
    <t>interface.udld.enable; udld.enable</t>
  </si>
  <si>
    <t>vlan-interfaces.interface.ipv4.secondary-ip</t>
  </si>
  <si>
    <t>aruba-interface-vlan:vlan-interfaces.interface.ipv4.secondary-ip</t>
  </si>
  <si>
    <t>interface.ipv4.secondary_ip</t>
  </si>
  <si>
    <t>aruba-aaa-captive-portal</t>
  </si>
  <si>
    <t>captive-portal.profile.external-cp-server-url</t>
  </si>
  <si>
    <t>aruba-aaa-captive-portal:captive-portal.profile.external-cp-server-url</t>
  </si>
  <si>
    <t>external_cp_server_url; profile.external_cp_server_url</t>
  </si>
  <si>
    <t>captive-portal.profile.name</t>
  </si>
  <si>
    <t>aruba-aaa-captive-portal:captive-portal.profile.name</t>
  </si>
  <si>
    <t>switch-system.profile.loop-protect.trap</t>
  </si>
  <si>
    <t>aruba-switch-system:switch-system.profile.loop-protect.trap</t>
  </si>
  <si>
    <t>loop_protect.trap; profile.loop_protect.trap</t>
  </si>
  <si>
    <t>fault-monitor.profile.excessive-late-collisions.enable</t>
  </si>
  <si>
    <t>aruba-fault-monitor:fault-monitor.profile.excessive-late-collisions.enable</t>
  </si>
  <si>
    <t>excessive_late_collisions.enable; profile.excessive_late_collisions.enable</t>
  </si>
  <si>
    <t>fault-monitor.profile.excessive-oversize-packets.enable</t>
  </si>
  <si>
    <t>aruba-fault-monitor:fault-monitor.profile.excessive-oversize-packets.enable</t>
  </si>
  <si>
    <t>excessive_oversize_packets.enable; profile.excessive_oversize_packets.enable</t>
  </si>
  <si>
    <t>ethernet-interfaces.interface.stp.link-type</t>
  </si>
  <si>
    <t>aruba-interface-ethernet:ethernet-interfaces.interface.stp.link-type</t>
  </si>
  <si>
    <t>interface.stp.link_type; stp.link_type</t>
  </si>
  <si>
    <t>fault-monitor.profile.excessive-collisions.enable</t>
  </si>
  <si>
    <t>aruba-fault-monitor:fault-monitor.profile.excessive-collisions.enable</t>
  </si>
  <si>
    <t>excessive_collisions.enable; profile.excessive_collisions.enable</t>
  </si>
  <si>
    <t>portchannels.interface.ipv4.address</t>
  </si>
  <si>
    <t>aruba-interface-portchannel:portchannels.interface.ipv4.address</t>
  </si>
  <si>
    <t>prefix-lists.prefix-list.prefix-list-entry.match-max</t>
  </si>
  <si>
    <t>aruba-prefix-list:prefix-lists.prefix-list.prefix-list-entry.match-max</t>
  </si>
  <si>
    <t>prefix_list.prefix_list_entry.match_max; prefix_list_entry.match_max</t>
  </si>
  <si>
    <t>layer2-vlan.l2-vlan.dynamic-arp-inspection.enable</t>
  </si>
  <si>
    <t>aruba-vlan:layer2-vlan.l2-vlan.dynamic-arp-inspection.enable</t>
  </si>
  <si>
    <t>dynamic_arp_inspection.enable; l2_vlan.dynamic_arp_inspection.enable</t>
  </si>
  <si>
    <t>bgp.profile.router.neighbor.peer-group</t>
  </si>
  <si>
    <t>aruba-bgp:bgp.profile.router.neighbor.peer-group</t>
  </si>
  <si>
    <t>profile.router.neighbor.peer_group; router.neighbor.peer_group</t>
  </si>
  <si>
    <t>static-route.profile.ipv4.interface.nexthop-interface-type</t>
  </si>
  <si>
    <t>aruba-static-route:static-route.profile.ipv4.interface.nexthop-interface-type</t>
  </si>
  <si>
    <t>ipv4.interface.nexthop_interface_type; profile.ipv4.interface.nexthop_interface_type</t>
  </si>
  <si>
    <t>stp.profile.ignore-pvid-inconsistency</t>
  </si>
  <si>
    <t>aruba-stp:stp.profile.ignore-pvid-inconsistency</t>
  </si>
  <si>
    <t>ignore_pvid_inconsistency; profile.ignore_pvid_inconsistency</t>
  </si>
  <si>
    <t>aruba-role-gpid</t>
  </si>
  <si>
    <t>role-gpids.role-gpid.gpid</t>
  </si>
  <si>
    <t>aruba-role-gpid:role-gpids.role-gpid.gpid</t>
  </si>
  <si>
    <t>can be ignored as name is supported</t>
  </si>
  <si>
    <t>role-gpids.role-gpid.name</t>
  </si>
  <si>
    <t>aruba-role-gpid:role-gpids.role-gpid.name</t>
  </si>
  <si>
    <t>role_gpid.name</t>
  </si>
  <si>
    <t>sw-port-profiles.profile.switchport.trunk-vlan-ranges</t>
  </si>
  <si>
    <t>aruba-sw-port-profile:sw-port-profiles.profile.switchport.trunk-vlan-ranges</t>
  </si>
  <si>
    <t>profile.switchport.trunk_vlan_ranges; switchport.trunk_vlan_ranges</t>
  </si>
  <si>
    <t>qos-schedules.profile.sched-entries.algorithm</t>
  </si>
  <si>
    <t>aruba-qos-schedule:qos-schedules.profile.sched-entries.algorithm</t>
  </si>
  <si>
    <t>qos-schedules.profile.sched-entries.queue</t>
  </si>
  <si>
    <t>aruba-qos-schedule:qos-schedules.profile.sched-entries.queue</t>
  </si>
  <si>
    <t>ethernet-interfaces.interface.loop-protect.vlans</t>
  </si>
  <si>
    <t>aruba-interface-ethernet:ethernet-interfaces.interface.loop-protect.vlans</t>
  </si>
  <si>
    <t>interface.loop_protect.vlans; loop_protect.vlans</t>
  </si>
  <si>
    <t>aruba-mgmd</t>
  </si>
  <si>
    <t>mgmd-global.profile.name</t>
  </si>
  <si>
    <t>aruba-mgmd:mgmd-global.profile.name</t>
  </si>
  <si>
    <t>aruba-evpn</t>
  </si>
  <si>
    <t>evpn.profile.name</t>
  </si>
  <si>
    <t>aruba-evpn:evpn.profile.name</t>
  </si>
  <si>
    <t>portchannels.interface.lacp.fallback-static</t>
  </si>
  <si>
    <t>aruba-interface-portchannel:portchannels.interface.lacp.fallback-static</t>
  </si>
  <si>
    <t>interface.lacp.fallback_static; lacp.fallback_static</t>
  </si>
  <si>
    <t>aaa-profile.profile.authorization.fallback-role</t>
  </si>
  <si>
    <t>aruba-aaa-profile:aaa-profile.profile.authorization.fallback-role</t>
  </si>
  <si>
    <t>authorization.fallback_role; profile.authorization.fallback_role</t>
  </si>
  <si>
    <t>auth-servers.auth-server.window-duration</t>
  </si>
  <si>
    <t>aruba-auth-server:auth-servers.auth-server.window-duration</t>
  </si>
  <si>
    <t>dot1xauth.profile.reauth-period</t>
  </si>
  <si>
    <t>aruba-aaa-dot1xauth:dot1xauth.profile.reauth-period</t>
  </si>
  <si>
    <t>reauth_period</t>
  </si>
  <si>
    <t>aruba-http-proxy</t>
  </si>
  <si>
    <t>http-proxy-servers.profile.address</t>
  </si>
  <si>
    <t>aruba-http-proxy:http-proxy-servers.profile.address</t>
  </si>
  <si>
    <t>address; profile.address</t>
  </si>
  <si>
    <t>http-proxy-servers.profile.name</t>
  </si>
  <si>
    <t>aruba-http-proxy:http-proxy-servers.profile.name</t>
  </si>
  <si>
    <t>macauth.profile.reauth-period</t>
  </si>
  <si>
    <t>aruba-aaa-macauth:macauth.profile.reauth-period</t>
  </si>
  <si>
    <t>auth-servers.auth-server.tracking-mode</t>
  </si>
  <si>
    <t>aruba-auth-server:auth-servers.auth-server.tracking-mode</t>
  </si>
  <si>
    <t>auth_server.tracking_mode; tracking_mode</t>
  </si>
  <si>
    <t>layer2-vlan-range.dhcpv6-snooping.enable</t>
  </si>
  <si>
    <t>aruba-vlan-range:layer2-vlan-range.dhcpv6-snooping.enable</t>
  </si>
  <si>
    <t>http-proxy-servers.profile.port</t>
  </si>
  <si>
    <t>aruba-http-proxy:http-proxy-servers.profile.port</t>
  </si>
  <si>
    <t>port; profile.port</t>
  </si>
  <si>
    <t>ethernet-interfaces.interface.aaa.authorization.fallback-role</t>
  </si>
  <si>
    <t>aruba-interface-ethernet:ethernet-interfaces.interface.aaa.authorization.fallback-role</t>
  </si>
  <si>
    <t>aaa.authorization.fallback_role; interface.aaa.authorization.fallback_role</t>
  </si>
  <si>
    <t>management-users.user.interface.telnet</t>
  </si>
  <si>
    <t>aruba-management-user:management-users.user.interface.telnet</t>
  </si>
  <si>
    <t>switch-system.profile.aaa.dot1x-auth.eap-tls-fragment-size-towards-server</t>
  </si>
  <si>
    <t>aruba-switch-system:switch-system.profile.aaa.dot1x-auth.eap-tls-fragment-size-towards-server</t>
  </si>
  <si>
    <t>evpn.profile.evpn-global.vlan.id</t>
  </si>
  <si>
    <t>aruba-evpn:evpn.profile.evpn-global.vlan.id</t>
  </si>
  <si>
    <t>evpn_global.vlan.id; profile.evpn_global.vlan.id</t>
  </si>
  <si>
    <t>http-proxy-servers.profile.vrf</t>
  </si>
  <si>
    <t>aruba-http-proxy:http-proxy-servers.profile.vrf</t>
  </si>
  <si>
    <t>local-management.profile.webservers.access-mode</t>
  </si>
  <si>
    <t>aruba-local-management:local-management.profile.webservers.access-mode</t>
  </si>
  <si>
    <t>policies.policy.security-policy.policy-rule.condition.transport-fields.destination-port.max</t>
  </si>
  <si>
    <t>aruba-policy:policies.policy.security-policy.policy-rule.condition.transport-fields.destination-port.max</t>
  </si>
  <si>
    <t>policy.security_policy.policy_rule.condition.transport_fields.destination_port.max; security_policy.policy_rule.condition.transport_fields.destination_port.max</t>
  </si>
  <si>
    <t>layer2-vlan.l2-vlan.dhcpv6-snooping.enable</t>
  </si>
  <si>
    <t>aruba-vlan:layer2-vlan.l2-vlan.dhcpv6-snooping.enable</t>
  </si>
  <si>
    <t>dhcpv6_snooping.enable; l2_vlan.dhcpv6_snooping.enable</t>
  </si>
  <si>
    <t>portchannels.interface.qos.broadcast-rate-limit.rate-type</t>
  </si>
  <si>
    <t>aruba-interface-portchannel:portchannels.interface.qos.broadcast-rate-limit.rate-type</t>
  </si>
  <si>
    <t>local-management.profile.console.serviceos-password-prompt</t>
  </si>
  <si>
    <t>aruba-local-management:local-management.profile.console.serviceos-password-prompt</t>
  </si>
  <si>
    <t>ospfv2.profile.routers.areas.svi-interfaces.network</t>
  </si>
  <si>
    <t>aruba-ospfv2:ospfv2.profile.routers.areas.svi-interfaces.network</t>
  </si>
  <si>
    <t>profile.routers.areas.svi_interfaces.network; routers.areas.svi_interfaces.network</t>
  </si>
  <si>
    <t>roles.role.session-parameters.captive-portal</t>
  </si>
  <si>
    <t>aruba-role:roles.role.session-parameters.captive-portal</t>
  </si>
  <si>
    <t>session_parameters.captive_portal</t>
  </si>
  <si>
    <t>object-groups.group.items.ipv4-address</t>
  </si>
  <si>
    <t>aruba-object-group:object-groups.group.items.ipv4-address</t>
  </si>
  <si>
    <t>evpn.profile.evpn-global.vlan.export-route-targets</t>
  </si>
  <si>
    <t>aruba-evpn:evpn.profile.evpn-global.vlan.export-route-targets</t>
  </si>
  <si>
    <t>evpn_global.vlan.export_route_targets; profile.evpn_global.vlan.export_route_targets</t>
  </si>
  <si>
    <t>evpn.profile.evpn-global.vlan.import-route-targets</t>
  </si>
  <si>
    <t>aruba-evpn:evpn.profile.evpn-global.vlan.import-route-targets</t>
  </si>
  <si>
    <t>evpn_global.vlan.import_route_targets; profile.evpn_global.vlan.import_route_targets</t>
  </si>
  <si>
    <t>qos-queues.profile.priority.priorities</t>
  </si>
  <si>
    <t>aruba-qos-queue:qos-queues.profile.priority.priorities</t>
  </si>
  <si>
    <t>portchannels.interface.mode</t>
  </si>
  <si>
    <t>aruba-interface-portchannel:portchannels.interface.mode</t>
  </si>
  <si>
    <t>interface.lacp.mode; interface.mode; lacp.mode; mode</t>
  </si>
  <si>
    <t>logging.profile.filter.lf-name</t>
  </si>
  <si>
    <t>aruba-logging:logging.profile.filter.lf-name</t>
  </si>
  <si>
    <t>evpn.profile.evpn-global.vlan.route-distinguisher-auto</t>
  </si>
  <si>
    <t>aruba-evpn:evpn.profile.evpn-global.vlan.route-distinguisher-auto</t>
  </si>
  <si>
    <t>evpn_global.vlan.route_distinguisher_auto; profile.evpn_global.vlan.route_distinguisher_auto</t>
  </si>
  <si>
    <t>qos-global.profile.q-profile</t>
  </si>
  <si>
    <t>aruba-qos-global:qos-global.profile.q-profile</t>
  </si>
  <si>
    <t>qos-global.profile.sched-profile</t>
  </si>
  <si>
    <t>aruba-qos-global:qos-global.profile.sched-profile</t>
  </si>
  <si>
    <t>bgp.profile.router.peer-group.transport.local-loopback-interface</t>
  </si>
  <si>
    <t>aruba-bgp:bgp.profile.router.peer-group.transport.local-loopback-interface</t>
  </si>
  <si>
    <t>profile.router.peer_group.transport.local_loopback_interface; router.peer_group.transport.local_loopback_interface</t>
  </si>
  <si>
    <t>fault-monitor.profile.excessive-broadcasts.auto-enable</t>
  </si>
  <si>
    <t>aruba-fault-monitor:fault-monitor.profile.excessive-broadcasts.auto-enable</t>
  </si>
  <si>
    <t>excessive_broadcasts.auto_enable; profile.excessive_broadcasts.auto_enable</t>
  </si>
  <si>
    <t>sflow.profile.session.sampling-rate</t>
  </si>
  <si>
    <t>aruba-sflow:sflow.profile.session.sampling-rate</t>
  </si>
  <si>
    <t>ethernet-interfaces.interface.qos.unknown-unicast-rate-limit.rate-type</t>
  </si>
  <si>
    <t>aruba-interface-ethernet:ethernet-interfaces.interface.qos.unknown-unicast-rate-limit.rate-type</t>
  </si>
  <si>
    <t>interface.qos.unknown_unicast_rate_limit.rate_type; qos.unknown_unicast_rate_limit.rate_type</t>
  </si>
  <si>
    <t>fault-monitor.profile.excessive-multicasts.action</t>
  </si>
  <si>
    <t>aruba-fault-monitor:fault-monitor.profile.excessive-multicasts.action</t>
  </si>
  <si>
    <t>excessive_multicasts.action; profile.excessive_multicasts.action</t>
  </si>
  <si>
    <t>switch-system.profile.aaa.mac-auth.address-format</t>
  </si>
  <si>
    <t>aruba-switch-system:switch-system.profile.aaa.mac-auth.address-format</t>
  </si>
  <si>
    <t>aaa.mac_auth.address_format; profile.aaa.mac_auth.address_format</t>
  </si>
  <si>
    <t>bgp.profile.router.neighbor.afi-safi.ipv4-unicast.apply-route-map.direction</t>
  </si>
  <si>
    <t>aruba-bgp:bgp.profile.router.neighbor.afi-safi.ipv4-unicast.apply-route-map.direction</t>
  </si>
  <si>
    <t>profile.router.neighbor.afi_safi.ipv4_unicast.apply_route_map.direction; router.neighbor.afi_safi.ipv4_unicast.apply_route_map.direction</t>
  </si>
  <si>
    <t>bgp.profile.router.neighbor.afi-safi.ipv4-unicast.apply-route-map.route-map</t>
  </si>
  <si>
    <t>aruba-bgp:bgp.profile.router.neighbor.afi-safi.ipv4-unicast.apply-route-map.route-map</t>
  </si>
  <si>
    <t>profile.router.neighbor.afi_safi.ipv4_unicast.apply_route_map.route_map; router.neighbor.afi_safi.ipv4_unicast.apply_route_map.route_map</t>
  </si>
  <si>
    <t>static-route.profile.ipv6.forwarding-type</t>
  </si>
  <si>
    <t>aruba-static-route:static-route.profile.ipv6.forwarding-type</t>
  </si>
  <si>
    <t>ipv6.forwarding_type; profile.ipv6.forwarding_type</t>
  </si>
  <si>
    <t>static-route.profile.ipv6.nexthop-id</t>
  </si>
  <si>
    <t>aruba-static-route:static-route.profile.ipv6.nexthop-id</t>
  </si>
  <si>
    <t>static-route.profile.ipv6.prefix</t>
  </si>
  <si>
    <t>aruba-static-route:static-route.profile.ipv6.prefix</t>
  </si>
  <si>
    <t>static-route.profile.ipv6.prefix-vrf-nexthop-id</t>
  </si>
  <si>
    <t>aruba-static-route:static-route.profile.ipv6.prefix-vrf-nexthop-id</t>
  </si>
  <si>
    <t>ipv6.prefix_vrf_nexthop_id; profile.ipv6.prefix_vrf_nexthop_id</t>
  </si>
  <si>
    <t>static-route.profile.ipv6.vrf</t>
  </si>
  <si>
    <t>aruba-static-route:static-route.profile.ipv6.vrf</t>
  </si>
  <si>
    <t>dhcp-pool.profile.ipv4-pool.option.ip</t>
  </si>
  <si>
    <t>aruba-dhcp-pool:dhcp-pool.profile.ipv4-pool.option.ip</t>
  </si>
  <si>
    <t>ipv4_pool.option.ip; profile.ipv4_pool.option.ip</t>
  </si>
  <si>
    <t>dhcp-relay.profile.ipv4.option-82.source-interface</t>
  </si>
  <si>
    <t>aruba-dhcp-relay:dhcp-relay.profile.ipv4.option-82.source-interface</t>
  </si>
  <si>
    <t>ipv4.option_82.source_interface; profile.ipv4.option_82.source_interface</t>
  </si>
  <si>
    <t>local-management.profile.ssh-server-global-configs.pubkey-algorithms.algorithm</t>
  </si>
  <si>
    <t>aruba-local-management:local-management.profile.ssh-server-global-configs.pubkey-algorithms.algorithm</t>
  </si>
  <si>
    <t>local-management.profile.ssh-server-global-configs.pubkey-algorithms.priority</t>
  </si>
  <si>
    <t>aruba-local-management:local-management.profile.ssh-server-global-configs.pubkey-algorithms.priority</t>
  </si>
  <si>
    <t>switch-system.profile.aaa.cached-critical-role.enable</t>
  </si>
  <si>
    <t>aruba-switch-system:switch-system.profile.aaa.cached-critical-role.enable</t>
  </si>
  <si>
    <t>aaa.cached_critical_role.enable; profile.aaa.cached_critical_role.enable</t>
  </si>
  <si>
    <t>vlan-interfaces.interface.policy.ipv4-access-list-out</t>
  </si>
  <si>
    <t>aruba-interface-vlan:vlan-interfaces.interface.policy.ipv4-access-list-out</t>
  </si>
  <si>
    <t>policies.policy.security-policy.policy-rule.condition.source.address-group</t>
  </si>
  <si>
    <t>aruba-policy:policies.policy.security-policy.policy-rule.condition.source.address-group</t>
  </si>
  <si>
    <t>snmp.profile.user.context</t>
  </si>
  <si>
    <t>aruba-snmp:snmp.profile.user.context</t>
  </si>
  <si>
    <t>vrfs.vrf.evpn-export-route-targets</t>
  </si>
  <si>
    <t>aruba-vrf:vrfs.vrf.evpn-export-route-targets</t>
  </si>
  <si>
    <t>evpn_export_route_targets; vrf.evpn_export_route_targets</t>
  </si>
  <si>
    <t>vrfs.vrf.evpn-import-route-targets</t>
  </si>
  <si>
    <t>aruba-vrf:vrfs.vrf.evpn-import-route-targets</t>
  </si>
  <si>
    <t>evpn_import_route_targets; vrf.evpn_import_route_targets</t>
  </si>
  <si>
    <t>qos-schedules.profile.sched-entries.weight</t>
  </si>
  <si>
    <t>aruba-qos-schedule:qos-schedules.profile.sched-entries.weight</t>
  </si>
  <si>
    <t>pim-router.profile.router.static-rps.group-address-range</t>
  </si>
  <si>
    <t>aruba-pim:pim-router.profile.router.static-rps.group-address-range</t>
  </si>
  <si>
    <t>router.static_rps.group_address_range</t>
  </si>
  <si>
    <t>pim-router.profile.router.static-rps.rp-address</t>
  </si>
  <si>
    <t>aruba-pim:pim-router.profile.router.static-rps.rp-address</t>
  </si>
  <si>
    <t>router.static_rps.rp_address</t>
  </si>
  <si>
    <t>ethernet-interfaces.interface.stp.rpvst-guard</t>
  </si>
  <si>
    <t>aruba-interface-ethernet:ethernet-interfaces.interface.stp.rpvst-guard</t>
  </si>
  <si>
    <t>interface.stp.rpvst_guard; stp.rpvst_guard</t>
  </si>
  <si>
    <t>mirrors.profile.session.session-destination.destination-ip</t>
  </si>
  <si>
    <t>aruba-mirror:mirrors.profile.session.session-destination.destination-ip</t>
  </si>
  <si>
    <t>mirrors.profile.session.session-destination.source-ip</t>
  </si>
  <si>
    <t>aruba-mirror:mirrors.profile.session.session-destination.source-ip</t>
  </si>
  <si>
    <t>management-user-groups.user-group.rule.rbac.action</t>
  </si>
  <si>
    <t>aruba-management-user-group:management-user-groups.user-group.rule.rbac.action</t>
  </si>
  <si>
    <t>rule.rbac.action; user_group.rule.rbac.action</t>
  </si>
  <si>
    <t>management-user-groups.user-group.rule.rbac.match-command</t>
  </si>
  <si>
    <t>aruba-management-user-group:management-user-groups.user-group.rule.rbac.match-command</t>
  </si>
  <si>
    <t>rule.rbac.match_command; user_group.rule.rbac.match_command</t>
  </si>
  <si>
    <t>management-user-groups.user-group.rule.seq-number</t>
  </si>
  <si>
    <t>aruba-management-user-group:management-user-groups.user-group.rule.seq-number</t>
  </si>
  <si>
    <t>rule.seq_number; user_group.rule.seq_number</t>
  </si>
  <si>
    <t>auth-server-global-config.profile.retries</t>
  </si>
  <si>
    <t>aruba-auth-server-global:auth-server-global-config.profile.retries</t>
  </si>
  <si>
    <t>profile.retries; retries</t>
  </si>
  <si>
    <t>fault-monitor.profile.excessive-broadcasts.threshold-units</t>
  </si>
  <si>
    <t>aruba-fault-monitor:fault-monitor.profile.excessive-broadcasts.threshold-units</t>
  </si>
  <si>
    <t>Should already be covered</t>
  </si>
  <si>
    <t>ethernet-interfaces.interface.cdp.enable</t>
  </si>
  <si>
    <t>aruba-interface-ethernet:ethernet-interfaces.interface.cdp.enable</t>
  </si>
  <si>
    <t>cdp.enable; interface.cdp.enable</t>
  </si>
  <si>
    <t>loopback-interfaces.interface.vrf-forwarding</t>
  </si>
  <si>
    <t>aruba-interface-loopback:loopback-interfaces.interface.vrf-forwarding</t>
  </si>
  <si>
    <t>roles.role.session-parameters.session-timeout</t>
  </si>
  <si>
    <t>aruba-role:roles.role.session-parameters.session-timeout</t>
  </si>
  <si>
    <t>session_parameters.session_timeout</t>
  </si>
  <si>
    <t>aaa-profile.profile.authorization.pre-auth-role</t>
  </si>
  <si>
    <t>aruba-aaa-profile:aaa-profile.profile.authorization.pre-auth-role</t>
  </si>
  <si>
    <t>authorization.pre_auth_role; profile.authorization.pre_auth_role</t>
  </si>
  <si>
    <t>ethernet-interfaces.interface.igmp.enable</t>
  </si>
  <si>
    <t>aruba-interface-ethernet:ethernet-interfaces.interface.igmp.enable</t>
  </si>
  <si>
    <t>job-scheduler.schedule.start-date-at</t>
  </si>
  <si>
    <t>aruba-job-scheduler:job-scheduler.schedule.start-date-at</t>
  </si>
  <si>
    <t>job-scheduler.schedule.start-time-at</t>
  </si>
  <si>
    <t>aruba-job-scheduler:job-scheduler.schedule.start-time-at</t>
  </si>
  <si>
    <t>job-scheduler.schedule.trigger-at</t>
  </si>
  <si>
    <t>aruba-job-scheduler:job-scheduler.schedule.trigger-at</t>
  </si>
  <si>
    <t>sw-port-profiles.profile.lag.lacp-lag.fallback</t>
  </si>
  <si>
    <t>aruba-sw-port-profile:sw-port-profiles.profile.lag.lacp-lag.fallback</t>
  </si>
  <si>
    <t>nae-agents.nae-agent.agent-parameters.name</t>
  </si>
  <si>
    <t>aruba-nae-agent:nae-agents.nae-agent.agent-parameters.name</t>
  </si>
  <si>
    <t>agent_parameters.name; nae_agent.agent_parameters.name</t>
  </si>
  <si>
    <t>nae-agents.nae-agent.agent-parameters.value</t>
  </si>
  <si>
    <t>aruba-nae-agent:nae-agents.nae-agent.agent-parameters.value</t>
  </si>
  <si>
    <t>agent_parameters.value; nae_agent.agent_parameters.value</t>
  </si>
  <si>
    <t>dns.profile.domain-list.name</t>
  </si>
  <si>
    <t>aruba-dns:dns.profile.domain-list.name</t>
  </si>
  <si>
    <t>dns.profile.domain-list.vrf</t>
  </si>
  <si>
    <t>aruba-dns:dns.profile.domain-list.vrf</t>
  </si>
  <si>
    <t>fault-monitor.profile.link-flap.action</t>
  </si>
  <si>
    <t>aruba-fault-monitor:fault-monitor.profile.link-flap.action</t>
  </si>
  <si>
    <t>link_flap.action; profile.link_flap.action</t>
  </si>
  <si>
    <t>ethernet-interfaces.interface.aaa.authorization.pre-auth-role</t>
  </si>
  <si>
    <t>aruba-interface-ethernet:ethernet-interfaces.interface.aaa.authorization.pre-auth-role</t>
  </si>
  <si>
    <t>aaa.authorization.pre_auth_role; interface.aaa.authorization.pre_auth_role</t>
  </si>
  <si>
    <t>ethernet-interfaces.interface.aaa.security-violation.shutdown-recovery-enable</t>
  </si>
  <si>
    <t>aruba-interface-ethernet:ethernet-interfaces.interface.aaa.security-violation.shutdown-recovery-enable</t>
  </si>
  <si>
    <t>aaa.security_violation.shutdown_recovery_enable; interface.aaa.security_violation.shutdown_recovery_enable</t>
  </si>
  <si>
    <t>auth-servers.auth-server.cppm-password-config.plaintext-value</t>
  </si>
  <si>
    <t>aruba-auth-server:auth-servers.auth-server.cppm-password-config.plaintext-value</t>
  </si>
  <si>
    <t>auth_server.cppm_password_config.plaintext_value; cppm_password_config.plaintext_value</t>
  </si>
  <si>
    <t>bgp.profile.router.disable</t>
  </si>
  <si>
    <t>aruba-bgp:bgp.profile.router.disable</t>
  </si>
  <si>
    <t>profile.router.disable; router.disable</t>
  </si>
  <si>
    <t>vxlan.profile.vni.symmetric-routing</t>
  </si>
  <si>
    <t>aruba-interface-vxlan:vxlan.profile.vni.symmetric-routing</t>
  </si>
  <si>
    <t>vxlan.profile.vni.vrf</t>
  </si>
  <si>
    <t>aruba-interface-vxlan:vxlan.profile.vni.vrf</t>
  </si>
  <si>
    <t>ethernet-interfaces.interface.policy.ipv4-access-list-in</t>
  </si>
  <si>
    <t>aruba-interface-ethernet:ethernet-interfaces.interface.policy.ipv4-access-list-in</t>
  </si>
  <si>
    <t>aruba-firmware-management</t>
  </si>
  <si>
    <t>device-firmware.site-distribution</t>
  </si>
  <si>
    <t>aruba-firmware-management:device-firmware.site-distribution</t>
  </si>
  <si>
    <t>bgp.profile.router.neighbor.afi-safi.l2vpn-evpn.send-community.send-community-enable</t>
  </si>
  <si>
    <t>aruba-bgp:bgp.profile.router.neighbor.afi-safi.l2vpn-evpn.send-community.send-community-enable</t>
  </si>
  <si>
    <t>profile.router.neighbor.afi_safi.l2vpn_evpn.send_community.send_community_enable; router.neighbor.afi_safi.l2vpn_evpn.send_community.send_community_enable</t>
  </si>
  <si>
    <t>bgp.profile.router.neighbor.afi-safi.l2vpn-evpn.send-community.type</t>
  </si>
  <si>
    <t>aruba-bgp:bgp.profile.router.neighbor.afi-safi.l2vpn-evpn.send-community.type</t>
  </si>
  <si>
    <t>profile.router.neighbor.afi_safi.l2vpn_evpn.send_community.type; router.neighbor.afi_safi.l2vpn_evpn.send_community.type</t>
  </si>
  <si>
    <t>evpn.profile.evpn-global.vlan.redistribute-host-route</t>
  </si>
  <si>
    <t>aruba-evpn:evpn.profile.evpn-global.vlan.redistribute-host-route</t>
  </si>
  <si>
    <t>evpn_global.vlan.redistribute_host_route; profile.evpn_global.vlan.redistribute_host_route</t>
  </si>
  <si>
    <t>object-groups.group.items.ipv4-subnet-address</t>
  </si>
  <si>
    <t>aruba-object-group:object-groups.group.items.ipv4-subnet-address</t>
  </si>
  <si>
    <t>ethernet-interfaces.interface.qos.broadcast-rate-limit.packet-rate</t>
  </si>
  <si>
    <t>aruba-interface-ethernet:ethernet-interfaces.interface.qos.broadcast-rate-limit.packet-rate</t>
  </si>
  <si>
    <t>interface.qos.broadcast_rate_limit.packet_rate; qos.broadcast_rate_limit.packet_rate</t>
  </si>
  <si>
    <t>portchannels.interface.loop-protect.action</t>
  </si>
  <si>
    <t>aruba-interface-portchannel:portchannels.interface.loop-protect.action</t>
  </si>
  <si>
    <t>bgp.profile.router.global-afi-safi.global-l2vpn-evpn.redistribute.route-type</t>
  </si>
  <si>
    <t>aruba-bgp:bgp.profile.router.global-afi-safi.global-l2vpn-evpn.redistribute.route-type</t>
  </si>
  <si>
    <t>already in progress</t>
  </si>
  <si>
    <t>profile.router.global_afi_safi.global_ipv4_unicast.redistribute.route_type; profile.router.global_afi_safi.global_ipv6_unicast.redistribute.route_type; router.global_afi_safi.global_ipv4_unicast.redistribute.route_type; router.global_afi_safi.global_ipv6_unicast.redistribute.route_type</t>
  </si>
  <si>
    <t>bgp.profile.router.neighbor.description</t>
  </si>
  <si>
    <t>aruba-bgp:bgp.profile.router.neighbor.description</t>
  </si>
  <si>
    <t>profile.router.neighbor.description; router.neighbor.description</t>
  </si>
  <si>
    <t>bgp.profile.router.peer-group.fall-over</t>
  </si>
  <si>
    <t>aruba-bgp:bgp.profile.router.peer-group.fall-over</t>
  </si>
  <si>
    <t>profile.router.peer_group.fall_over; router.peer_group.fall_over</t>
  </si>
  <si>
    <t>qos-dscp.profile.dscp-map.cos</t>
  </si>
  <si>
    <t>aruba-qos-dscp:qos-dscp.profile.dscp-map.cos</t>
  </si>
  <si>
    <t>local-management.profile.telnet-server.vrf</t>
  </si>
  <si>
    <t>aruba-local-management:local-management.profile.telnet-server.vrf</t>
  </si>
  <si>
    <t>ospfv2.profile.routers.areas.ether-interfaces.network</t>
  </si>
  <si>
    <t>aruba-ospfv2:ospfv2.profile.routers.areas.ether-interfaces.network</t>
  </si>
  <si>
    <t>profile.routers.areas.ether_interfaces.network; routers.areas.ether_interfaces.network</t>
  </si>
  <si>
    <t>roles.role.session-parameters.device-traffic-class</t>
  </si>
  <si>
    <t>aruba-role:roles.role.session-parameters.device-traffic-class</t>
  </si>
  <si>
    <t>snmp.profile.snmp-response-source.vlan-interface</t>
  </si>
  <si>
    <t>aruba-snmp:snmp.profile.snmp-response-source.vlan-interface</t>
  </si>
  <si>
    <t>logging.profile.filter.entry.action</t>
  </si>
  <si>
    <t>aruba-logging:logging.profile.filter.entry.action</t>
  </si>
  <si>
    <t>logging.profile.filter.entry.sequence-number</t>
  </si>
  <si>
    <t>aruba-logging:logging.profile.filter.entry.sequence-number</t>
  </si>
  <si>
    <t>ethernet-interfaces.interface.pim-sparse.enable</t>
  </si>
  <si>
    <t>aruba-interface-ethernet:ethernet-interfaces.interface.pim-sparse.enable</t>
  </si>
  <si>
    <t>ethernet-interfaces.interface.port-security.macs</t>
  </si>
  <si>
    <t>aruba-interface-ethernet:ethernet-interfaces.interface.port-security.macs</t>
  </si>
  <si>
    <t>interface.port_security.macs; port_security.macs</t>
  </si>
  <si>
    <t>ethernet-interfaces.interface.stp.rpvst-filter</t>
  </si>
  <si>
    <t>aruba-interface-ethernet:ethernet-interfaces.interface.stp.rpvst-filter</t>
  </si>
  <si>
    <t>interface.stp.rpvst_filter; stp.rpvst_filter</t>
  </si>
  <si>
    <t>snmp.profile.auth-security-level</t>
  </si>
  <si>
    <t>aruba-snmp:snmp.profile.auth-security-level</t>
  </si>
  <si>
    <t>auth-servers.auth-server.auth-port</t>
  </si>
  <si>
    <t>aruba-auth-server:auth-servers.auth-server.auth-port</t>
  </si>
  <si>
    <t>auth_port; auth_server.auth_port</t>
  </si>
  <si>
    <t>layer2-vlan.l2-vlan.private-vlan-type</t>
  </si>
  <si>
    <t>aruba-vlan:layer2-vlan.l2-vlan.private-vlan-type</t>
  </si>
  <si>
    <t>bgp.profile.router.neighbor.afi-safi.ipv4-unicast.inbound-soft-reconfiguration</t>
  </si>
  <si>
    <t>aruba-bgp:bgp.profile.router.neighbor.afi-safi.ipv4-unicast.inbound-soft-reconfiguration</t>
  </si>
  <si>
    <t>profile.router.neighbor.afi_safi.ipv4_unicast.inbound_soft_reconfiguration; router.neighbor.afi_safi.ipv4_unicast.inbound_soft_reconfiguration</t>
  </si>
  <si>
    <t>lldp.profile.disable</t>
  </si>
  <si>
    <t>aruba-lldp:lldp.profile.disable</t>
  </si>
  <si>
    <t>stp.profile.rpvst-auto-priority</t>
  </si>
  <si>
    <t>aruba-stp:stp.profile.rpvst-auto-priority</t>
  </si>
  <si>
    <t>profile.rpvst_auto_priority; rpvst_auto_priority</t>
  </si>
  <si>
    <t>aruba-copp</t>
  </si>
  <si>
    <t>copp.profile.name</t>
  </si>
  <si>
    <t>aruba-copp:copp.profile.name</t>
  </si>
  <si>
    <t>portchannels.interface.stp.tcn-guard</t>
  </si>
  <si>
    <t>aruba-interface-portchannel:portchannels.interface.stp.tcn-guard</t>
  </si>
  <si>
    <t>hardware-modules.hw-profile.member-or-slot-ids</t>
  </si>
  <si>
    <t>aruba-hardware-module-profile:hardware-modules.hw-profile.member-or-slot-ids</t>
  </si>
  <si>
    <t>snmp.profile.view.mask</t>
  </si>
  <si>
    <t>aruba-snmp:snmp.profile.view.mask</t>
  </si>
  <si>
    <t>snmp.profile.view.oid-tree</t>
  </si>
  <si>
    <t>aruba-snmp:snmp.profile.view.oid-tree</t>
  </si>
  <si>
    <t>snmp.profile.view.type</t>
  </si>
  <si>
    <t>aruba-snmp:snmp.profile.view.type</t>
  </si>
  <si>
    <t>snmp.profile.view.view-name</t>
  </si>
  <si>
    <t>aruba-snmp:snmp.profile.view.view-name</t>
  </si>
  <si>
    <t>snmp.profile.view.view-name-oid-tree-mask</t>
  </si>
  <si>
    <t>aruba-snmp:snmp.profile.view.view-name-oid-tree-mask</t>
  </si>
  <si>
    <t>vrrp.profile.virtual-router.address</t>
  </si>
  <si>
    <t>aruba-vrrp-interface:vrrp.profile.virtual-router.address</t>
  </si>
  <si>
    <t>profile.virtual_router.address; virtual_router.address</t>
  </si>
  <si>
    <t>device-certificates.device-certificate.subject.common-name</t>
  </si>
  <si>
    <t>aruba-device-certificate:device-certificates.device-certificate.subject.common-name</t>
  </si>
  <si>
    <t>aruba-dhcp-snooping-interface</t>
  </si>
  <si>
    <t>dhcp-snooping-interface.profile.name</t>
  </si>
  <si>
    <t>aruba-dhcp-snooping-interface:dhcp-snooping-interface.profile.name</t>
  </si>
  <si>
    <t>switch-system.profile.aaa.accounting.interim-update-onreauth-enable</t>
  </si>
  <si>
    <t>aruba-switch-system:switch-system.profile.aaa.accounting.interim-update-onreauth-enable</t>
  </si>
  <si>
    <t>evpn.profile.evpn-global.arp-suppression</t>
  </si>
  <si>
    <t>aruba-evpn:evpn.profile.evpn-global.arp-suppression</t>
  </si>
  <si>
    <t>evpn_global.arp_suppression; profile.evpn_global.arp_suppression</t>
  </si>
  <si>
    <t>policies.policy.security-policy.policy-rule.condition.destination.address-group</t>
  </si>
  <si>
    <t>aruba-policy:policies.policy.security-policy.policy-rule.condition.destination.address-group</t>
  </si>
  <si>
    <t>server-groups.server-group.attribute-profile.vsa.vendor</t>
  </si>
  <si>
    <t>aruba-auth-server-group:server-groups.server-group.attribute-profile.vsa.vendor</t>
  </si>
  <si>
    <t>attribute_profile.vsa.vendor; server_group.attribute_profile.vsa.vendor</t>
  </si>
  <si>
    <t>server-groups.server-group.attribute-profile.vsa.vsa-type</t>
  </si>
  <si>
    <t>aruba-auth-server-group:server-groups.server-group.attribute-profile.vsa.vsa-type</t>
  </si>
  <si>
    <t>attribute_profile.vsa.vsa_type; server_group.attribute_profile.vsa.vsa_type</t>
  </si>
  <si>
    <t>server-groups.server-group.attribute-profile.vsa.vsa-value</t>
  </si>
  <si>
    <t>aruba-auth-server-group:server-groups.server-group.attribute-profile.vsa.vsa-value</t>
  </si>
  <si>
    <t>attribute_profile.vsa.vsa_value; server_group.attribute_profile.vsa.vsa_value</t>
  </si>
  <si>
    <t>dhcp-snooping-interface.profile.dhcpv4-snooping.trust</t>
  </si>
  <si>
    <t>aruba-dhcp-snooping-interface:dhcp-snooping-interface.profile.dhcpv4-snooping.trust</t>
  </si>
  <si>
    <t>vlan-interfaces.interface.igmp.query-interval</t>
  </si>
  <si>
    <t>aruba-interface-vlan:vlan-interfaces.interface.igmp.query-interval</t>
  </si>
  <si>
    <t>igmp.query_interval; interface.igmp.query_interval</t>
  </si>
  <si>
    <t>dhcp-pool.profile.ipv4-pool.addl-range.addl-end-ipv4</t>
  </si>
  <si>
    <t>aruba-dhcp-pool:dhcp-pool.profile.ipv4-pool.addl-range.addl-end-ipv4</t>
  </si>
  <si>
    <t>dhcp-pool.profile.ipv4-pool.addl-range.addl-start-ipv4</t>
  </si>
  <si>
    <t>aruba-dhcp-pool:dhcp-pool.profile.ipv4-pool.addl-range.addl-start-ipv4</t>
  </si>
  <si>
    <t>dhcp-pool.profile.ipv4-pool.addl-range.addl-start-ipv4-addl-end-ipv4</t>
  </si>
  <si>
    <t>aruba-dhcp-pool:dhcp-pool.profile.ipv4-pool.addl-range.addl-start-ipv4-addl-end-ipv4</t>
  </si>
  <si>
    <t>ipv4_pool.addl_range.addl_start_ipv4_addl_end_ipv4; profile.ipv4_pool.addl_range.addl_start_ipv4_addl_end_ipv4</t>
  </si>
  <si>
    <t>auth-servers.auth-server.authentication-type</t>
  </si>
  <si>
    <t>aruba-auth-server:auth-servers.auth-server.authentication-type</t>
  </si>
  <si>
    <t>auth_server.authentication_type; authentication_type</t>
  </si>
  <si>
    <t>fault-monitor.profile.excessive-multicasts.auto-enable</t>
  </si>
  <si>
    <t>aruba-fault-monitor:fault-monitor.profile.excessive-multicasts.auto-enable</t>
  </si>
  <si>
    <t>excessive_multicasts.auto_enable; profile.excessive_multicasts.auto_enable</t>
  </si>
  <si>
    <t>qos-global.profile.dscp-map.name</t>
  </si>
  <si>
    <t>aruba-qos-global:qos-global.profile.dscp-map.name</t>
  </si>
  <si>
    <t>roles.role.vlan-parameters.trunk-allowed-vlan-names</t>
  </si>
  <si>
    <t>aruba-role:roles.role.vlan-parameters.trunk-allowed-vlan-names</t>
  </si>
  <si>
    <t>static-route.profile.ipv4.interface.svi</t>
  </si>
  <si>
    <t>aruba-static-route:static-route.profile.ipv4.interface.svi</t>
  </si>
  <si>
    <t>ipv4.interface.svi; profile.ipv4.interface.svi</t>
  </si>
  <si>
    <t>stacks.stack.members.hw-profile</t>
  </si>
  <si>
    <t>aruba-switch-stack:stacks.stack.members.hw-profile</t>
  </si>
  <si>
    <t>aruba-app-recog-control</t>
  </si>
  <si>
    <t>arc.profile.name</t>
  </si>
  <si>
    <t>aruba-app-recog-control:arc.profile.name</t>
  </si>
  <si>
    <t>auth-server-global-config.profile.tracking-retries</t>
  </si>
  <si>
    <t>aruba-auth-server-global:auth-server-global-config.profile.tracking-retries</t>
  </si>
  <si>
    <t>profile.tracking_retries; tracking_retries</t>
  </si>
  <si>
    <t>dhcp-relay.profile.ipv4.l2vpn-clients</t>
  </si>
  <si>
    <t>aruba-dhcp-relay:dhcp-relay.profile.ipv4.l2vpn-clients</t>
  </si>
  <si>
    <t>ipv4.l2vpn_clients; profile.ipv4.l2vpn_clients</t>
  </si>
  <si>
    <t>fault-monitor.profile.link-flap.auto-enable</t>
  </si>
  <si>
    <t>aruba-fault-monitor:fault-monitor.profile.link-flap.auto-enable</t>
  </si>
  <si>
    <t>link_flap.auto_enable; profile.link_flap.auto_enable</t>
  </si>
  <si>
    <t>copp.profile.copp-policy.configured-copp-policy-entries.class</t>
  </si>
  <si>
    <t>aruba-copp:copp.profile.copp-policy.configured-copp-policy-entries.class</t>
  </si>
  <si>
    <t>copp.profile.copp-policy.configured-copp-policy-entries.priority</t>
  </si>
  <si>
    <t>aruba-copp:copp.profile.copp-policy.configured-copp-policy-entries.priority</t>
  </si>
  <si>
    <t>job-scheduler.schedule.job.description</t>
  </si>
  <si>
    <t>aruba-job-scheduler:job-scheduler.schedule.job.description</t>
  </si>
  <si>
    <t>roles.role.session-parameters.cached-reauth-period</t>
  </si>
  <si>
    <t>aruba-role:roles.role.session-parameters.cached-reauth-period</t>
  </si>
  <si>
    <t>session_parameters.cached_reauth_period</t>
  </si>
  <si>
    <t>policies.policy.security-policy.policy-rule.condition.source.network-address.network-ipv6-address</t>
  </si>
  <si>
    <t>aruba-policy:policies.policy.security-policy.policy-rule.condition.source.network-address.network-ipv6-address</t>
  </si>
  <si>
    <t>policy.security_policy.policy_rule.condition.source.network_address.network_ipv6_address; security_policy.policy_rule.condition.source.network_address.network_ipv6_address</t>
  </si>
  <si>
    <t>sw-port-profiles.profile.switchport.native-vlan</t>
  </si>
  <si>
    <t>aruba-sw-port-profile:sw-port-profiles.profile.switchport.native-vlan</t>
  </si>
  <si>
    <t>profile.switchport.native_vlan; switchport.native_vlan</t>
  </si>
  <si>
    <t>ospfv2.profile.routers.areas.ether-interfaces.passive</t>
  </si>
  <si>
    <t>aruba-ospfv2:ospfv2.profile.routers.areas.ether-interfaces.passive</t>
  </si>
  <si>
    <t>profile.routers.areas.ether_interfaces.passive; routers.areas.ether_interfaces.passive</t>
  </si>
  <si>
    <t>static-route.profile.ipv4.nullroute</t>
  </si>
  <si>
    <t>aruba-static-route:static-route.profile.ipv4.nullroute</t>
  </si>
  <si>
    <t>ipv4.nullroute; profile.ipv4.nullroute</t>
  </si>
  <si>
    <t>dot1xauth.profile.eapol-max-requests</t>
  </si>
  <si>
    <t>aruba-aaa-dot1xauth:dot1xauth.profile.eapol-max-requests</t>
  </si>
  <si>
    <t>eapol_max_requests</t>
  </si>
  <si>
    <t>aaa-profile.profile.authorization.radius-override-enable</t>
  </si>
  <si>
    <t>aruba-aaa-profile:aaa-profile.profile.authorization.radius-override-enable</t>
  </si>
  <si>
    <t>authorization.radius_override_enable; profile.authorization.radius_override_enable</t>
  </si>
  <si>
    <t>ethernet-interfaces.interface.aaa.authorization.radius-override-enable</t>
  </si>
  <si>
    <t>aruba-interface-ethernet:ethernet-interfaces.interface.aaa.authorization.radius-override-enable</t>
  </si>
  <si>
    <t>aaa.authorization.radius_override_enable; interface.aaa.authorization.radius_override_enable</t>
  </si>
  <si>
    <t>vlan-interfaces.interface.active-forwarding</t>
  </si>
  <si>
    <t>aruba-interface-vlan:vlan-interfaces.interface.active-forwarding</t>
  </si>
  <si>
    <t>ip-icmp-tcp.profile.ip-icmp.unreachable</t>
  </si>
  <si>
    <t>aruba-ip-icmp-tcp:ip-icmp-tcp.profile.ip-icmp.unreachable</t>
  </si>
  <si>
    <t>local-management.profile.password-complexity.enable</t>
  </si>
  <si>
    <t>aruba-local-management:local-management.profile.password-complexity.enable</t>
  </si>
  <si>
    <t>authentication.enable; console.enable; profile.authentication.enable; profile.console.enable; profile.ssh_server_global_configs.enable; profile.webservers.enable; ssh_server_global_configs.enable; webservers.enable</t>
  </si>
  <si>
    <t>policies.policy.security-policy.policy-rule.condition.transport-fields.established</t>
  </si>
  <si>
    <t>aruba-policy:policies.policy.security-policy.policy-rule.condition.transport-fields.established</t>
  </si>
  <si>
    <t>policy.security_policy.policy_rule.condition.transport_fields.established; security_policy.policy_rule.condition.transport_fields.established</t>
  </si>
  <si>
    <t>vrfs.vrf.ipv6-access-list</t>
  </si>
  <si>
    <t>aruba-vrf:vrfs.vrf.ipv6-access-list</t>
  </si>
  <si>
    <t>dot1xauth.profile.max-retries</t>
  </si>
  <si>
    <t>aruba-aaa-dot1xauth:dot1xauth.profile.max-retries</t>
  </si>
  <si>
    <t>max_retries</t>
  </si>
  <si>
    <t>dhcp-snooping.profile.ipv4.option-82.untrust-policy</t>
  </si>
  <si>
    <t>aruba-dhcp-snooping:dhcp-snooping.profile.ipv4.option-82.untrust-policy</t>
  </si>
  <si>
    <t>ipv4.option_82.untrust_policy; profile.ipv4.option_82.untrust_policy</t>
  </si>
  <si>
    <t>ethernet-interfaces.interface.aaa.security-violation.recovery-timer</t>
  </si>
  <si>
    <t>aruba-interface-ethernet:ethernet-interfaces.interface.aaa.security-violation.recovery-timer</t>
  </si>
  <si>
    <t>aaa.security_violation.recovery_timer; interface.aaa.security_violation.recovery_timer</t>
  </si>
  <si>
    <t>ethernet-interfaces.interface.igmp-snooping-eth.fast-leave-vlan</t>
  </si>
  <si>
    <t>aruba-interface-ethernet:ethernet-interfaces.interface.igmp-snooping-eth.fast-leave-vlan</t>
  </si>
  <si>
    <t>ethernet-interfaces.interface.udld.mode.compatibility-mode</t>
  </si>
  <si>
    <t>aruba-interface-ethernet:ethernet-interfaces.interface.udld.mode.compatibility-mode</t>
  </si>
  <si>
    <t>interface.udld.mode.compatibility_mode; udld.mode.compatibility_mode</t>
  </si>
  <si>
    <t>aruba-nexthop-group</t>
  </si>
  <si>
    <t>nexthop-groups.group.name</t>
  </si>
  <si>
    <t>aruba-nexthop-group:nexthop-groups.group.name</t>
  </si>
  <si>
    <t>lldp.profile.management-ip-address</t>
  </si>
  <si>
    <t>aruba-lldp:lldp.profile.management-ip-address</t>
  </si>
  <si>
    <t>dot1xauth.profile.eapol-timeout</t>
  </si>
  <si>
    <t>aruba-aaa-dot1xauth:dot1xauth.profile.eapol-timeout</t>
  </si>
  <si>
    <t>eapol_timeout</t>
  </si>
  <si>
    <t>auth-servers.auth-server.replay-protection</t>
  </si>
  <si>
    <t>aruba-auth-server:auth-servers.auth-server.replay-protection</t>
  </si>
  <si>
    <t>fault-monitor.profile.excessive-crc-errors.action</t>
  </si>
  <si>
    <t>aruba-fault-monitor:fault-monitor.profile.excessive-crc-errors.action</t>
  </si>
  <si>
    <t>excessive_crc_errors.action; profile.excessive_crc_errors.action</t>
  </si>
  <si>
    <t>vlan-interfaces.interface.ipv6-neighbor-discovery.router-advertisement.default-prefix.default</t>
  </si>
  <si>
    <t>aruba-interface-vlan:vlan-interfaces.interface.ipv6-neighbor-discovery.router-advertisement.default-prefix.default</t>
  </si>
  <si>
    <t>nexthop-groups.group.nexthops.index</t>
  </si>
  <si>
    <t>aruba-nexthop-group:nexthop-groups.group.nexthops.index</t>
  </si>
  <si>
    <t>nexthop-groups.group.nexthops.ip</t>
  </si>
  <si>
    <t>aruba-nexthop-group:nexthop-groups.group.nexthops.ip</t>
  </si>
  <si>
    <t>nexthop-groups.group.nexthops.type</t>
  </si>
  <si>
    <t>aruba-nexthop-group:nexthop-groups.group.nexthops.type</t>
  </si>
  <si>
    <t>local-management.profile.authorization.failthrough</t>
  </si>
  <si>
    <t>aruba-local-management:local-management.profile.authorization.failthrough</t>
  </si>
  <si>
    <t>CNX-184559</t>
  </si>
  <si>
    <t>ethernet-interfaces.interface.qos.unknown-unicast-rate-limit.bit-rate</t>
  </si>
  <si>
    <t>aruba-interface-ethernet:ethernet-interfaces.interface.qos.unknown-unicast-rate-limit.bit-rate</t>
  </si>
  <si>
    <t>interface.qos.unknown_unicast_rate_limit.bit_rate; qos.unknown_unicast_rate_limit.bit_rate</t>
  </si>
  <si>
    <t>vlan-interfaces.interface.ipv6-neighbor-discovery.router-advertisement.default-prefix.advertise</t>
  </si>
  <si>
    <t>aruba-interface-vlan:vlan-interfaces.interface.ipv6-neighbor-discovery.router-advertisement.default-prefix.advertise</t>
  </si>
  <si>
    <t>aruba-ipfix-flow-exporter</t>
  </si>
  <si>
    <t>ipfix-flow-exporter.exporters.name</t>
  </si>
  <si>
    <t>aruba-ipfix-flow-exporter:ipfix-flow-exporter.exporters.name</t>
  </si>
  <si>
    <t>logging.profile.filter.enable</t>
  </si>
  <si>
    <t>aruba-logging:logging.profile.filter.enable</t>
  </si>
  <si>
    <t>switch-system.profile.loop-protect.transmit-interval</t>
  </si>
  <si>
    <t>aruba-switch-system:switch-system.profile.loop-protect.transmit-interval</t>
  </si>
  <si>
    <t>loop_protect.transmit_interval; profile.loop_protect.transmit_interval</t>
  </si>
  <si>
    <t>ethernet-interfaces.interface.qos.broadcast-rate-limit.percentage</t>
  </si>
  <si>
    <t>aruba-interface-ethernet:ethernet-interfaces.interface.qos.broadcast-rate-limit.percentage</t>
  </si>
  <si>
    <t>interface.qos.broadcast_rate_limit.percentage; qos.broadcast_rate_limit.percentage</t>
  </si>
  <si>
    <t>aruba-ipfix-flow-monitor</t>
  </si>
  <si>
    <t>ipfix-flow-monitor.monitors.name</t>
  </si>
  <si>
    <t>aruba-ipfix-flow-monitor:ipfix-flow-monitor.monitors.name</t>
  </si>
  <si>
    <t>local-management.profile.password-complexity.minimum-length</t>
  </si>
  <si>
    <t>aruba-local-management:local-management.profile.password-complexity.minimum-length</t>
  </si>
  <si>
    <t>prefix-lists.prefix-list.prefix-list-entry.match-min</t>
  </si>
  <si>
    <t>aruba-prefix-list:prefix-lists.prefix-list.prefix-list-entry.match-min</t>
  </si>
  <si>
    <t>prefix_list.prefix_list_entry.match_min; prefix_list_entry.match_min</t>
  </si>
  <si>
    <t>bgp.profile.router.neighbor.afi-safi.ipv4-unicast.next-hop-self</t>
  </si>
  <si>
    <t>aruba-bgp:bgp.profile.router.neighbor.afi-safi.ipv4-unicast.next-hop-self</t>
  </si>
  <si>
    <t>profile.router.neighbor.afi_safi.ipv4_unicast.next_hop_self; router.neighbor.afi_safi.ipv4_unicast.next_hop_self</t>
  </si>
  <si>
    <t>ethernet-interfaces.interface.poe.pd-class-override</t>
  </si>
  <si>
    <t>aruba-interface-ethernet:ethernet-interfaces.interface.poe.pd-class-override</t>
  </si>
  <si>
    <t>ethernet-interfaces.interface.qos.icmp-rate-limit.icmp-traffic-type</t>
  </si>
  <si>
    <t>aruba-interface-ethernet:ethernet-interfaces.interface.qos.icmp-rate-limit.icmp-traffic-type</t>
  </si>
  <si>
    <t>interface.qos.icmp_rate_limit.icmp_traffic_type; qos.icmp_rate_limit.icmp_traffic_type</t>
  </si>
  <si>
    <t>portchannels.interface.qos.multicast-rate-limit.rate-type</t>
  </si>
  <si>
    <t>aruba-interface-portchannel:portchannels.interface.qos.multicast-rate-limit.rate-type</t>
  </si>
  <si>
    <t>aruba-interface-tunnel</t>
  </si>
  <si>
    <t>tunnel.interface.id</t>
  </si>
  <si>
    <t>aruba-interface-tunnel:tunnel.interface.id</t>
  </si>
  <si>
    <t>ipfix-flow-monitor.monitors.record</t>
  </si>
  <si>
    <t>aruba-ipfix-flow-monitor:ipfix-flow-monitor.monitors.record</t>
  </si>
  <si>
    <t>aruba-ipfix-flow-record</t>
  </si>
  <si>
    <t>ipfix-flow-record.records.collect.counter-bytes</t>
  </si>
  <si>
    <t>aruba-ipfix-flow-record:ipfix-flow-record.records.collect.counter-bytes</t>
  </si>
  <si>
    <t>ipfix-flow-record.records.match.ipv4-source-address</t>
  </si>
  <si>
    <t>aruba-ipfix-flow-record:ipfix-flow-record.records.match.ipv4-source-address</t>
  </si>
  <si>
    <t>ipfix-flow-record.records.match.transport-destination-port</t>
  </si>
  <si>
    <t>aruba-ipfix-flow-record:ipfix-flow-record.records.match.transport-destination-port</t>
  </si>
  <si>
    <t>ipfix-flow-record.records.match.transport-source-port</t>
  </si>
  <si>
    <t>aruba-ipfix-flow-record:ipfix-flow-record.records.match.transport-source-port</t>
  </si>
  <si>
    <t>ipfix-flow-record.records.name</t>
  </si>
  <si>
    <t>aruba-ipfix-flow-record:ipfix-flow-record.records.name</t>
  </si>
  <si>
    <t>ipfix-flow-monitor.monitors.exporter.exporter-name</t>
  </si>
  <si>
    <t>aruba-ipfix-flow-monitor:ipfix-flow-monitor.monitors.exporter.exporter-name</t>
  </si>
  <si>
    <t>ipfix-flow-record.records.match.ipv4-version</t>
  </si>
  <si>
    <t>aruba-ipfix-flow-record:ipfix-flow-record.records.match.ipv4-version</t>
  </si>
  <si>
    <t>logging.profile.module.severity</t>
  </si>
  <si>
    <t>aruba-logging:logging.profile.module.severity</t>
  </si>
  <si>
    <t>policies.policy.security-policy.policy-rule.condition</t>
  </si>
  <si>
    <t>aruba-policy:policies.policy.security-policy.policy-rule.condition</t>
  </si>
  <si>
    <t>policy.security_policy.policy_rule.condition; security_policy.policy_rule.condition</t>
  </si>
  <si>
    <t>dhcp-relay.profile.ipv4.enable</t>
  </si>
  <si>
    <t>aruba-dhcp-relay:dhcp-relay.profile.ipv4.enable</t>
  </si>
  <si>
    <t>ethernet-interfaces.interface.qos.multicast-rate-limit.packet-rate</t>
  </si>
  <si>
    <t>aruba-interface-ethernet:ethernet-interfaces.interface.qos.multicast-rate-limit.packet-rate</t>
  </si>
  <si>
    <t>interface.qos.multicast_rate_limit.packet_rate; qos.multicast_rate_limit.packet_rate</t>
  </si>
  <si>
    <t>ipfix-flow-record.records.match.ipv4-destination-address</t>
  </si>
  <si>
    <t>aruba-ipfix-flow-record:ipfix-flow-record.records.match.ipv4-destination-address</t>
  </si>
  <si>
    <t>ipfix-flow-record.records.match.ipv4-protocol</t>
  </si>
  <si>
    <t>aruba-ipfix-flow-record:ipfix-flow-record.records.match.ipv4-protocol</t>
  </si>
  <si>
    <t>ipfix-flow-record.records.collect.counter-packets</t>
  </si>
  <si>
    <t>aruba-ipfix-flow-record:ipfix-flow-record.records.collect.counter-packets</t>
  </si>
  <si>
    <t>logging.profile.filter.entry.event-id-range</t>
  </si>
  <si>
    <t>aruba-logging:logging.profile.filter.entry.event-id-range</t>
  </si>
  <si>
    <t>layer2-vlan.l2-vlan.private-vlan-association</t>
  </si>
  <si>
    <t>aruba-vlan:layer2-vlan.l2-vlan.private-vlan-association</t>
  </si>
  <si>
    <t>dot1xauth.profile.cached-reauth-period</t>
  </si>
  <si>
    <t>aruba-aaa-dot1xauth:dot1xauth.profile.cached-reauth-period</t>
  </si>
  <si>
    <t>cached_reauth_period</t>
  </si>
  <si>
    <t>macauth.profile.cached-reauth-period</t>
  </si>
  <si>
    <t>aruba-aaa-macauth:macauth.profile.cached-reauth-period</t>
  </si>
  <si>
    <t>aaa-profile.profile.authentication.device-profile-secure</t>
  </si>
  <si>
    <t>aruba-aaa-profile:aaa-profile.profile.authentication.device-profile-secure</t>
  </si>
  <si>
    <t>authentication.device_profile_secure; profile.authentication.device_profile_secure</t>
  </si>
  <si>
    <t>portchannels.interface.hashing</t>
  </si>
  <si>
    <t>aruba-interface-portchannel:portchannels.interface.hashing</t>
  </si>
  <si>
    <t>local-management.profile.login.user-lockout.session</t>
  </si>
  <si>
    <t>aruba-local-management:local-management.profile.login.user-lockout.session</t>
  </si>
  <si>
    <t>login.user_lockout.session; profile.login.user_lockout.session</t>
  </si>
  <si>
    <t>local-management.profile.login.user-lockout.threshold</t>
  </si>
  <si>
    <t>aruba-local-management:local-management.profile.login.user-lockout.threshold</t>
  </si>
  <si>
    <t>login.user_lockout.threshold; profile.login.user_lockout.threshold</t>
  </si>
  <si>
    <t>switch-system.profile.aaa.cached-critical-role.cache-replace-mode</t>
  </si>
  <si>
    <t>aruba-switch-system:switch-system.profile.aaa.cached-critical-role.cache-replace-mode</t>
  </si>
  <si>
    <t>CNX-183336</t>
  </si>
  <si>
    <t>dhcp-snooping.profile.ipv4.mac-verification</t>
  </si>
  <si>
    <t>aruba-dhcp-snooping:dhcp-snooping.profile.ipv4.mac-verification</t>
  </si>
  <si>
    <t>ipv4.mac_verification; profile.ipv4.mac_verification</t>
  </si>
  <si>
    <t>ethernet-interfaces.interface.aaa.authentication.device-profile-secure</t>
  </si>
  <si>
    <t>aruba-interface-ethernet:ethernet-interfaces.interface.aaa.authentication.device-profile-secure</t>
  </si>
  <si>
    <t>aaa.authentication.device_profile_secure; interface.aaa.authentication.device_profile_secure</t>
  </si>
  <si>
    <t>ethernet-interfaces.interface.dhcpv6-snooping.trust</t>
  </si>
  <si>
    <t>aruba-interface-ethernet:ethernet-interfaces.interface.dhcpv6-snooping.trust</t>
  </si>
  <si>
    <t>dhcpv6_snooping.trust; interface.dhcpv6_snooping.trust</t>
  </si>
  <si>
    <t>aruba-flow-tracking</t>
  </si>
  <si>
    <t>flow-tracking.profile.name</t>
  </si>
  <si>
    <t>aruba-flow-tracking:flow-tracking.profile.name</t>
  </si>
  <si>
    <t>aruba-lacp</t>
  </si>
  <si>
    <t>lacp.hash</t>
  </si>
  <si>
    <t>aruba-lacp:lacp.hash</t>
  </si>
  <si>
    <t>local-management.profile.login.user-lockout.denylist-period</t>
  </si>
  <si>
    <t>aruba-local-management:local-management.profile.login.user-lockout.denylist-period</t>
  </si>
  <si>
    <t>login.user_lockout.denylist_period; profile.login.user_lockout.denylist_period</t>
  </si>
  <si>
    <t>ospfv2.profile.routers.areas.svi-interfaces.cost</t>
  </si>
  <si>
    <t>aruba-ospfv2:ospfv2.profile.routers.areas.svi-interfaces.cost</t>
  </si>
  <si>
    <t>profile.routers.areas.svi_interfaces.cost; routers.areas.svi_interfaces.cost</t>
  </si>
  <si>
    <t>roles.role.vlan-parameters.trunk-native-vlan-name</t>
  </si>
  <si>
    <t>aruba-role:roles.role.vlan-parameters.trunk-native-vlan-name</t>
  </si>
  <si>
    <t>switch-system.profile.fastboot</t>
  </si>
  <si>
    <t>aruba-switch-system:switch-system.profile.fastboot</t>
  </si>
  <si>
    <t>arc.profile.recog-types.dpi-enable</t>
  </si>
  <si>
    <t>aruba-app-recog-control:arc.profile.recog-types.dpi-enable</t>
  </si>
  <si>
    <t>profile.recog_types.dpi_enable; recog_types.dpi_enable</t>
  </si>
  <si>
    <t>bgp.profile.router.global-afi-safi.global-ipv6-unicast.redistribute.route-type</t>
  </si>
  <si>
    <t>aruba-bgp:bgp.profile.router.global-afi-safi.global-ipv6-unicast.redistribute.route-type</t>
  </si>
  <si>
    <t>profile.router.global_afi_safi.global_ipv6_unicast.redistribute.route_type; router.global_afi_safi.global_ipv6_unicast.redistribute.route_type</t>
  </si>
  <si>
    <t>tunnel.interface.ip-version</t>
  </si>
  <si>
    <t>aruba-interface-tunnel:tunnel.interface.ip-version</t>
  </si>
  <si>
    <t>interface.ip_version; ip_version</t>
  </si>
  <si>
    <t>tunnel.interface.mode</t>
  </si>
  <si>
    <t>aruba-interface-tunnel:tunnel.interface.mode</t>
  </si>
  <si>
    <t>interface.mode; mode</t>
  </si>
  <si>
    <t>aruba-ip-lockdown</t>
  </si>
  <si>
    <t>ip-source-lockdown.profile.ip-source-lockdown-resource-extended</t>
  </si>
  <si>
    <t>aruba-ip-lockdown:ip-source-lockdown.profile.ip-source-lockdown-resource-extended</t>
  </si>
  <si>
    <t>ip-source-lockdown.profile.name</t>
  </si>
  <si>
    <t>aruba-ip-lockdown:ip-source-lockdown.profile.name</t>
  </si>
  <si>
    <t>static-route.profile.ipv6.next-hop</t>
  </si>
  <si>
    <t>aruba-static-route:static-route.profile.ipv6.next-hop</t>
  </si>
  <si>
    <t>ipv6.next_hop; profile.ipv6.next_hop</t>
  </si>
  <si>
    <t>sw-port-profiles.profile.mtu</t>
  </si>
  <si>
    <t>aruba-sw-port-profile:sw-port-profiles.profile.mtu</t>
  </si>
  <si>
    <t>mtu; profile.mtu</t>
  </si>
  <si>
    <t>ethernet-interfaces.interface.sflow.enable</t>
  </si>
  <si>
    <t>aruba-interface-ethernet:ethernet-interfaces.interface.sflow.enable</t>
  </si>
  <si>
    <t>tunnel.interface.dst</t>
  </si>
  <si>
    <t>aruba-interface-tunnel:tunnel.interface.dst</t>
  </si>
  <si>
    <t>dst; interface.dst</t>
  </si>
  <si>
    <t>ntp.profile.authenticate</t>
  </si>
  <si>
    <t>aruba-ntp:ntp.profile.authenticate</t>
  </si>
  <si>
    <t>auth-server-global-config.profile.shared-secret-config.plaintext-value</t>
  </si>
  <si>
    <t>aruba-auth-server-global:auth-server-global-config.profile.shared-secret-config.plaintext-value</t>
  </si>
  <si>
    <t>profile.shared_secret_config.plaintext_value; shared_secret_config.plaintext_value</t>
  </si>
  <si>
    <t>auth-servers.auth-server.acct-port</t>
  </si>
  <si>
    <t>aruba-auth-server:auth-servers.auth-server.acct-port</t>
  </si>
  <si>
    <t>acct_port; auth_server.acct_port</t>
  </si>
  <si>
    <t>dhcp-pool.profile.ipv4-pool.option.ascii</t>
  </si>
  <si>
    <t>aruba-dhcp-pool:dhcp-pool.profile.ipv4-pool.option.ascii</t>
  </si>
  <si>
    <t>ipv4_pool.option.ascii; profile.ipv4_pool.option.ascii</t>
  </si>
  <si>
    <t>portchannels.interface.stp.link-type</t>
  </si>
  <si>
    <t>aruba-interface-portchannel:portchannels.interface.stp.link-type</t>
  </si>
  <si>
    <t>portchannels.interface.stp.rpvst-filter</t>
  </si>
  <si>
    <t>aruba-interface-portchannel:portchannels.interface.stp.rpvst-filter</t>
  </si>
  <si>
    <t>auth-server-global-config.profile.authentication-type</t>
  </si>
  <si>
    <t>aruba-auth-server-global:auth-server-global-config.profile.authentication-type</t>
  </si>
  <si>
    <t>authentication_type; profile.authentication_type</t>
  </si>
  <si>
    <t>bgp.profile.router.peer-group.afi-safi.address-family</t>
  </si>
  <si>
    <t>aruba-bgp:bgp.profile.router.peer-group.afi-safi.address-family</t>
  </si>
  <si>
    <t>profile.router.peer_group.afi_safi.address_family; router.peer_group.afi_safi.address_family</t>
  </si>
  <si>
    <t>fault-monitor.profile.excessive-broadcasts.threshold-percent</t>
  </si>
  <si>
    <t>aruba-fault-monitor:fault-monitor.profile.excessive-broadcasts.threshold-percent</t>
  </si>
  <si>
    <t>vlan-interfaces.interface.ip-directed-broadcast-enable</t>
  </si>
  <si>
    <t>aruba-interface-vlan:vlan-interfaces.interface.ip-directed-broadcast-enable</t>
  </si>
  <si>
    <t>interface.ip_directed_broadcast_enable; ip_directed_broadcast_enable</t>
  </si>
  <si>
    <t>sw-port-profiles.profile.stp.root-guard</t>
  </si>
  <si>
    <t>aruba-sw-port-profile:sw-port-profiles.profile.stp.root-guard</t>
  </si>
  <si>
    <t>profile.stp.root_guard; stp.root_guard</t>
  </si>
  <si>
    <t>switch-system.profile.aaa.cached-critical-role.cache-timeout</t>
  </si>
  <si>
    <t>aruba-switch-system:switch-system.profile.aaa.cached-critical-role.cache-timeout</t>
  </si>
  <si>
    <t>aaa.cached_critical_role.cache_timeout; profile.aaa.cached_critical_role.cache_timeout</t>
  </si>
  <si>
    <t>fault-monitor.profile.excessive-tx-drops.action</t>
  </si>
  <si>
    <t>aruba-fault-monitor:fault-monitor.profile.excessive-tx-drops.action</t>
  </si>
  <si>
    <t>excessive_tx_drops.action; profile.excessive_tx_drops.action</t>
  </si>
  <si>
    <t>ethernet-interfaces.interface.dpi-enable</t>
  </si>
  <si>
    <t>aruba-interface-ethernet:ethernet-interfaces.interface.dpi-enable</t>
  </si>
  <si>
    <t>dpi_enable; interface.dpi_enable</t>
  </si>
  <si>
    <t>job-scheduler.schedule.frequency</t>
  </si>
  <si>
    <t>aruba-job-scheduler:job-scheduler.schedule.frequency</t>
  </si>
  <si>
    <t>job-scheduler.schedule.start-time-on</t>
  </si>
  <si>
    <t>aruba-job-scheduler:job-scheduler.schedule.start-time-on</t>
  </si>
  <si>
    <t>job-scheduler.schedule.trigger-on</t>
  </si>
  <si>
    <t>aruba-job-scheduler:job-scheduler.schedule.trigger-on</t>
  </si>
  <si>
    <t>job-scheduler.schedule.description</t>
  </si>
  <si>
    <t>aruba-job-scheduler:job-scheduler.schedule.description</t>
  </si>
  <si>
    <t>ipfix-flow-record.records.collect.timestamp-absolute-first</t>
  </si>
  <si>
    <t>aruba-ipfix-flow-record:ipfix-flow-record.records.collect.timestamp-absolute-first</t>
  </si>
  <si>
    <t>pim-router.profile.router.active-active</t>
  </si>
  <si>
    <t>aruba-pim:pim-router.profile.router.active-active</t>
  </si>
  <si>
    <t>router.active_active</t>
  </si>
  <si>
    <t>fault-monitor.profile.excessive-jabbers.action</t>
  </si>
  <si>
    <t>aruba-fault-monitor:fault-monitor.profile.excessive-jabbers.action</t>
  </si>
  <si>
    <t>excessive_jabbers.action; profile.excessive_jabbers.action</t>
  </si>
  <si>
    <t>ethernet-interfaces.interface.qos.icmp-rate-limit.rate-type</t>
  </si>
  <si>
    <t>aruba-interface-ethernet:ethernet-interfaces.interface.qos.icmp-rate-limit.rate-type</t>
  </si>
  <si>
    <t>interface.qos.icmp_rate_limit.rate_type; qos.icmp_rate_limit.rate_type</t>
  </si>
  <si>
    <t>devicefingerprinting-profile.profile.dhcp-options-list</t>
  </si>
  <si>
    <t>aruba-devicefingerprinting-profile:devicefingerprinting-profile.profile.dhcp-options-list</t>
  </si>
  <si>
    <t>ospfv2.profile.routers.areas.svi-interfaces.authentication</t>
  </si>
  <si>
    <t>aruba-ospfv2:ospfv2.profile.routers.areas.svi-interfaces.authentication</t>
  </si>
  <si>
    <t>profile.routers.areas.svi_interfaces.authentication; routers.areas.svi_interfaces.authentication</t>
  </si>
  <si>
    <t>vrrp.profile.virtual-router.priority</t>
  </si>
  <si>
    <t>aruba-vrrp-interface:vrrp.profile.virtual-router.priority</t>
  </si>
  <si>
    <t>profile.virtual_router.priority; virtual_router.priority</t>
  </si>
  <si>
    <t>macauth.profile.quiet-period</t>
  </si>
  <si>
    <t>aruba-aaa-macauth:macauth.profile.quiet-period</t>
  </si>
  <si>
    <t>quiet_period</t>
  </si>
  <si>
    <t>fault-monitor.profile.excessive-fragments.action</t>
  </si>
  <si>
    <t>aruba-fault-monitor:fault-monitor.profile.excessive-fragments.action</t>
  </si>
  <si>
    <t>excessive_fragments.action; profile.excessive_fragments.action</t>
  </si>
  <si>
    <t>ethernet-interfaces.interface.udld.mode.rfc5171-mode</t>
  </si>
  <si>
    <t>aruba-interface-ethernet:ethernet-interfaces.interface.udld.mode.rfc5171-mode</t>
  </si>
  <si>
    <t>interface.udld.mode.rfc5171_mode; udld.mode.rfc5171_mode</t>
  </si>
  <si>
    <t>portchannels.interface.qos.broadcast-rate-limit.bit-rate</t>
  </si>
  <si>
    <t>aruba-interface-portchannel:portchannels.interface.qos.broadcast-rate-limit.bit-rate</t>
  </si>
  <si>
    <t>ipfix-flow-record.records.collect.timestamp-absolute-last</t>
  </si>
  <si>
    <t>aruba-ipfix-flow-record:ipfix-flow-record.records.collect.timestamp-absolute-last</t>
  </si>
  <si>
    <t>flow-tracking.profile.enable</t>
  </si>
  <si>
    <t>aruba-flow-tracking:flow-tracking.profile.enable</t>
  </si>
  <si>
    <t>dot1xauth.profile.quiet-period</t>
  </si>
  <si>
    <t>aruba-aaa-dot1xauth:dot1xauth.profile.quiet-period</t>
  </si>
  <si>
    <t>sw-port-profiles.profile.udld.mode.rfc5171-mode</t>
  </si>
  <si>
    <t>aruba-sw-port-profile:sw-port-profiles.profile.udld.mode.rfc5171-mode</t>
  </si>
  <si>
    <t>profile.udld.mode.rfc5171_mode; udld.mode.rfc5171_mode</t>
  </si>
  <si>
    <t>fault-monitor.profile.excessive-crc-errors.auto-enable</t>
  </si>
  <si>
    <t>aruba-fault-monitor:fault-monitor.profile.excessive-crc-errors.auto-enable</t>
  </si>
  <si>
    <t>excessive_crc_errors.auto_enable; profile.excessive_crc_errors.auto_enable</t>
  </si>
  <si>
    <t>lldp.profile.lldp-trap-enable</t>
  </si>
  <si>
    <t>aruba-lldp:lldp.profile.lldp-trap-enable</t>
  </si>
  <si>
    <t>sw-port-profiles.profile.lldp.trap</t>
  </si>
  <si>
    <t>aruba-sw-port-profile:sw-port-profiles.profile.lldp.trap</t>
  </si>
  <si>
    <t>sw-port-profiles.profile.qos.dscp</t>
  </si>
  <si>
    <t>aruba-sw-port-profile:sw-port-profiles.profile.qos.dscp</t>
  </si>
  <si>
    <t>profile.qos.dscp; qos.dscp</t>
  </si>
  <si>
    <t>dot1xauth.profile.cached-reauth-enable</t>
  </si>
  <si>
    <t>aruba-aaa-dot1xauth:dot1xauth.profile.cached-reauth-enable</t>
  </si>
  <si>
    <t>cached_reauth_enable</t>
  </si>
  <si>
    <t>macauth.profile.cached-reauth-enable</t>
  </si>
  <si>
    <t>aruba-aaa-macauth:macauth.profile.cached-reauth-enable</t>
  </si>
  <si>
    <t>dhcp-pool.profile.ipv4-pool.static-binding-ipv4.hostname</t>
  </si>
  <si>
    <t>aruba-dhcp-pool:dhcp-pool.profile.ipv4-pool.static-binding-ipv4.hostname</t>
  </si>
  <si>
    <t>ipv4_pool.static_binding_ipv4.hostname; profile.ipv4_pool.static_binding_ipv4.hostname</t>
  </si>
  <si>
    <t>fault-monitor.profile.excessive-multicasts.threshold-units</t>
  </si>
  <si>
    <t>aruba-fault-monitor:fault-monitor.profile.excessive-multicasts.threshold-units</t>
  </si>
  <si>
    <t>sw-port-profiles.profile.stp.tcn-guard</t>
  </si>
  <si>
    <t>aruba-sw-port-profile:sw-port-profiles.profile.stp.tcn-guard</t>
  </si>
  <si>
    <t>profile.stp.tcn_guard; stp.tcn_guard</t>
  </si>
  <si>
    <t>aaa-profile.profile.authentication.bpdu-bypass.lldp</t>
  </si>
  <si>
    <t>aruba-aaa-profile:aaa-profile.profile.authentication.bpdu-bypass.lldp</t>
  </si>
  <si>
    <t>authentication.bpdu_bypass.lldp; profile.authentication.bpdu_bypass.lldp</t>
  </si>
  <si>
    <t>job-scheduler.schedule.start-date-on</t>
  </si>
  <si>
    <t>aruba-job-scheduler:job-scheduler.schedule.start-date-on</t>
  </si>
  <si>
    <t>ntp.profile.conductor.stratum</t>
  </si>
  <si>
    <t>aruba-ntp:ntp.profile.conductor.stratum</t>
  </si>
  <si>
    <t>ntp.profile.conductor.vrf</t>
  </si>
  <si>
    <t>aruba-ntp:ntp.profile.conductor.vrf</t>
  </si>
  <si>
    <t>switch-system.profile.mac-age-time</t>
  </si>
  <si>
    <t>aruba-switch-system:switch-system.profile.mac-age-time</t>
  </si>
  <si>
    <t>system-info.snmpv3-local-engine-id</t>
  </si>
  <si>
    <t>aruba-system-info:system-info.snmpv3-local-engine-id</t>
  </si>
  <si>
    <t>snmpv3_local_engine_id</t>
  </si>
  <si>
    <t>hardware-modules.hw-profile.always-on-poe</t>
  </si>
  <si>
    <t>aruba-hardware-module-profile:hardware-modules.hw-profile.always-on-poe</t>
  </si>
  <si>
    <t>local-management.profile.webservers.max-sessions-per-client</t>
  </si>
  <si>
    <t>aruba-local-management:local-management.profile.webservers.max-sessions-per-client</t>
  </si>
  <si>
    <t>bgp.profile.router.neighbor.afi-safi.l2vpn-evpn.route-reflector-client</t>
  </si>
  <si>
    <t>aruba-bgp:bgp.profile.router.neighbor.afi-safi.l2vpn-evpn.route-reflector-client</t>
  </si>
  <si>
    <t>profile.router.neighbor.afi_safi.l2vpn_evpn.route_reflector_client; router.neighbor.afi_safi.l2vpn_evpn.route_reflector_client</t>
  </si>
  <si>
    <t>fault-monitor.profile.excessive-oversize-packets.action</t>
  </si>
  <si>
    <t>aruba-fault-monitor:fault-monitor.profile.excessive-oversize-packets.action</t>
  </si>
  <si>
    <t>excessive_oversize_packets.action; profile.excessive_oversize_packets.action</t>
  </si>
  <si>
    <t>ethernet-interfaces.interface.split-port-enable</t>
  </si>
  <si>
    <t>aruba-interface-ethernet:ethernet-interfaces.interface.split-port-enable</t>
  </si>
  <si>
    <t>interface.split_port_enable; split_port_enable</t>
  </si>
  <si>
    <t>object-groups.group.items.ports.operator</t>
  </si>
  <si>
    <t>aruba-object-group:object-groups.group.items.ports.operator</t>
  </si>
  <si>
    <t>aruba-udp-broadcast-forwarder</t>
  </si>
  <si>
    <t>udp-broadcast-forwarders.profile.enable</t>
  </si>
  <si>
    <t>aruba-udp-broadcast-forwarder:udp-broadcast-forwarders.profile.enable</t>
  </si>
  <si>
    <t>udp-broadcast-forwarders.profile.name</t>
  </si>
  <si>
    <t>aruba-udp-broadcast-forwarder:udp-broadcast-forwarders.profile.name</t>
  </si>
  <si>
    <t>policies.policy.security-policy.policy-rule.condition.transport-fields.source-port.max</t>
  </si>
  <si>
    <t>aruba-policy:policies.policy.security-policy.policy-rule.condition.transport-fields.source-port.max</t>
  </si>
  <si>
    <t>switch-system.profile.gbp.enable</t>
  </si>
  <si>
    <t>aruba-switch-system:switch-system.profile.gbp.enable</t>
  </si>
  <si>
    <t>aaa.cached_critical_role.enable; aaa.dot1x_auth.enable; aaa.mac_auth.enable; dynamic_arp_inspection.enable; port_security.enable; profile.aaa.cached_critical_role.enable; profile.aaa.dot1x_auth.enable; profile.aaa.mac_auth.enable; profile.dynamic_arp_inspection.enable; profile.port_security.enable</t>
  </si>
  <si>
    <t>route-maps.route-map.route-map-entry.set-local-preference</t>
  </si>
  <si>
    <t>aruba-routemap:route-maps.route-map.route-map-entry.set-local-preference</t>
  </si>
  <si>
    <t>route_map.route_map_entry.set_local_preference; route_map_entry.set_local_preference</t>
  </si>
  <si>
    <t>fault-monitor.profile.excessive-collisions.action</t>
  </si>
  <si>
    <t>aruba-fault-monitor:fault-monitor.profile.excessive-collisions.action</t>
  </si>
  <si>
    <t>excessive_collisions.action; profile.excessive_collisions.action</t>
  </si>
  <si>
    <t>copp.profile.copp-policy.applied</t>
  </si>
  <si>
    <t>aruba-copp:copp.profile.copp-policy.applied</t>
  </si>
  <si>
    <t>ethernet-interfaces.interface.split-port-count</t>
  </si>
  <si>
    <t>aruba-interface-ethernet:ethernet-interfaces.interface.split-port-count</t>
  </si>
  <si>
    <t>interface.split_port_count; split_port_count</t>
  </si>
  <si>
    <t>ipfix-flow-record.records.collect.application-name</t>
  </si>
  <si>
    <t>aruba-ipfix-flow-record:ipfix-flow-record.records.collect.application-name</t>
  </si>
  <si>
    <t>dot1xauth.profile.reauth-enable</t>
  </si>
  <si>
    <t>aruba-aaa-dot1xauth:dot1xauth.profile.reauth-enable</t>
  </si>
  <si>
    <t>reauth_enable</t>
  </si>
  <si>
    <t>fault-monitor.profile.excessive-late-collisions.action</t>
  </si>
  <si>
    <t>aruba-fault-monitor:fault-monitor.profile.excessive-late-collisions.action</t>
  </si>
  <si>
    <t>excessive_late_collisions.action; profile.excessive_late_collisions.action</t>
  </si>
  <si>
    <t>ethernet-interfaces.interface.ipfix-flow-monitor-in.ipv4-monitor</t>
  </si>
  <si>
    <t>aruba-interface-ethernet:ethernet-interfaces.interface.ipfix-flow-monitor-in.ipv4-monitor</t>
  </si>
  <si>
    <t>ethernet-interfaces.interface.stp.cost</t>
  </si>
  <si>
    <t>aruba-interface-ethernet:ethernet-interfaces.interface.stp.cost</t>
  </si>
  <si>
    <t>interface.stp.cost; stp.cost</t>
  </si>
  <si>
    <t>qos-schedules.profile.min-bandwidths.minimum-bandwidth</t>
  </si>
  <si>
    <t>aruba-qos-schedule:qos-schedules.profile.min-bandwidths.minimum-bandwidth</t>
  </si>
  <si>
    <t>qos-schedules.profile.min-bandwidths.queue</t>
  </si>
  <si>
    <t>aruba-qos-schedule:qos-schedules.profile.min-bandwidths.queue</t>
  </si>
  <si>
    <t>aruba-named-vlan</t>
  </si>
  <si>
    <t>named-vlan.profile.name</t>
  </si>
  <si>
    <t>aruba-named-vlan:named-vlan.profile.name</t>
  </si>
  <si>
    <t>stp.profile.extend-system-id</t>
  </si>
  <si>
    <t>aruba-stp:stp.profile.extend-system-id</t>
  </si>
  <si>
    <t>extend_system_id; profile.extend_system_id</t>
  </si>
  <si>
    <t>ethernet-interfaces.interface.qos.multicast-rate-limit.percentage</t>
  </si>
  <si>
    <t>aruba-interface-ethernet:ethernet-interfaces.interface.qos.multicast-rate-limit.percentage</t>
  </si>
  <si>
    <t>interface.qos.multicast_rate_limit.percentage; qos.multicast_rate_limit.percentage</t>
  </si>
  <si>
    <t>tunnel.interface.vxlan.profile-name</t>
  </si>
  <si>
    <t>aruba-interface-tunnel:tunnel.interface.vxlan.profile-name</t>
  </si>
  <si>
    <t>tunnel.interface.vxlan.vni-list</t>
  </si>
  <si>
    <t>aruba-interface-tunnel:tunnel.interface.vxlan.vni-list</t>
  </si>
  <si>
    <t>vlan-interfaces.interface.pim-dense.enable</t>
  </si>
  <si>
    <t>aruba-interface-vlan:vlan-interfaces.interface.pim-dense.enable</t>
  </si>
  <si>
    <t>interface.pim_dense.enable; pim_dense.enable</t>
  </si>
  <si>
    <t>aruba-multicast-dns</t>
  </si>
  <si>
    <t>multicast-dns.profile.name</t>
  </si>
  <si>
    <t>aruba-multicast-dns:multicast-dns.profile.name</t>
  </si>
  <si>
    <t>pim-router.profile.router.candidate-rp.group-prefixes</t>
  </si>
  <si>
    <t>aruba-pim:pim-router.profile.router.candidate-rp.group-prefixes</t>
  </si>
  <si>
    <t>router.candidate_rp.group_prefixes</t>
  </si>
  <si>
    <t>pim-router.profile.router.candidate-rp.interface-type</t>
  </si>
  <si>
    <t>aruba-pim:pim-router.profile.router.candidate-rp.interface-type</t>
  </si>
  <si>
    <t>router.candidate_rp.interface_type</t>
  </si>
  <si>
    <t>macauth.profile.reauth-enable</t>
  </si>
  <si>
    <t>aruba-aaa-macauth:macauth.profile.reauth-enable</t>
  </si>
  <si>
    <t>fault-monitor.profile.excessive-tx-drops.auto-enable</t>
  </si>
  <si>
    <t>aruba-fault-monitor:fault-monitor.profile.excessive-tx-drops.auto-enable</t>
  </si>
  <si>
    <t>excessive_tx_drops.auto_enable; profile.excessive_tx_drops.auto_enable</t>
  </si>
  <si>
    <t>ethernet-interfaces.interface.poe.power-pairs</t>
  </si>
  <si>
    <t>aruba-interface-ethernet:ethernet-interfaces.interface.poe.power-pairs</t>
  </si>
  <si>
    <t>loopback-interfaces.interface.pim-sparse.enable</t>
  </si>
  <si>
    <t>aruba-interface-loopback:loopback-interfaces.interface.pim-sparse.enable</t>
  </si>
  <si>
    <t>qos-queues.profile.priority.cos</t>
  </si>
  <si>
    <t>aruba-qos-queue:qos-queues.profile.priority.cos</t>
  </si>
  <si>
    <t>bgp.profile.router.neighbor.afi-safi.ipv4-unicast.send-community.send-community-enable</t>
  </si>
  <si>
    <t>aruba-bgp:bgp.profile.router.neighbor.afi-safi.ipv4-unicast.send-community.send-community-enable</t>
  </si>
  <si>
    <t>profile.router.neighbor.afi_safi.ipv4_unicast.send_community.send_community_enable; router.neighbor.afi_safi.ipv4_unicast.send_community.send_community_enable</t>
  </si>
  <si>
    <t>bgp.profile.router.neighbor.afi-safi.ipv4-unicast.send-community.type</t>
  </si>
  <si>
    <t>aruba-bgp:bgp.profile.router.neighbor.afi-safi.ipv4-unicast.send-community.type</t>
  </si>
  <si>
    <t>profile.router.neighbor.afi_safi.ipv4_unicast.send_community.type; router.neighbor.afi_safi.ipv4_unicast.send_community.type</t>
  </si>
  <si>
    <t>logging.profile.console.min-severity</t>
  </si>
  <si>
    <t>aruba-logging:logging.profile.console.min-severity</t>
  </si>
  <si>
    <t>ethernet-interfaces.interface.energy-efficient</t>
  </si>
  <si>
    <t>aruba-interface-ethernet:ethernet-interfaces.interface.energy-efficient</t>
  </si>
  <si>
    <t>aruba-interface-vxlan-tunnel</t>
  </si>
  <si>
    <t>vxlan-tunnel.profile.name</t>
  </si>
  <si>
    <t>aruba-interface-vxlan-tunnel:vxlan-tunnel.profile.name</t>
  </si>
  <si>
    <t>layer2-vlan-range.policy-in</t>
  </si>
  <si>
    <t>aruba-vlan-range:layer2-vlan-range.policy-in</t>
  </si>
  <si>
    <t>switch-system.profile.policy-in</t>
  </si>
  <si>
    <t>aruba-switch-system:switch-system.profile.policy-in</t>
  </si>
  <si>
    <t>bgp.profile.router.neighbor.fall-over-bfd</t>
  </si>
  <si>
    <t>aruba-bgp:bgp.profile.router.neighbor.fall-over-bfd</t>
  </si>
  <si>
    <t>profile.router.neighbor.fall_over_bfd; router.neighbor.fall_over_bfd</t>
  </si>
  <si>
    <t>fault-monitor.profile.excessive-fragments.auto-enable</t>
  </si>
  <si>
    <t>aruba-fault-monitor:fault-monitor.profile.excessive-fragments.auto-enable</t>
  </si>
  <si>
    <t>excessive_fragments.auto_enable; profile.excessive_fragments.auto_enable</t>
  </si>
  <si>
    <t>fault-monitor.profile.excessive-jabbers.auto-enable</t>
  </si>
  <si>
    <t>aruba-fault-monitor:fault-monitor.profile.excessive-jabbers.auto-enable</t>
  </si>
  <si>
    <t>excessive_jabbers.auto_enable; profile.excessive_jabbers.auto_enable</t>
  </si>
  <si>
    <t>portchannels.interface.vrf-forwarding</t>
  </si>
  <si>
    <t>aruba-interface-portchannel:portchannels.interface.vrf-forwarding</t>
  </si>
  <si>
    <t>vlan-interfaces.interface.igmp.querier-enable</t>
  </si>
  <si>
    <t>aruba-interface-vlan:vlan-interfaces.interface.igmp.querier-enable</t>
  </si>
  <si>
    <t>igmp.querier_enable; interface.igmp.querier_enable</t>
  </si>
  <si>
    <t>ethernet-interfaces.interface.qos.icmp-rate-limit.bit-rate</t>
  </si>
  <si>
    <t>aruba-interface-ethernet:ethernet-interfaces.interface.qos.icmp-rate-limit.bit-rate</t>
  </si>
  <si>
    <t>interface.qos.icmp_rate_limit.bit_rate; qos.icmp_rate_limit.bit_rate</t>
  </si>
  <si>
    <t>portchannels.interface.stp.priority</t>
  </si>
  <si>
    <t>aruba-interface-portchannel:portchannels.interface.stp.priority</t>
  </si>
  <si>
    <t>device-certificates.device-certificate.subject.org</t>
  </si>
  <si>
    <t>aruba-device-certificate:device-certificates.device-certificate.subject.org</t>
  </si>
  <si>
    <t>aruba-interface-vni</t>
  </si>
  <si>
    <t>vxlan-vni.profile.name</t>
  </si>
  <si>
    <t>aruba-interface-vni:vxlan-vni.profile.name</t>
  </si>
  <si>
    <t>name; profile.name; profile.vni.name; vni.name</t>
  </si>
  <si>
    <t>vxlan-vni.profile.vni.id</t>
  </si>
  <si>
    <t>aruba-interface-vni:vxlan-vni.profile.vni.id</t>
  </si>
  <si>
    <t>profile.vni.id; vni.id</t>
  </si>
  <si>
    <t>vxlan-vni.profile.vni.vni-name</t>
  </si>
  <si>
    <t>aruba-interface-vni:vxlan-vni.profile.vni.vni-name</t>
  </si>
  <si>
    <t>profile.vni.vni_name; vni.vni_name</t>
  </si>
  <si>
    <t>vxlan-vni.profile.vxlan-tunnel-profile</t>
  </si>
  <si>
    <t>aruba-interface-vni:vxlan-vni.profile.vxlan-tunnel-profile</t>
  </si>
  <si>
    <t>profile.vxlan_tunnel_profile; vxlan_tunnel_profile</t>
  </si>
  <si>
    <t>vxlan-tunnel.profile.enable</t>
  </si>
  <si>
    <t>aruba-interface-vxlan-tunnel:vxlan-tunnel.profile.enable</t>
  </si>
  <si>
    <t>vxlan-tunnel.profile.src-ipv4</t>
  </si>
  <si>
    <t>aruba-interface-vxlan-tunnel:vxlan-tunnel.profile.src-ipv4</t>
  </si>
  <si>
    <t>profile.src_ipv4; src_ipv4</t>
  </si>
  <si>
    <t>aruba-mirror-endpoint</t>
  </si>
  <si>
    <t>mirror-endpoint.profile.endpoints.ep-name</t>
  </si>
  <si>
    <t>aruba-mirror-endpoint:mirror-endpoint.profile.endpoints.ep-name</t>
  </si>
  <si>
    <t>mirror-endpoint.profile.name</t>
  </si>
  <si>
    <t>aruba-mirror-endpoint:mirror-endpoint.profile.name</t>
  </si>
  <si>
    <t>switch-system.profile.aaa.accounting.local-accounting</t>
  </si>
  <si>
    <t>aruba-switch-system:switch-system.profile.aaa.accounting.local-accounting</t>
  </si>
  <si>
    <t>vrfs.vrf.afi-safi-configs.address-family</t>
  </si>
  <si>
    <t>aruba-vrf:vrfs.vrf.afi-safi-configs.address-family</t>
  </si>
  <si>
    <t>afi_safi_configs.address_family; vrf.afi_safi_configs.address_family</t>
  </si>
  <si>
    <t>aaa-profile.profile.authentication.mda-data-clients-limit</t>
  </si>
  <si>
    <t>aruba-aaa-profile:aaa-profile.profile.authentication.mda-data-clients-limit</t>
  </si>
  <si>
    <t>Cover via CLI Snippet</t>
  </si>
  <si>
    <t>mgmd-global.profile.igmp.filter-unknown-multicast</t>
  </si>
  <si>
    <t>aruba-mgmd:mgmd-global.profile.igmp.filter-unknown-multicast</t>
  </si>
  <si>
    <t>igmp.filter_unknown_multicast; profile.igmp.filter_unknown_multicast</t>
  </si>
  <si>
    <t>multicast-dns.profile.enable</t>
  </si>
  <si>
    <t>aruba-multicast-dns:multicast-dns.profile.enable</t>
  </si>
  <si>
    <t>ospfv2.profile.routers.areas.svi-interfaces.md-key-id</t>
  </si>
  <si>
    <t>aruba-ospfv2:ospfv2.profile.routers.areas.svi-interfaces.md-key-id</t>
  </si>
  <si>
    <t>profile.routers.areas.svi_interfaces.md_key_id; routers.areas.svi_interfaces.md_key_id</t>
  </si>
  <si>
    <t>ospfv2.profile.routers.areas.svi-interfaces.md-password-type</t>
  </si>
  <si>
    <t>aruba-ospfv2:ospfv2.profile.routers.areas.svi-interfaces.md-password-type</t>
  </si>
  <si>
    <t>profile.routers.areas.svi_interfaces.md_password_type; routers.areas.svi_interfaces.md_password_type</t>
  </si>
  <si>
    <t>fault-monitor.profile.excessive-alignment-errors.enable</t>
  </si>
  <si>
    <t>aruba-fault-monitor:fault-monitor.profile.excessive-alignment-errors.enable</t>
  </si>
  <si>
    <t>excessive_alignment_errors.enable; profile.excessive_alignment_errors.enable</t>
  </si>
  <si>
    <t>fault-monitor.profile.excessive-oversize-packets.auto-enable</t>
  </si>
  <si>
    <t>aruba-fault-monitor:fault-monitor.profile.excessive-oversize-packets.auto-enable</t>
  </si>
  <si>
    <t>excessive_oversize_packets.auto_enable; profile.excessive_oversize_packets.auto_enable</t>
  </si>
  <si>
    <t>ethernet-interfaces.interface.aaa.authentication.mda-data-clients-limit</t>
  </si>
  <si>
    <t>aruba-interface-ethernet:ethernet-interfaces.interface.aaa.authentication.mda-data-clients-limit</t>
  </si>
  <si>
    <t>ipfix-flow-exporter.exporters.local-collector</t>
  </si>
  <si>
    <t>aruba-ipfix-flow-exporter:ipfix-flow-exporter.exporters.local-collector</t>
  </si>
  <si>
    <t>ipfix-flow-exporter.exporters.collector-dest</t>
  </si>
  <si>
    <t>aruba-ipfix-flow-exporter:ipfix-flow-exporter.exporters.collector-dest</t>
  </si>
  <si>
    <t>remote-management.profile.central-enable</t>
  </si>
  <si>
    <t>aruba-remote-management:remote-management.profile.central-enable</t>
  </si>
  <si>
    <t>bgp.profile.router.peer-group.afi-safi.l2vpn-evpn.send-community.send-community-enable</t>
  </si>
  <si>
    <t>aruba-bgp:bgp.profile.router.peer-group.afi-safi.l2vpn-evpn.send-community.send-community-enable</t>
  </si>
  <si>
    <t>profile.router.peer_group.afi_safi.l2vpn_evpn.send_community.send_community_enable; router.peer_group.afi_safi.l2vpn_evpn.send_community.send_community_enable</t>
  </si>
  <si>
    <t>bgp.profile.router.peer-group.afi-safi.l2vpn-evpn.send-community.type</t>
  </si>
  <si>
    <t>aruba-bgp:bgp.profile.router.peer-group.afi-safi.l2vpn-evpn.send-community.type</t>
  </si>
  <si>
    <t>profile.router.peer_group.afi_safi.l2vpn_evpn.send_community.type; router.peer_group.afi_safi.l2vpn_evpn.send_community.type</t>
  </si>
  <si>
    <t>dhcp-pool.profile.ipv4-pool.addl-range.prefix-len</t>
  </si>
  <si>
    <t>aruba-dhcp-pool:dhcp-pool.profile.ipv4-pool.addl-range.prefix-len</t>
  </si>
  <si>
    <t>ipv4_pool.addl_range.prefix_len; profile.ipv4_pool.addl_range.prefix_len</t>
  </si>
  <si>
    <t>vxlan-vni.profile.vni.vlan</t>
  </si>
  <si>
    <t>aruba-interface-vni:vxlan-vni.profile.vni.vlan</t>
  </si>
  <si>
    <t>profile.vni.vlan; vni.vlan</t>
  </si>
  <si>
    <t>aruba-traffic-insight</t>
  </si>
  <si>
    <t>traffic-insight.instance.name</t>
  </si>
  <si>
    <t>aruba-traffic-insight:traffic-insight.instance.name</t>
  </si>
  <si>
    <t>ospfv2.profile.routers.areas.svi-interfaces.md-cipherpassword</t>
  </si>
  <si>
    <t>aruba-ospfv2:ospfv2.profile.routers.areas.svi-interfaces.md-cipherpassword</t>
  </si>
  <si>
    <t>layer2-vlan.l2-vlan.policy-in</t>
  </si>
  <si>
    <t>aruba-vlan:layer2-vlan.l2-vlan.policy-in</t>
  </si>
  <si>
    <t>l2_vlan.policy_in; policy_in</t>
  </si>
  <si>
    <t>device-profile.profile.cdp-group-entries.action</t>
  </si>
  <si>
    <t>aruba-device-profile:device-profile.profile.cdp-group-entries.action</t>
  </si>
  <si>
    <t>cdp_group_entries.action; profile.cdp_group_entries.action</t>
  </si>
  <si>
    <t>device-profile.profile.cdp-group-entries.sequence-number</t>
  </si>
  <si>
    <t>aruba-device-profile:device-profile.profile.cdp-group-entries.sequence-number</t>
  </si>
  <si>
    <t>cdp_group_entries.sequence_number; profile.cdp_group_entries.sequence_number</t>
  </si>
  <si>
    <t>portchannels.interface.dhcpv6-snooping.trust</t>
  </si>
  <si>
    <t>aruba-interface-portchannel:portchannels.interface.dhcpv6-snooping.trust</t>
  </si>
  <si>
    <t>object-groups.group.items.ports.min</t>
  </si>
  <si>
    <t>aruba-object-group:object-groups.group.items.ports.min</t>
  </si>
  <si>
    <t>aruba-keychain</t>
  </si>
  <si>
    <t>keychains.keychain.name</t>
  </si>
  <si>
    <t>aruba-keychain:keychains.keychain.name</t>
  </si>
  <si>
    <t>traffic-insight.instance.enable</t>
  </si>
  <si>
    <t>aruba-traffic-insight:traffic-insight.instance.enable</t>
  </si>
  <si>
    <t>ospfv2.profile.routers.redistribute-routes.route-map</t>
  </si>
  <si>
    <t>aruba-ospfv2:ospfv2.profile.routers.redistribute-routes.route-map</t>
  </si>
  <si>
    <t>policies.policy.security-policy.policy-rule.condition.transport-fields.destination-port.group</t>
  </si>
  <si>
    <t>aruba-policy:policies.policy.security-policy.policy-rule.condition.transport-fields.destination-port.group</t>
  </si>
  <si>
    <t>bgp.profile.router.global-afi-safi.global-ipv4-unicast.redistribute.route-map</t>
  </si>
  <si>
    <t>aruba-bgp:bgp.profile.router.global-afi-safi.global-ipv4-unicast.redistribute.route-map</t>
  </si>
  <si>
    <t>profile.router.global_afi_safi.global_ipv4_unicast.redistribute.route_map; router.global_afi_safi.global_ipv4_unicast.redistribute.route_map</t>
  </si>
  <si>
    <t>fault-monitor.profile.excessive-collisions.auto-enable</t>
  </si>
  <si>
    <t>aruba-fault-monitor:fault-monitor.profile.excessive-collisions.auto-enable</t>
  </si>
  <si>
    <t>excessive_collisions.auto_enable; profile.excessive_collisions.auto_enable</t>
  </si>
  <si>
    <t>portchannels.interface.loop-protect.vlans</t>
  </si>
  <si>
    <t>aruba-interface-portchannel:portchannels.interface.loop-protect.vlans</t>
  </si>
  <si>
    <t>device-certificates.device-certificate.subject.state</t>
  </si>
  <si>
    <t>aruba-device-certificate:device-certificates.device-certificate.subject.state</t>
  </si>
  <si>
    <t>device-certificates.device-certificate.subject.org-unit</t>
  </si>
  <si>
    <t>aruba-device-certificate:device-certificates.device-certificate.subject.org-unit</t>
  </si>
  <si>
    <t>sw-port-profiles.profile.lag.lacp-lag.fallback-static</t>
  </si>
  <si>
    <t>aruba-sw-port-profile:sw-port-profiles.profile.lag.lacp-lag.fallback-static</t>
  </si>
  <si>
    <t>lag.lacp_lag.fallback_static; profile.lag.lacp_lag.fallback_static</t>
  </si>
  <si>
    <t>traffic-insight.instance.monitor.monitor-name</t>
  </si>
  <si>
    <t>aruba-traffic-insight:traffic-insight.instance.monitor.monitor-name</t>
  </si>
  <si>
    <t>traffic-insight.instance.monitor.monitor-name-type</t>
  </si>
  <si>
    <t>aruba-traffic-insight:traffic-insight.instance.monitor.monitor-name-type</t>
  </si>
  <si>
    <t>traffic-insight.instance.monitor.type</t>
  </si>
  <si>
    <t>aruba-traffic-insight:traffic-insight.instance.monitor.type</t>
  </si>
  <si>
    <t>traffic-insight.instance.source</t>
  </si>
  <si>
    <t>aruba-traffic-insight:traffic-insight.instance.source</t>
  </si>
  <si>
    <t>mgmd-global.profile.igmp.fastlearn.eth-ports</t>
  </si>
  <si>
    <t>aruba-mgmd:mgmd-global.profile.igmp.fastlearn.eth-ports</t>
  </si>
  <si>
    <t>route-maps.route-map.route-map-entry.set-as-path.prepend-as</t>
  </si>
  <si>
    <t>aruba-routemap:route-maps.route-map.route-map-entry.set-as-path.prepend-as</t>
  </si>
  <si>
    <t>route_map.route_map_entry.set_as_path.prepend_as; route_map_entry.set_as_path.prepend_as</t>
  </si>
  <si>
    <t>snmp.profile.community.policy-ipv6</t>
  </si>
  <si>
    <t>aruba-snmp:snmp.profile.community.policy-ipv6</t>
  </si>
  <si>
    <t>static-route.profile.ipv4.next-hop-ip</t>
  </si>
  <si>
    <t>aruba-static-route:static-route.profile.ipv4.next-hop-ip</t>
  </si>
  <si>
    <t>ipv4.next_hop_ip; profile.ipv4.next_hop_ip</t>
  </si>
  <si>
    <t>bgp.profile.router.neighbor.transport.local-loopback-interface</t>
  </si>
  <si>
    <t>aruba-bgp:bgp.profile.router.neighbor.transport.local-loopback-interface</t>
  </si>
  <si>
    <t>profile.router.neighbor.transport.local_loopback_interface; router.neighbor.transport.local_loopback_interface</t>
  </si>
  <si>
    <t>fault-monitor.profile.excessive-late-collisions.auto-enable</t>
  </si>
  <si>
    <t>aruba-fault-monitor:fault-monitor.profile.excessive-late-collisions.auto-enable</t>
  </si>
  <si>
    <t>excessive_late_collisions.auto_enable; profile.excessive_late_collisions.auto_enable</t>
  </si>
  <si>
    <t>portchannels.interface.qos.broadcast-rate-limit.packet-rate</t>
  </si>
  <si>
    <t>aruba-interface-portchannel:portchannels.interface.qos.broadcast-rate-limit.packet-rate</t>
  </si>
  <si>
    <t>vlan-interfaces.interface.mdns-sd.enable</t>
  </si>
  <si>
    <t>aruba-interface-vlan:vlan-interfaces.interface.mdns-sd.enable</t>
  </si>
  <si>
    <t>interface.mdns_sd.enable; mdns_sd.enable</t>
  </si>
  <si>
    <t>device-certificates.device-certificate.subject.locality</t>
  </si>
  <si>
    <t>aruba-device-certificate:device-certificates.device-certificate.subject.locality</t>
  </si>
  <si>
    <t>sflow.profile.session.collector.vrf</t>
  </si>
  <si>
    <t>aruba-sflow:sflow.profile.session.collector.vrf</t>
  </si>
  <si>
    <t>device-profile.profile.cdp-group-entries.platform</t>
  </si>
  <si>
    <t>aruba-device-profile:device-profile.profile.cdp-group-entries.platform</t>
  </si>
  <si>
    <t>cdp_group_entries.platform; profile.cdp_group_entries.platform</t>
  </si>
  <si>
    <t>ethernet-interfaces.interface.pvlan-port-mode</t>
  </si>
  <si>
    <t>aruba-interface-ethernet:ethernet-interfaces.interface.pvlan-port-mode</t>
  </si>
  <si>
    <t>portchannels.interface.aaa-lag.authentication-lag.client-limit</t>
  </si>
  <si>
    <t>aruba-interface-portchannel:portchannels.interface.aaa-lag.authentication-lag.client-limit</t>
  </si>
  <si>
    <t>aaa_lag.authentication_lag.client_limit; interface.aaa_lag.authentication_lag.client_limit</t>
  </si>
  <si>
    <t>aruba-ipsla</t>
  </si>
  <si>
    <t>ipsla.profile.name</t>
  </si>
  <si>
    <t>aruba-ipsla:ipsla.profile.name</t>
  </si>
  <si>
    <t>ipsla.profile.source-sessions.source-name</t>
  </si>
  <si>
    <t>aruba-ipsla:ipsla.profile.source-sessions.source-name</t>
  </si>
  <si>
    <t>sw-port-profiles.profile.pvlan-port-mode</t>
  </si>
  <si>
    <t>aruba-sw-port-profile:sw-port-profiles.profile.pvlan-port-mode</t>
  </si>
  <si>
    <t>aaa-profile.profile.authorization.critical-voice-role</t>
  </si>
  <si>
    <t>aruba-aaa-profile:aaa-profile.profile.authorization.critical-voice-role</t>
  </si>
  <si>
    <t>authorization.critical_voice_role; profile.authorization.critical_voice_role</t>
  </si>
  <si>
    <t>ethernet-interfaces.interface.aaa.authorization.critical-voice-role</t>
  </si>
  <si>
    <t>aruba-interface-ethernet:ethernet-interfaces.interface.aaa.authorization.critical-voice-role</t>
  </si>
  <si>
    <t>aaa.authorization.critical_voice_role; interface.aaa.authorization.critical_voice_role</t>
  </si>
  <si>
    <t>sw-port-profiles.profile.stp.loop-guard</t>
  </si>
  <si>
    <t>aruba-sw-port-profile:sw-port-profiles.profile.stp.loop-guard</t>
  </si>
  <si>
    <t>profile.stp.loop_guard; stp.loop_guard</t>
  </si>
  <si>
    <t>ubt.profile.mode</t>
  </si>
  <si>
    <t>aruba-ubt:ubt.profile.mode</t>
  </si>
  <si>
    <t>bgp.profile.router.timers.hold-time</t>
  </si>
  <si>
    <t>aruba-bgp:bgp.profile.router.timers.hold-time</t>
  </si>
  <si>
    <t>profile.router.timers.hold_time; router.timers.hold_time</t>
  </si>
  <si>
    <t>bgp.profile.router.timers.keep-alive</t>
  </si>
  <si>
    <t>aruba-bgp:bgp.profile.router.timers.keep-alive</t>
  </si>
  <si>
    <t>profile.router.timers.keep_alive; router.timers.keep_alive</t>
  </si>
  <si>
    <t>ipfix-flow-exporter.exporters.description</t>
  </si>
  <si>
    <t>aruba-ipfix-flow-exporter:ipfix-flow-exporter.exporters.description</t>
  </si>
  <si>
    <t>lacp.system-priority</t>
  </si>
  <si>
    <t>aruba-lacp:lacp.system-priority</t>
  </si>
  <si>
    <t>multicast-dns.profile.service-discovery-service.sd-name</t>
  </si>
  <si>
    <t>aruba-multicast-dns:multicast-dns.profile.service-discovery-service.sd-name</t>
  </si>
  <si>
    <t>profile.service_discovery_service.sd_name; service_discovery_service.sd_name</t>
  </si>
  <si>
    <t>aruba-nae-lite</t>
  </si>
  <si>
    <t>nae-lite.profile.name</t>
  </si>
  <si>
    <t>aruba-nae-lite:nae-lite.profile.name</t>
  </si>
  <si>
    <t>aaa-profile.profile.authentication.bpdu-bypass.cdp</t>
  </si>
  <si>
    <t>aruba-aaa-profile:aaa-profile.profile.authentication.bpdu-bypass.cdp</t>
  </si>
  <si>
    <t>authentication.bpdu_bypass.cdp; profile.authentication.bpdu_bypass.cdp</t>
  </si>
  <si>
    <t>portchannels.interface.aaa-lag.authentication-lag.device-profile-secure</t>
  </si>
  <si>
    <t>aruba-interface-portchannel:portchannels.interface.aaa-lag.authentication-lag.device-profile-secure</t>
  </si>
  <si>
    <t>aaa_lag.authentication_lag.device_profile_secure; interface.aaa_lag.authentication_lag.device_profile_secure</t>
  </si>
  <si>
    <t>keychains.keychain.keys.key-id</t>
  </si>
  <si>
    <t>aruba-keychain:keychains.keychain.keys.key-id</t>
  </si>
  <si>
    <t>ipfix-flow-monitor.monitors.cache-timeout-active</t>
  </si>
  <si>
    <t>aruba-ipfix-flow-monitor:ipfix-flow-monitor.monitors.cache-timeout-active</t>
  </si>
  <si>
    <t>policies.policy.security-policy.policy-rule.condition.ethernet-header.destination-mac</t>
  </si>
  <si>
    <t>aruba-policy:policies.policy.security-policy.policy-rule.condition.ethernet-header.destination-mac</t>
  </si>
  <si>
    <t>policy.security_policy.policy_rule.condition.ethernet_header.destination_mac; security_policy.policy_rule.condition.ethernet_header.destination_mac</t>
  </si>
  <si>
    <t>policies.policy.security-policy.policy-rule.condition.ethernet-header.ethertype</t>
  </si>
  <si>
    <t>aruba-policy:policies.policy.security-policy.policy-rule.condition.ethernet-header.ethertype</t>
  </si>
  <si>
    <t>policy.security_policy.policy_rule.condition.ethernet_header.ethertype; security_policy.policy_rule.condition.ethernet_header.ethertype</t>
  </si>
  <si>
    <t>policies.policy.security-policy.policy-rule.condition.ethernet-header.source-mac</t>
  </si>
  <si>
    <t>aruba-policy:policies.policy.security-policy.policy-rule.condition.ethernet-header.source-mac</t>
  </si>
  <si>
    <t>policy.security_policy.policy_rule.condition.ethernet_header.source_mac; security_policy.policy_rule.condition.ethernet_header.source_mac</t>
  </si>
  <si>
    <t>fault-monitor.profile.excessive-broadcasts.threshold-rate</t>
  </si>
  <si>
    <t>aruba-fault-monitor:fault-monitor.profile.excessive-broadcasts.threshold-rate</t>
  </si>
  <si>
    <t>lldp.profile.tlv.basic.port-descr</t>
  </si>
  <si>
    <t>aruba-lldp:lldp.profile.tlv.basic.port-descr</t>
  </si>
  <si>
    <t>vlan-interfaces.interface.igmp.static-group</t>
  </si>
  <si>
    <t>aruba-interface-vlan:vlan-interfaces.interface.igmp.static-group</t>
  </si>
  <si>
    <t>igmp.static_group; interface.igmp.static_group</t>
  </si>
  <si>
    <t>ipfix-flow-record.records.description</t>
  </si>
  <si>
    <t>aruba-ipfix-flow-record:ipfix-flow-record.records.description</t>
  </si>
  <si>
    <t>static-route.profile.ipv4.interface.sub-interface</t>
  </si>
  <si>
    <t>aruba-static-route:static-route.profile.ipv4.interface.sub-interface</t>
  </si>
  <si>
    <t>auth-server-global-config.profile.service-type-in-access-request</t>
  </si>
  <si>
    <t>aruba-auth-server-global:auth-server-global-config.profile.service-type-in-access-request</t>
  </si>
  <si>
    <t>dhcp-relay.profile.ipv4.smart-relay</t>
  </si>
  <si>
    <t>aruba-dhcp-relay:dhcp-relay.profile.ipv4.smart-relay</t>
  </si>
  <si>
    <t>fault-monitor.profile.excessive-multicasts.threshold-percent</t>
  </si>
  <si>
    <t>aruba-fault-monitor:fault-monitor.profile.excessive-multicasts.threshold-percent</t>
  </si>
  <si>
    <t>keychains.keychain.keys.auth-key-info.type</t>
  </si>
  <si>
    <t>aruba-keychain:keychains.keychain.keys.auth-key-info.type</t>
  </si>
  <si>
    <t>ntp.profile.authentication-profile.key-hash</t>
  </si>
  <si>
    <t>aruba-ntp:ntp.profile.authentication-profile.key-hash</t>
  </si>
  <si>
    <t>ntp.profile.authentication-profile.key-identifier</t>
  </si>
  <si>
    <t>aruba-ntp:ntp.profile.authentication-profile.key-identifier</t>
  </si>
  <si>
    <t>layer2-vlan.l2-vlan.ipv4-access-list-out</t>
  </si>
  <si>
    <t>aruba-vlan:layer2-vlan.l2-vlan.ipv4-access-list-out</t>
  </si>
  <si>
    <t>aaa-profile.profile.authentication.macauth-server-group</t>
  </si>
  <si>
    <t>aruba-aaa-profile:aaa-profile.profile.authentication.macauth-server-group</t>
  </si>
  <si>
    <t>authentication.macauth_server_group; profile.authentication.macauth_server_group</t>
  </si>
  <si>
    <t>keychains.keychain.keys.auth-key-info.auth-key-ciphertext</t>
  </si>
  <si>
    <t>aruba-keychain:keychains.keychain.keys.auth-key-info.auth-key-ciphertext</t>
  </si>
  <si>
    <t>aruba-psm</t>
  </si>
  <si>
    <t>psm.psm-instance.name</t>
  </si>
  <si>
    <t>aruba-psm:psm.psm-instance.name</t>
  </si>
  <si>
    <t>psm.psm-instance.psm-ips</t>
  </si>
  <si>
    <t>aruba-psm:psm.psm-instance.psm-ips</t>
  </si>
  <si>
    <t>multicast-dns.profile.service-discovery-rule-set.profile-name</t>
  </si>
  <si>
    <t>aruba-multicast-dns:multicast-dns.profile.service-discovery-rule-set.profile-name</t>
  </si>
  <si>
    <t>profile.service_discovery_rule_set.profile_name; service_discovery_rule_set.profile_name</t>
  </si>
  <si>
    <t>ospfv2.profile.routers.max-metric.router-lsa</t>
  </si>
  <si>
    <t>aruba-ospfv2:ospfv2.profile.routers.max-metric.router-lsa</t>
  </si>
  <si>
    <t>profile.routers.max_metric.router_lsa; routers.max_metric.router_lsa</t>
  </si>
  <si>
    <t>route-maps.route-map.route-map-entry.match-tag</t>
  </si>
  <si>
    <t>aruba-routemap:route-maps.route-map.route-map-entry.match-tag</t>
  </si>
  <si>
    <t>route_map.route_map_entry.match_tag; route_map_entry.match_tag</t>
  </si>
  <si>
    <t>route-maps.route-map.route-map-entry.set-metric-type</t>
  </si>
  <si>
    <t>aruba-routemap:route-maps.route-map.route-map-entry.set-metric-type</t>
  </si>
  <si>
    <t>route_map.route_map_entry.set_metric_type; route_map_entry.set_metric_type</t>
  </si>
  <si>
    <t>sw-port-profiles.profile.fault-monitor-profile</t>
  </si>
  <si>
    <t>aruba-sw-port-profile:sw-port-profiles.profile.fault-monitor-profile</t>
  </si>
  <si>
    <t>fault_monitor_profile; profile.fault_monitor_profile</t>
  </si>
  <si>
    <t>sw-port-profiles.profile.mac-notify-traps</t>
  </si>
  <si>
    <t>aruba-sw-port-profile:sw-port-profiles.profile.mac-notify-traps</t>
  </si>
  <si>
    <t>bgp.profile.router.peer-group.description</t>
  </si>
  <si>
    <t>aruba-bgp:bgp.profile.router.peer-group.description</t>
  </si>
  <si>
    <t>profile.router.peer_group.description; router.peer_group.description</t>
  </si>
  <si>
    <t>fault-monitor.profile.link-flap.threshold</t>
  </si>
  <si>
    <t>aruba-fault-monitor:fault-monitor.profile.link-flap.threshold</t>
  </si>
  <si>
    <t>ethernet-interfaces.interface.aaa.authentication.macauth-server-group</t>
  </si>
  <si>
    <t>aruba-interface-ethernet:ethernet-interfaces.interface.aaa.authentication.macauth-server-group</t>
  </si>
  <si>
    <t>ethernet-interfaces.interface.ipv4-relay.server.ip</t>
  </si>
  <si>
    <t>aruba-interface-ethernet:ethernet-interfaces.interface.ipv4-relay.server.ip</t>
  </si>
  <si>
    <t>interface.ip; ip</t>
  </si>
  <si>
    <t>ethernet-interfaces.interface.ipv4-relay.server.ip-vrf</t>
  </si>
  <si>
    <t>aruba-interface-ethernet:ethernet-interfaces.interface.ipv4-relay.server.ip-vrf</t>
  </si>
  <si>
    <t>ethernet-interfaces.interface.ipv4-relay.server.vrf</t>
  </si>
  <si>
    <t>aruba-interface-ethernet:ethernet-interfaces.interface.ipv4-relay.server.vrf</t>
  </si>
  <si>
    <t>portchannels.interface.qos.multicast-rate-limit.bit-rate</t>
  </si>
  <si>
    <t>aruba-interface-portchannel:portchannels.interface.qos.multicast-rate-limit.bit-rate</t>
  </si>
  <si>
    <t>aruba-interface-subinterface</t>
  </si>
  <si>
    <t>sub-interfaces.interface.id</t>
  </si>
  <si>
    <t>aruba-interface-subinterface:sub-interfaces.interface.id</t>
  </si>
  <si>
    <t>sub-interfaces.interface.parent-name</t>
  </si>
  <si>
    <t>aruba-interface-subinterface:sub-interfaces.interface.parent-name</t>
  </si>
  <si>
    <t>sub-interfaces.interface.parent-name-id</t>
  </si>
  <si>
    <t>aruba-interface-subinterface:sub-interfaces.interface.parent-name-id</t>
  </si>
  <si>
    <t>interface.parent_name_id</t>
  </si>
  <si>
    <t>ntp.profile.authentication-profile.ciphertext.key-value</t>
  </si>
  <si>
    <t>aruba-ntp:ntp.profile.authentication-profile.ciphertext.key-value</t>
  </si>
  <si>
    <t>bgp.profile.router.use-multiple-paths.maximum-paths</t>
  </si>
  <si>
    <t>aruba-bgp:bgp.profile.router.use-multiple-paths.maximum-paths</t>
  </si>
  <si>
    <t>profile.router.use_multiple_paths.maximum_paths; router.use_multiple_paths.maximum_paths</t>
  </si>
  <si>
    <t>ethernet-interfaces.interface.cdp.mode</t>
  </si>
  <si>
    <t>aruba-interface-ethernet:ethernet-interfaces.interface.cdp.mode</t>
  </si>
  <si>
    <t>ethernet-interfaces.interface.dhcpv4-snooping.max-bindings</t>
  </si>
  <si>
    <t>aruba-interface-ethernet:ethernet-interfaces.interface.dhcpv4-snooping.max-bindings</t>
  </si>
  <si>
    <t>dhcpv4_snooping.max_bindings; interface.dhcpv4_snooping.max_bindings</t>
  </si>
  <si>
    <t>ethernet-interfaces.interface.mac-notify-traps</t>
  </si>
  <si>
    <t>aruba-interface-ethernet:ethernet-interfaces.interface.mac-notify-traps</t>
  </si>
  <si>
    <t>ipfix-flow-record.records.collect.application-https-url</t>
  </si>
  <si>
    <t>aruba-ipfix-flow-record:ipfix-flow-record.records.collect.application-https-url</t>
  </si>
  <si>
    <t>ipsla.profile.source-sessions.type</t>
  </si>
  <si>
    <t>aruba-ipsla:ipsla.profile.source-sessions.type</t>
  </si>
  <si>
    <t>ospfv2.profile.routers.areas.svi-interfaces.priority</t>
  </si>
  <si>
    <t>aruba-ospfv2:ospfv2.profile.routers.areas.svi-interfaces.priority</t>
  </si>
  <si>
    <t>profile.routers.areas.svi_interfaces.priority; routers.areas.svi_interfaces.priority</t>
  </si>
  <si>
    <t>vrfs.vrf.afi-safi-configs.export-route-targets</t>
  </si>
  <si>
    <t>aruba-vrf:vrfs.vrf.afi-safi-configs.export-route-targets</t>
  </si>
  <si>
    <t>afi_safi_configs.export_route_targets; vrf.afi_safi_configs.export_route_targets</t>
  </si>
  <si>
    <t>aruba-mvrp</t>
  </si>
  <si>
    <t>mvrp.profile.enable</t>
  </si>
  <si>
    <t>aruba-mvrp:mvrp.profile.enable</t>
  </si>
  <si>
    <t>mvrp.profile.name</t>
  </si>
  <si>
    <t>aruba-mvrp:mvrp.profile.name</t>
  </si>
  <si>
    <t>multicast-dns.profile.service-discovery-rule-set.filter-rule.action</t>
  </si>
  <si>
    <t>aruba-multicast-dns:multicast-dns.profile.service-discovery-rule-set.filter-rule.action</t>
  </si>
  <si>
    <t>profile.service_discovery_rule_set.filter_rule.action; service_discovery_rule_set.filter_rule.action</t>
  </si>
  <si>
    <t>multicast-dns.profile.service-discovery-rule-set.filter-rule.sequence-number</t>
  </si>
  <si>
    <t>aruba-multicast-dns:multicast-dns.profile.service-discovery-rule-set.filter-rule.sequence-number</t>
  </si>
  <si>
    <t>profile.service_discovery_rule_set.filter_rule.sequence_number; service_discovery_rule_set.filter_rule.sequence_number</t>
  </si>
  <si>
    <t>ntp.profile.dhcp-disable</t>
  </si>
  <si>
    <t>aruba-ntp:ntp.profile.dhcp-disable</t>
  </si>
  <si>
    <t>vrfs.vrf.afi-safi-configs.import-route-targets</t>
  </si>
  <si>
    <t>aruba-vrf:vrfs.vrf.afi-safi-configs.import-route-targets</t>
  </si>
  <si>
    <t>afi_safi_configs.import_route_targets; vrf.afi_safi_configs.import_route_targets</t>
  </si>
  <si>
    <t>aaa-profile.profile.authentication.allow-flood-traffic</t>
  </si>
  <si>
    <t>aruba-aaa-profile:aaa-profile.profile.authentication.allow-flood-traffic</t>
  </si>
  <si>
    <t>authentication.allow_flood_traffic; profile.authentication.allow_flood_traffic</t>
  </si>
  <si>
    <t>aaa-profile.profile.authentication.dot1xauth-server-group</t>
  </si>
  <si>
    <t>aruba-aaa-profile:aaa-profile.profile.authentication.dot1xauth-server-group</t>
  </si>
  <si>
    <t>authentication.dot1xauth_server_group; profile.authentication.dot1xauth_server_group</t>
  </si>
  <si>
    <t>aruba-nd-snooping</t>
  </si>
  <si>
    <t>nd-snooping.profile.name</t>
  </si>
  <si>
    <t>aruba-nd-snooping:nd-snooping.profile.name</t>
  </si>
  <si>
    <t>ipfix-flow-exporter.exporters.vrf</t>
  </si>
  <si>
    <t>aruba-ipfix-flow-exporter:ipfix-flow-exporter.exporters.vrf</t>
  </si>
  <si>
    <t>ipfix-flow-record.records.collect.application-dns-response-code</t>
  </si>
  <si>
    <t>aruba-ipfix-flow-record:ipfix-flow-record.records.collect.application-dns-response-code</t>
  </si>
  <si>
    <t>ipsla.profile.source-sessions.destination-ipv4</t>
  </si>
  <si>
    <t>aruba-ipsla:ipsla.profile.source-sessions.destination-ipv4</t>
  </si>
  <si>
    <t>ospfv2.profile.routers.graceful-restart-cfg.restart-interval</t>
  </si>
  <si>
    <t>aruba-ospfv2:ospfv2.profile.routers.graceful-restart-cfg.restart-interval</t>
  </si>
  <si>
    <t>profile.routers.graceful_restart_cfg.restart_interval; routers.graceful_restart_cfg.restart_interval</t>
  </si>
  <si>
    <t>pim-router.profile.router.candidate-rp.loopback</t>
  </si>
  <si>
    <t>aruba-pim:pim-router.profile.router.candidate-rp.loopback</t>
  </si>
  <si>
    <t>router.candidate_rp.loopback</t>
  </si>
  <si>
    <t>roles.role.session-parameters.poe-allocate-by-method</t>
  </si>
  <si>
    <t>aruba-role:roles.role.session-parameters.poe-allocate-by-method</t>
  </si>
  <si>
    <t>session_parameters.poe_allocate_by_method</t>
  </si>
  <si>
    <t>sw-port-profiles.profile.igmp.querier-enable</t>
  </si>
  <si>
    <t>aruba-sw-port-profile:sw-port-profiles.profile.igmp.querier-enable</t>
  </si>
  <si>
    <t>sw-port-profiles.profile.qos.broadcast-rate-limit.rate-type</t>
  </si>
  <si>
    <t>aruba-sw-port-profile:sw-port-profiles.profile.qos.broadcast-rate-limit.rate-type</t>
  </si>
  <si>
    <t>profile.qos.broadcast_rate_limit.rate_type; qos.broadcast_rate_limit.rate_type</t>
  </si>
  <si>
    <t>ethernet-interfaces.interface.aaa.authentication.dot1xauth-server-group</t>
  </si>
  <si>
    <t>aruba-interface-ethernet:ethernet-interfaces.interface.aaa.authentication.dot1xauth-server-group</t>
  </si>
  <si>
    <t>ethernet-interfaces.interface.ipv6.addresses.address</t>
  </si>
  <si>
    <t>aruba-interface-ethernet:ethernet-interfaces.interface.ipv6.addresses.address</t>
  </si>
  <si>
    <t>nd-snooping.profile.enable</t>
  </si>
  <si>
    <t>aruba-nd-snooping:nd-snooping.profile.enable</t>
  </si>
  <si>
    <t>certificate-rcp.ta-profile.ocsp.vrf</t>
  </si>
  <si>
    <t>aruba-certificate-rcp:certificate-rcp.ta-profile.ocsp.vrf</t>
  </si>
  <si>
    <t>bfd.profile.timers.min-tx-interval</t>
  </si>
  <si>
    <t>aruba-bfd:bfd.profile.timers.min-tx-interval</t>
  </si>
  <si>
    <t>profile.timers.min_tx_interval; timers.min_tx_interval</t>
  </si>
  <si>
    <t>vlan-interfaces.interface.pim-sparse.source-address-any</t>
  </si>
  <si>
    <t>aruba-interface-vlan:vlan-interfaces.interface.pim-sparse.source-address-any</t>
  </si>
  <si>
    <t>ipfix-flow-exporter.exporters.ip</t>
  </si>
  <si>
    <t>aruba-ipfix-flow-exporter:ipfix-flow-exporter.exporters.ip</t>
  </si>
  <si>
    <t>mgmd-global.profile.igmp.drop-unknown</t>
  </si>
  <si>
    <t>aruba-mgmd:mgmd-global.profile.igmp.drop-unknown</t>
  </si>
  <si>
    <t>igmp.drop_unknown; profile.igmp.drop_unknown</t>
  </si>
  <si>
    <t>multicast-dns.profile.service-discovery-rule-set.filter-rule.match-service-group</t>
  </si>
  <si>
    <t>aruba-multicast-dns:multicast-dns.profile.service-discovery-rule-set.filter-rule.match-service-group</t>
  </si>
  <si>
    <t>profile.service_discovery_rule_set.filter_rule.match_service_group; service_discovery_rule_set.filter_rule.match_service_group</t>
  </si>
  <si>
    <t>nae-lite.profile.description</t>
  </si>
  <si>
    <t>aruba-nae-lite:nae-lite.profile.description</t>
  </si>
  <si>
    <t>route-maps.route-map.route-map-entry.set-tag</t>
  </si>
  <si>
    <t>aruba-routemap:route-maps.route-map.route-map-entry.set-tag</t>
  </si>
  <si>
    <t>route_map.route_map_entry.set_tag; route_map_entry.set_tag</t>
  </si>
  <si>
    <t>sw-port-profiles.profile.bfd.min-tx-interval</t>
  </si>
  <si>
    <t>aruba-sw-port-profile:sw-port-profiles.profile.bfd.min-tx-interval</t>
  </si>
  <si>
    <t>client-iptracker.profile.enable-probe</t>
  </si>
  <si>
    <t>aruba-client-iptracker:client-iptracker.profile.enable-probe</t>
  </si>
  <si>
    <t>hardware-modules.hw-profile.quick-poe</t>
  </si>
  <si>
    <t>aruba-hardware-module-profile:hardware-modules.hw-profile.quick-poe</t>
  </si>
  <si>
    <t>switch-system.profile.icmp.unreachable</t>
  </si>
  <si>
    <t>aruba-switch-system:switch-system.profile.icmp.unreachable</t>
  </si>
  <si>
    <t>ipfix-flow-exporter.exporters.port</t>
  </si>
  <si>
    <t>aruba-ipfix-flow-exporter:ipfix-flow-exporter.exporters.port</t>
  </si>
  <si>
    <t>ipfix-flow-exporter.exporters.transport-protocol</t>
  </si>
  <si>
    <t>aruba-ipfix-flow-exporter:ipfix-flow-exporter.exporters.transport-protocol</t>
  </si>
  <si>
    <t>vsx-config.vsx.inter-switch-link.hold-time</t>
  </si>
  <si>
    <t>aruba-vsx-pair:vsx-config.vsx.inter-switch-link.hold-time</t>
  </si>
  <si>
    <t>logging.profile.filter.entry.match-regex</t>
  </si>
  <si>
    <t>aruba-logging:logging.profile.filter.entry.match-regex</t>
  </si>
  <si>
    <t>ospfv2.profile.routers.areas.ether-interfaces.dead-interval</t>
  </si>
  <si>
    <t>aruba-ospfv2:ospfv2.profile.routers.areas.ether-interfaces.dead-interval</t>
  </si>
  <si>
    <t>ospfv2.profile.routers.areas.ether-interfaces.hello-interval</t>
  </si>
  <si>
    <t>aruba-ospfv2:ospfv2.profile.routers.areas.ether-interfaces.hello-interval</t>
  </si>
  <si>
    <t>ospfv2.profile.routers.trap-enable</t>
  </si>
  <si>
    <t>aruba-ospfv2:ospfv2.profile.routers.trap-enable</t>
  </si>
  <si>
    <t>pim-router.profile.router.candidate-bsr.interface-type</t>
  </si>
  <si>
    <t>aruba-pim:pim-router.profile.router.candidate-bsr.interface-type</t>
  </si>
  <si>
    <t>router.candidate_bsr.interface_type</t>
  </si>
  <si>
    <t>policies.policy.security-policy.policy-rule.condition.ip-header.icmp.icmp-type</t>
  </si>
  <si>
    <t>aruba-policy:policies.policy.security-policy.policy-rule.condition.ip-header.icmp.icmp-type</t>
  </si>
  <si>
    <t>vsx-profiles.vsx.sync-features.inter-switch-link-timers.hold-time</t>
  </si>
  <si>
    <t>aruba-vsx:vsx-profiles.vsx.sync-features.inter-switch-link-timers.hold-time</t>
  </si>
  <si>
    <t>sync_features.inter_switch_link_timers.hold_time; vsx.sync_features.inter_switch_link_timers.hold_time</t>
  </si>
  <si>
    <t>ethernet-interfaces.interface.igmp.version</t>
  </si>
  <si>
    <t>aruba-interface-ethernet:ethernet-interfaces.interface.igmp.version</t>
  </si>
  <si>
    <t>job-scheduler.schedule.trigger-on-weekly</t>
  </si>
  <si>
    <t>aruba-job-scheduler:job-scheduler.schedule.trigger-on-weekly</t>
  </si>
  <si>
    <t>job-scheduler.schedule.week-day</t>
  </si>
  <si>
    <t>aruba-job-scheduler:job-scheduler.schedule.week-day</t>
  </si>
  <si>
    <t>vlan-interfaces.interface.arp.timeout</t>
  </si>
  <si>
    <t>aruba-interface-vlan:vlan-interfaces.interface.arp.timeout</t>
  </si>
  <si>
    <t>vlan-interfaces.interface.igmp.last-member-query-interval</t>
  </si>
  <si>
    <t>aruba-interface-vlan:vlan-interfaces.interface.igmp.last-member-query-interval</t>
  </si>
  <si>
    <t>igmp.last_member_query_interval; interface.igmp.last_member_query_interval</t>
  </si>
  <si>
    <t>aruba-mac-lockout</t>
  </si>
  <si>
    <t>mac-lockout.profile.name</t>
  </si>
  <si>
    <t>aruba-mac-lockout:mac-lockout.profile.name</t>
  </si>
  <si>
    <t>aruba-track-object</t>
  </si>
  <si>
    <t>tracking-object.vrrp.identifier</t>
  </si>
  <si>
    <t>aruba-track-object:tracking-object.vrrp.identifier</t>
  </si>
  <si>
    <t>ipfix-flow-record.records.collect.application-tls-attributes</t>
  </si>
  <si>
    <t>aruba-ipfix-flow-record:ipfix-flow-record.records.collect.application-tls-attributes</t>
  </si>
  <si>
    <t>logging.profile.console.log-type</t>
  </si>
  <si>
    <t>aruba-logging:logging.profile.console.log-type</t>
  </si>
  <si>
    <t>management-users.user.interface.console</t>
  </si>
  <si>
    <t>aruba-management-user:management-users.user.interface.console</t>
  </si>
  <si>
    <t>aruba-aspath-list</t>
  </si>
  <si>
    <t>aspath-lists.as-path-list.aspath-list-name</t>
  </si>
  <si>
    <t>aruba-aspath-list:aspath-lists.as-path-list.aspath-list-name</t>
  </si>
  <si>
    <t>as_path_list.aspath_list_name; aspath_list_name</t>
  </si>
  <si>
    <t>bgp.profile.router.route-selection-options.as-path-multipath-relax</t>
  </si>
  <si>
    <t>aruba-bgp:bgp.profile.router.route-selection-options.as-path-multipath-relax</t>
  </si>
  <si>
    <t>bgp.profile.router.route-selection-options.deterministic-med</t>
  </si>
  <si>
    <t>aruba-bgp:bgp.profile.router.route-selection-options.deterministic-med</t>
  </si>
  <si>
    <t>ethernet-interfaces.interface.lldp.tlv.dot3tlv.poe-plus</t>
  </si>
  <si>
    <t>aruba-interface-ethernet:ethernet-interfaces.interface.lldp.tlv.dot3tlv.poe-plus</t>
  </si>
  <si>
    <t>ethernet-interfaces.interface.port-security.sticky-macs.mac</t>
  </si>
  <si>
    <t>aruba-interface-ethernet:ethernet-interfaces.interface.port-security.sticky-macs.mac</t>
  </si>
  <si>
    <t>interface.port_security.sticky_macs.mac; port_security.sticky_macs.mac</t>
  </si>
  <si>
    <t>ethernet-interfaces.interface.port-security.sticky-macs.vlan</t>
  </si>
  <si>
    <t>aruba-interface-ethernet:ethernet-interfaces.interface.port-security.sticky-macs.vlan</t>
  </si>
  <si>
    <t>interface.port_security.sticky_macs.vlan; port_security.sticky_macs.vlan</t>
  </si>
  <si>
    <t>portchannels.interface.qos.unknown-unicast-rate-limit.rate-type</t>
  </si>
  <si>
    <t>aruba-interface-portchannel:portchannels.interface.qos.unknown-unicast-rate-limit.rate-type</t>
  </si>
  <si>
    <t>vlan-interfaces.interface.igmp.robustness</t>
  </si>
  <si>
    <t>aruba-interface-vlan:vlan-interfaces.interface.igmp.robustness</t>
  </si>
  <si>
    <t>devicefingerprinting-profile.profile.lldp-tlv-numbers</t>
  </si>
  <si>
    <t>aruba-devicefingerprinting-profile:devicefingerprinting-profile.profile.lldp-tlv-numbers</t>
  </si>
  <si>
    <t>ipsla.profile.source-sessions.enable</t>
  </si>
  <si>
    <t>aruba-ipsla:ipsla.profile.source-sessions.enable</t>
  </si>
  <si>
    <t>local-management.profile.tracking-range</t>
  </si>
  <si>
    <t>aruba-local-management:local-management.profile.tracking-range</t>
  </si>
  <si>
    <t>snmp.profile.user.view-name</t>
  </si>
  <si>
    <t>aruba-snmp:snmp.profile.user.view-name</t>
  </si>
  <si>
    <t>stacks.stack.members.links.link1.description</t>
  </si>
  <si>
    <t>aruba-switch-stack:stacks.stack.members.links.link1.description</t>
  </si>
  <si>
    <t>description; stack.description</t>
  </si>
  <si>
    <t>bfd.profile.timers.min-rx-interval</t>
  </si>
  <si>
    <t>aruba-bfd:bfd.profile.timers.min-rx-interval</t>
  </si>
  <si>
    <t>profile.timers.min_rx_interval; timers.min_rx_interval</t>
  </si>
  <si>
    <t>ethernet-interfaces.interface.policy.ipv4-access-list-out</t>
  </si>
  <si>
    <t>aruba-interface-ethernet:ethernet-interfaces.interface.policy.ipv4-access-list-out</t>
  </si>
  <si>
    <t>ethernet-interfaces.interface.qos.schedule-profile</t>
  </si>
  <si>
    <t>aruba-interface-ethernet:ethernet-interfaces.interface.qos.schedule-profile</t>
  </si>
  <si>
    <t>vlan-interfaces.interface.mdns-sd.apply-profile</t>
  </si>
  <si>
    <t>aruba-interface-vlan:vlan-interfaces.interface.mdns-sd.apply-profile</t>
  </si>
  <si>
    <t>interface.mdns_sd.apply_profile; mdns_sd.apply_profile</t>
  </si>
  <si>
    <t>vlan-interfaces.interface.mdns-sd.mdns-profile</t>
  </si>
  <si>
    <t>aruba-interface-vlan:vlan-interfaces.interface.mdns-sd.mdns-profile</t>
  </si>
  <si>
    <t>interface.mdns_sd.mdns_profile; mdns_sd.mdns_profile</t>
  </si>
  <si>
    <t>vlan-interfaces.interface.udp-broadcast-forwarder-server.servers.ip</t>
  </si>
  <si>
    <t>aruba-interface-vlan:vlan-interfaces.interface.udp-broadcast-forwarder-server.servers.ip</t>
  </si>
  <si>
    <t>interface.ip; interface.ipv4_relay.server.ip; ip; ipv4_relay.server.ip</t>
  </si>
  <si>
    <t>vlan-interfaces.interface.udp-broadcast-forwarder-server.servers.port</t>
  </si>
  <si>
    <t>aruba-interface-vlan:vlan-interfaces.interface.udp-broadcast-forwarder-server.servers.port</t>
  </si>
  <si>
    <t>aruba-dhcp-client</t>
  </si>
  <si>
    <t>dhcp-client.profile.name</t>
  </si>
  <si>
    <t>aruba-dhcp-client:dhcp-client.profile.name</t>
  </si>
  <si>
    <t>vsx-config.vsx.inter-switch-link.hello-interval</t>
  </si>
  <si>
    <t>aruba-vsx-pair:vsx-config.vsx.inter-switch-link.hello-interval</t>
  </si>
  <si>
    <t>vxlan.profile.bridging-mode</t>
  </si>
  <si>
    <t>aruba-interface-vxlan:vxlan.profile.bridging-mode</t>
  </si>
  <si>
    <t>local-management.profile.password-complexity.min-char-difference</t>
  </si>
  <si>
    <t>aruba-local-management:local-management.profile.password-complexity.min-char-difference</t>
  </si>
  <si>
    <t>logging.profile.remote-syslog.filter-name</t>
  </si>
  <si>
    <t>aruba-logging:logging.profile.remote-syslog.filter-name</t>
  </si>
  <si>
    <t>policies.policy.security-policy.policy-rule.condition.source.network-address.network-ipv4-address</t>
  </si>
  <si>
    <t>aruba-policy:policies.policy.security-policy.policy-rule.condition.source.network-address.network-ipv4-address</t>
  </si>
  <si>
    <t>policy.security_policy.policy_rule.condition.source.network_address.network_ipv4_address; security_policy.policy_rule.condition.source.network_address.network_ipv4_address</t>
  </si>
  <si>
    <t>stp.profile.pathcost-type</t>
  </si>
  <si>
    <t>aruba-stp:stp.profile.pathcost-type</t>
  </si>
  <si>
    <t>pathcost_type; profile.pathcost_type</t>
  </si>
  <si>
    <t>sw-port-profiles.profile.bfd.min-rx-interval</t>
  </si>
  <si>
    <t>aruba-sw-port-profile:sw-port-profiles.profile.bfd.min-rx-interval</t>
  </si>
  <si>
    <t>layer2-vlan.l2-vlan.nd-snooping.enable</t>
  </si>
  <si>
    <t>aruba-vlan:layer2-vlan.l2-vlan.nd-snooping.enable</t>
  </si>
  <si>
    <t>vsx-profiles.vsx.sync-features.inter-switch-link-timers.hello-interval</t>
  </si>
  <si>
    <t>aruba-vsx:vsx-profiles.vsx.sync-features.inter-switch-link-timers.hello-interval</t>
  </si>
  <si>
    <t>sync_features.inter_switch_link_timers.hello_interval; vsx.sync_features.inter_switch_link_timers.hello_interval</t>
  </si>
  <si>
    <t>aspath-lists.as-path-list.as-path-list-entry.aspaths</t>
  </si>
  <si>
    <t>aruba-aspath-list:aspath-lists.as-path-list.as-path-list-entry.aspaths</t>
  </si>
  <si>
    <t>as_path_list.as_path_list_entry.aspaths; as_path_list_entry.aspaths</t>
  </si>
  <si>
    <t>aspath-lists.as-path-list.as-path-list-entry.optype</t>
  </si>
  <si>
    <t>aruba-aspath-list:aspath-lists.as-path-list.as-path-list-entry.optype</t>
  </si>
  <si>
    <t>aspath-lists.as-path-list.as-path-list-entry.seq-no</t>
  </si>
  <si>
    <t>aruba-aspath-list:aspath-lists.as-path-list.as-path-list-entry.seq-no</t>
  </si>
  <si>
    <t>aspath-lists.as-path-list.as-path-list-entry.seq-no-optype</t>
  </si>
  <si>
    <t>aruba-aspath-list:aspath-lists.as-path-list.as-path-list-entry.seq-no-optype</t>
  </si>
  <si>
    <t>as_path_list.as_path_list_entry.seq_no_optype; as_path_list_entry.seq_no_optype</t>
  </si>
  <si>
    <t>bfd.profile.timers.detect-multiplier</t>
  </si>
  <si>
    <t>aruba-bfd:bfd.profile.timers.detect-multiplier</t>
  </si>
  <si>
    <t>profile.timers.detect_multiplier; timers.detect_multiplier</t>
  </si>
  <si>
    <t>portchannels.interface.policy.ipv4-access-list-in</t>
  </si>
  <si>
    <t>aruba-interface-portchannel:portchannels.interface.policy.ipv4-access-list-in</t>
  </si>
  <si>
    <t>sub-interfaces.interface.encapsulation-vlan-id</t>
  </si>
  <si>
    <t>aruba-interface-subinterface:sub-interfaces.interface.encapsulation-vlan-id</t>
  </si>
  <si>
    <t>interface.encapsulation_vlan_id</t>
  </si>
  <si>
    <t>sub-interfaces.interface.ipv4.address</t>
  </si>
  <si>
    <t>aruba-interface-subinterface:sub-interfaces.interface.ipv4.address</t>
  </si>
  <si>
    <t>layer2-vlan-range.mld.snooping</t>
  </si>
  <si>
    <t>aruba-vlan-range:layer2-vlan-range.mld.snooping</t>
  </si>
  <si>
    <t>sw-port-profiles.profile.lag.hashing</t>
  </si>
  <si>
    <t>aruba-sw-port-profile:sw-port-profiles.profile.lag.hashing</t>
  </si>
  <si>
    <t>ipfix-flow-exporter.exporters.upload-template-interval</t>
  </si>
  <si>
    <t>aruba-ipfix-flow-exporter:ipfix-flow-exporter.exporters.upload-template-interval</t>
  </si>
  <si>
    <t>vsx-config.vsx.inter-switch-link.dead-interval</t>
  </si>
  <si>
    <t>aruba-vsx-pair:vsx-config.vsx.inter-switch-link.dead-interval</t>
  </si>
  <si>
    <t>route-maps.route-map.route-map-entry.match-as-path-list</t>
  </si>
  <si>
    <t>aruba-routemap:route-maps.route-map.route-map-entry.match-as-path-list</t>
  </si>
  <si>
    <t>route_map.route_map_entry.match_as_path_list; route_map_entry.match_as_path_list</t>
  </si>
  <si>
    <t>snmp.profile.auth-privacy-security-level</t>
  </si>
  <si>
    <t>aruba-snmp:snmp.profile.auth-privacy-security-level</t>
  </si>
  <si>
    <t>sw-port-profiles.profile.bfd.detect-multiplier</t>
  </si>
  <si>
    <t>aruba-sw-port-profile:sw-port-profiles.profile.bfd.detect-multiplier</t>
  </si>
  <si>
    <t>sw-port-profiles.profile.igmp.enable</t>
  </si>
  <si>
    <t>aruba-sw-port-profile:sw-port-profiles.profile.igmp.enable</t>
  </si>
  <si>
    <t>sw-port-profiles.profile.qos.multicast-rate-limit.rate-type</t>
  </si>
  <si>
    <t>aruba-sw-port-profile:sw-port-profiles.profile.qos.multicast-rate-limit.rate-type</t>
  </si>
  <si>
    <t>profile.qos.multicast_rate_limit.rate_type; qos.multicast_rate_limit.rate_type</t>
  </si>
  <si>
    <t>layer2-vlan.l2-vlan.mld.snooping</t>
  </si>
  <si>
    <t>aruba-vlan:layer2-vlan.l2-vlan.mld.snooping</t>
  </si>
  <si>
    <t>l2_vlan.mld.snooping; mld.snooping</t>
  </si>
  <si>
    <t>vsx-profiles.vsx.sync-features.inter-switch-link-timers.dead-interval</t>
  </si>
  <si>
    <t>aruba-vsx:vsx-profiles.vsx.sync-features.inter-switch-link-timers.dead-interval</t>
  </si>
  <si>
    <t>sync_features.inter_switch_link_timers.dead_interval; vsx.sync_features.inter_switch_link_timers.dead_interval</t>
  </si>
  <si>
    <t>server-groups.server-group.attribute-profile.nas-ip-address.request-type</t>
  </si>
  <si>
    <t>aruba-auth-server-group:server-groups.server-group.attribute-profile.nas-ip-address.request-type</t>
  </si>
  <si>
    <t>attribute_profile.nas_ip_address.request_type; server_group.attribute_profile.nas_ip_address.request_type</t>
  </si>
  <si>
    <t>bgp.profile.router.route-selection-options.always-compare-med</t>
  </si>
  <si>
    <t>aruba-bgp:bgp.profile.router.route-selection-options.always-compare-med</t>
  </si>
  <si>
    <t>fault-monitor.profile.excessive-multicasts.threshold-rate</t>
  </si>
  <si>
    <t>aruba-fault-monitor:fault-monitor.profile.excessive-multicasts.threshold-rate</t>
  </si>
  <si>
    <t>ethernet-interfaces.interface.qos.unknown-unicast-rate-limit.packet-rate</t>
  </si>
  <si>
    <t>aruba-interface-ethernet:ethernet-interfaces.interface.qos.unknown-unicast-rate-limit.packet-rate</t>
  </si>
  <si>
    <t>interface.qos.unknown_unicast_rate_limit.packet_rate; qos.unknown_unicast_rate_limit.packet_rate</t>
  </si>
  <si>
    <t>portchannels.interface.qos.multicast-rate-limit.packet-rate</t>
  </si>
  <si>
    <t>aruba-interface-portchannel:portchannels.interface.qos.multicast-rate-limit.packet-rate</t>
  </si>
  <si>
    <t>portchannels.interface.sflow.enable</t>
  </si>
  <si>
    <t>aruba-interface-portchannel:portchannels.interface.sflow.enable</t>
  </si>
  <si>
    <t>vlan-interfaces.interface.igmp.query-max-response-time</t>
  </si>
  <si>
    <t>aruba-interface-vlan:vlan-interfaces.interface.igmp.query-max-response-time</t>
  </si>
  <si>
    <t>igmp.query_max_response_time; interface.igmp.query_max_response_time</t>
  </si>
  <si>
    <t>mac-lockout.profile.address.mac</t>
  </si>
  <si>
    <t>aruba-mac-lockout:mac-lockout.profile.address.mac</t>
  </si>
  <si>
    <t>ipfix-flow-monitor.monitors.description</t>
  </si>
  <si>
    <t>aruba-ipfix-flow-monitor:ipfix-flow-monitor.monitors.description</t>
  </si>
  <si>
    <t>multicast-dns.profile.service-discovery-service.identifiers-container.custom-identifiers</t>
  </si>
  <si>
    <t>aruba-multicast-dns:multicast-dns.profile.service-discovery-service.identifiers-container.custom-identifiers</t>
  </si>
  <si>
    <t>profile.service_discovery_service.identifiers_container.custom_identifiers; service_discovery_service.identifiers_container.custom_identifiers</t>
  </si>
  <si>
    <t>snmp.profile.snmp-trap-source.loopback-interface</t>
  </si>
  <si>
    <t>aruba-snmp:snmp.profile.snmp-trap-source.loopback-interface</t>
  </si>
  <si>
    <t>static-route.profile.ipv4.tag</t>
  </si>
  <si>
    <t>aruba-static-route:static-route.profile.ipv4.tag</t>
  </si>
  <si>
    <t>sw-port-profiles.profile.cdp.enable</t>
  </si>
  <si>
    <t>aruba-sw-port-profile:sw-port-profiles.profile.cdp.enable</t>
  </si>
  <si>
    <t>cdp.enable; profile.cdp.enable</t>
  </si>
  <si>
    <t>sw-port-profiles.profile.ip-directed-broadcast-enable</t>
  </si>
  <si>
    <t>aruba-sw-port-profile:sw-port-profiles.profile.ip-directed-broadcast-enable</t>
  </si>
  <si>
    <t>sw-port-profiles.profile.lacp.port-id</t>
  </si>
  <si>
    <t>aruba-sw-port-profile:sw-port-profiles.profile.lacp.port-id</t>
  </si>
  <si>
    <t>sw-port-profiles.profile.pim-sparse.enable</t>
  </si>
  <si>
    <t>aruba-sw-port-profile:sw-port-profiles.profile.pim-sparse.enable</t>
  </si>
  <si>
    <t>bgp.profile.router.neighbor.timers.hold-time</t>
  </si>
  <si>
    <t>aruba-bgp:bgp.profile.router.neighbor.timers.hold-time</t>
  </si>
  <si>
    <t>profile.router.neighbor.timers.hold_time; router.neighbor.timers.hold_time</t>
  </si>
  <si>
    <t>bgp.profile.router.neighbor.timers.keep-alive</t>
  </si>
  <si>
    <t>aruba-bgp:bgp.profile.router.neighbor.timers.keep-alive</t>
  </si>
  <si>
    <t>profile.router.neighbor.timers.keep_alive; router.neighbor.timers.keep_alive</t>
  </si>
  <si>
    <t>bgp.profile.router.neighbor.transport.local-ip-address</t>
  </si>
  <si>
    <t>aruba-bgp:bgp.profile.router.neighbor.transport.local-ip-address</t>
  </si>
  <si>
    <t>profile.router.neighbor.transport.local_ip_address; router.neighbor.transport.local_ip_address</t>
  </si>
  <si>
    <t>ethernet-interfaces.interface.lacp.port-id</t>
  </si>
  <si>
    <t>aruba-interface-ethernet:ethernet-interfaces.interface.lacp.port-id</t>
  </si>
  <si>
    <t>ethernet-interfaces.interface.lldp.med-poe-priority-override</t>
  </si>
  <si>
    <t>aruba-interface-ethernet:ethernet-interfaces.interface.lldp.med-poe-priority-override</t>
  </si>
  <si>
    <t>ethernet-interfaces.interface.vrrp.vrrp-profile-apply</t>
  </si>
  <si>
    <t>aruba-interface-ethernet:ethernet-interfaces.interface.vrrp.vrrp-profile-apply</t>
  </si>
  <si>
    <t>portchannels.interface.aaa-lag.authentication-lag.bpdu-bypass.lldp</t>
  </si>
  <si>
    <t>aruba-interface-portchannel:portchannels.interface.aaa-lag.authentication-lag.bpdu-bypass.lldp</t>
  </si>
  <si>
    <t>aaa_lag.authentication_lag.bpdu_bypass.lldp; interface.aaa_lag.authentication_lag.bpdu_bypass.lldp</t>
  </si>
  <si>
    <t>vlan-interfaces.interface.arp.proxy</t>
  </si>
  <si>
    <t>aruba-interface-vlan:vlan-interfaces.interface.arp.proxy</t>
  </si>
  <si>
    <t>job-scheduler.schedule.trigger-every</t>
  </si>
  <si>
    <t>aruba-job-scheduler:job-scheduler.schedule.trigger-every</t>
  </si>
  <si>
    <t>mirror-endpoint.profile.endpoints.source.destination-ip</t>
  </si>
  <si>
    <t>aruba-mirror-endpoint:mirror-endpoint.profile.endpoints.source.destination-ip</t>
  </si>
  <si>
    <t>mirror-endpoint.profile.endpoints.source.source-ip</t>
  </si>
  <si>
    <t>aruba-mirror-endpoint:mirror-endpoint.profile.endpoints.source.source-ip</t>
  </si>
  <si>
    <t>mirror-endpoint.profile.endpoints.source.tid</t>
  </si>
  <si>
    <t>aruba-mirror-endpoint:mirror-endpoint.profile.endpoints.source.tid</t>
  </si>
  <si>
    <t>mirror-endpoint.profile.endpoints.destinations.eth-interfaces</t>
  </si>
  <si>
    <t>aruba-mirror-endpoint:mirror-endpoint.profile.endpoints.destinations.eth-interfaces</t>
  </si>
  <si>
    <t>ospfv2.profile.routers.areas.area-type</t>
  </si>
  <si>
    <t>aruba-ospfv2:ospfv2.profile.routers.areas.area-type</t>
  </si>
  <si>
    <t>profile.routers.areas.area_type; routers.areas.area_type</t>
  </si>
  <si>
    <t>route-maps.route-map.route-map-entry.set-metric</t>
  </si>
  <si>
    <t>aruba-routemap:route-maps.route-map.route-map-entry.set-metric</t>
  </si>
  <si>
    <t>route_map.route_map_entry.set_metric; route_map_entry.set_metric</t>
  </si>
  <si>
    <t>sw-port-profiles.profile.igmp.version</t>
  </si>
  <si>
    <t>aruba-sw-port-profile:sw-port-profiles.profile.igmp.version</t>
  </si>
  <si>
    <t>sw-port-profiles.profile.udld.mode.compatibility-mode</t>
  </si>
  <si>
    <t>aruba-sw-port-profile:sw-port-profiles.profile.udld.mode.compatibility-mode</t>
  </si>
  <si>
    <t>profile.udld.mode.compatibility_mode; udld.mode.compatibility_mode</t>
  </si>
  <si>
    <t>bgp.profile.router.enable-snmp-traps</t>
  </si>
  <si>
    <t>aruba-bgp:bgp.profile.router.enable-snmp-traps</t>
  </si>
  <si>
    <t>profile.router.enable_snmp_traps; router.enable_snmp_traps</t>
  </si>
  <si>
    <t>bgp.profile.router.neighbor.auth-password</t>
  </si>
  <si>
    <t>aruba-bgp:bgp.profile.router.neighbor.auth-password</t>
  </si>
  <si>
    <t>profile.router.neighbor.auth_password; router.neighbor.auth_password</t>
  </si>
  <si>
    <t>ethernet-interfaces.interface.igmp-snooping-eth.forward-vlan</t>
  </si>
  <si>
    <t>aruba-interface-ethernet:ethernet-interfaces.interface.igmp-snooping-eth.forward-vlan</t>
  </si>
  <si>
    <t>portchannels.interface.ip.mtu</t>
  </si>
  <si>
    <t>aruba-interface-portchannel:portchannels.interface.ip.mtu</t>
  </si>
  <si>
    <t>vlan-interfaces.interface.ipv4-relay.bootp-gateway</t>
  </si>
  <si>
    <t>aruba-interface-vlan:vlan-interfaces.interface.ipv4-relay.bootp-gateway</t>
  </si>
  <si>
    <t>vxlan-vni.profile.vni.symmetric-routing</t>
  </si>
  <si>
    <t>aruba-interface-vni:vxlan-vni.profile.vni.symmetric-routing</t>
  </si>
  <si>
    <t>profile.vni.symmetric_routing; vni.symmetric_routing</t>
  </si>
  <si>
    <t>vxlan-vni.profile.vni.vrf</t>
  </si>
  <si>
    <t>aruba-interface-vni:vxlan-vni.profile.vni.vrf</t>
  </si>
  <si>
    <t>profile.vni.vrf; vni.vrf</t>
  </si>
  <si>
    <t>job-scheduler.schedule.start-time-every</t>
  </si>
  <si>
    <t>aruba-job-scheduler:job-scheduler.schedule.start-time-every</t>
  </si>
  <si>
    <t>local-management.profile.accounting.failthrough</t>
  </si>
  <si>
    <t>aruba-local-management:local-management.profile.accounting.failthrough</t>
  </si>
  <si>
    <t>aruba-msdp</t>
  </si>
  <si>
    <t>msdp.profile.name</t>
  </si>
  <si>
    <t>aruba-msdp:msdp.profile.name</t>
  </si>
  <si>
    <t>msdp.profile.router.vrf</t>
  </si>
  <si>
    <t>aruba-msdp:msdp.profile.router.vrf</t>
  </si>
  <si>
    <t>profile.router.vrf; router.vrf</t>
  </si>
  <si>
    <t>roles.role.vlan-parameters.private-vlan-port-type</t>
  </si>
  <si>
    <t>aruba-role:roles.role.vlan-parameters.private-vlan-port-type</t>
  </si>
  <si>
    <t>stp.profile.rpvst-mstp-interconnect-vlan</t>
  </si>
  <si>
    <t>aruba-stp:stp.profile.rpvst-mstp-interconnect-vlan</t>
  </si>
  <si>
    <t>profile.rpvst_mstp_interconnect_vlan; rpvst_mstp_interconnect_vlan</t>
  </si>
  <si>
    <t>sw-port-profiles.profile.loop-protect.vlans</t>
  </si>
  <si>
    <t>aruba-sw-port-profile:sw-port-profiles.profile.loop-protect.vlans</t>
  </si>
  <si>
    <t>loop_protect.vlans; profile.loop_protect.vlans</t>
  </si>
  <si>
    <t>dot1xauth.profile.discovery-period</t>
  </si>
  <si>
    <t>aruba-aaa-dot1xauth:dot1xauth.profile.discovery-period</t>
  </si>
  <si>
    <t>discovery_period</t>
  </si>
  <si>
    <t>bgp.profile.router.neighbor.transport.local-vlan-interface</t>
  </si>
  <si>
    <t>aruba-bgp:bgp.profile.router.neighbor.transport.local-vlan-interface</t>
  </si>
  <si>
    <t>profile.router.neighbor.transport.local_vlan_interface; router.neighbor.transport.local_vlan_interface</t>
  </si>
  <si>
    <t>evpn.profile.evpn-global.redistribute-local-svi</t>
  </si>
  <si>
    <t>aruba-evpn:evpn.profile.evpn-global.redistribute-local-svi</t>
  </si>
  <si>
    <t>evpn_global.redistribute_local_svi; profile.evpn_global.redistribute_local_svi</t>
  </si>
  <si>
    <t>device-certificates.device-certificate.cert-key-type</t>
  </si>
  <si>
    <t>aruba-device-certificate:device-certificates.device-certificate.cert-key-type</t>
  </si>
  <si>
    <t>ethernet-interfaces.interface.portfilter.eth-ports</t>
  </si>
  <si>
    <t>aruba-interface-ethernet:ethernet-interfaces.interface.portfilter.eth-ports</t>
  </si>
  <si>
    <t>ethernet-interfaces.interface.portfilter.lag-ports</t>
  </si>
  <si>
    <t>aruba-interface-ethernet:ethernet-interfaces.interface.portfilter.lag-ports</t>
  </si>
  <si>
    <t>vlan-interfaces.interface.pim-dense.source-address-any</t>
  </si>
  <si>
    <t>aruba-interface-vlan:vlan-interfaces.interface.pim-dense.source-address-any</t>
  </si>
  <si>
    <t>dhcp-client.profile.ip.enable-hostname</t>
  </si>
  <si>
    <t>aruba-dhcp-client:dhcp-client.profile.ip.enable-hostname</t>
  </si>
  <si>
    <t>aruba-macsec</t>
  </si>
  <si>
    <t>macsec.policy.name</t>
  </si>
  <si>
    <t>aruba-macsec:macsec.policy.name</t>
  </si>
  <si>
    <t>aruba-mka</t>
  </si>
  <si>
    <t>mka.policy.name</t>
  </si>
  <si>
    <t>aruba-mka:mka.policy.name</t>
  </si>
  <si>
    <t>ntp.profile.trusted-key</t>
  </si>
  <si>
    <t>aruba-ntp:ntp.profile.trusted-key</t>
  </si>
  <si>
    <t>ospfv2.profile.routers.areas.no-advertise-range.area-range-type</t>
  </si>
  <si>
    <t>aruba-ospfv2:ospfv2.profile.routers.areas.no-advertise-range.area-range-type</t>
  </si>
  <si>
    <t>ospfv2.profile.routers.areas.no-advertise-range.prefix</t>
  </si>
  <si>
    <t>aruba-ospfv2:ospfv2.profile.routers.areas.no-advertise-range.prefix</t>
  </si>
  <si>
    <t>ospfv2.profile.routers.areas.no-advertise-range.prefix-area-range-type</t>
  </si>
  <si>
    <t>aruba-ospfv2:ospfv2.profile.routers.areas.no-advertise-range.prefix-area-range-type</t>
  </si>
  <si>
    <t>profile.routers.areas.no_advertise_range.prefix_area_range_type; routers.areas.no_advertise_range.prefix_area_range_type</t>
  </si>
  <si>
    <t>pim-router.profile.router.candidate-rp.interface-vlan</t>
  </si>
  <si>
    <t>aruba-pim:pim-router.profile.router.candidate-rp.interface-vlan</t>
  </si>
  <si>
    <t>router.candidate_rp.interface_vlan</t>
  </si>
  <si>
    <t>route-maps.route-map.route-map-entry.set-community.community-value-all</t>
  </si>
  <si>
    <t>aruba-routemap:route-maps.route-map.route-map-entry.set-community.community-value-all</t>
  </si>
  <si>
    <t>route_map.route_map_entry.set_community.community_value_all; route_map_entry.set_community.community_value_all</t>
  </si>
  <si>
    <t>sw-port-profiles.profile.qos.broadcast-rate-limit.bit-rate</t>
  </si>
  <si>
    <t>aruba-sw-port-profile:sw-port-profiles.profile.qos.broadcast-rate-limit.bit-rate</t>
  </si>
  <si>
    <t>profile.qos.broadcast_rate_limit.bit_rate; qos.broadcast_rate_limit.bit_rate</t>
  </si>
  <si>
    <t>sw-port-profiles.profile.stp.bpdu-filter</t>
  </si>
  <si>
    <t>aruba-sw-port-profile:sw-port-profiles.profile.stp.bpdu-filter</t>
  </si>
  <si>
    <t>profile.stp.bpdu_filter; stp.bpdu_filter</t>
  </si>
  <si>
    <t>bgp.profile.router.peer-group.afi-safi.l2vpn-evpn.route-reflector-client</t>
  </si>
  <si>
    <t>aruba-bgp:bgp.profile.router.peer-group.afi-safi.l2vpn-evpn.route-reflector-client</t>
  </si>
  <si>
    <t>profile.router.peer_group.afi_safi.l2vpn_evpn.route_reflector_client; router.peer_group.afi_safi.l2vpn_evpn.route_reflector_client</t>
  </si>
  <si>
    <t>dhcp-pool.profile.ipv4-pool.option.hex</t>
  </si>
  <si>
    <t>aruba-dhcp-pool:dhcp-pool.profile.ipv4-pool.option.hex</t>
  </si>
  <si>
    <t>ipv4_pool.option.hex; profile.ipv4_pool.option.hex</t>
  </si>
  <si>
    <t>ethernet-interfaces.interface.qos.dscp</t>
  </si>
  <si>
    <t>aruba-interface-ethernet:ethernet-interfaces.interface.qos.dscp</t>
  </si>
  <si>
    <t>interface.qos.dscp; qos.dscp</t>
  </si>
  <si>
    <t>ethernet-interfaces.interface.split-port-speed</t>
  </si>
  <si>
    <t>aruba-interface-ethernet:ethernet-interfaces.interface.split-port-speed</t>
  </si>
  <si>
    <t>interface.split_port_speed; split_port_speed</t>
  </si>
  <si>
    <t>lldp.profile.transmit-interval</t>
  </si>
  <si>
    <t>aruba-lldp:lldp.profile.transmit-interval</t>
  </si>
  <si>
    <t>vlan-interfaces.interface.ipv6.autoconfig</t>
  </si>
  <si>
    <t>aruba-interface-vlan:vlan-interfaces.interface.ipv6.autoconfig</t>
  </si>
  <si>
    <t>vlan-interfaces.interface.ipv6.enable-default-link-local</t>
  </si>
  <si>
    <t>aruba-interface-vlan:vlan-interfaces.interface.ipv6.enable-default-link-local</t>
  </si>
  <si>
    <t>object-groups.group.items.ports.max</t>
  </si>
  <si>
    <t>aruba-object-group:object-groups.group.items.ports.max</t>
  </si>
  <si>
    <t>nexthop-groups.group.nexthops.default-host</t>
  </si>
  <si>
    <t>aruba-nexthop-group:nexthop-groups.group.nexthops.default-host</t>
  </si>
  <si>
    <t>management-users.user.interface.ssh</t>
  </si>
  <si>
    <t>aruba-management-user:management-users.user.interface.ssh</t>
  </si>
  <si>
    <t>ospfv2.profile.routers.max-metric.include-stub</t>
  </si>
  <si>
    <t>aruba-ospfv2:ospfv2.profile.routers.max-metric.include-stub</t>
  </si>
  <si>
    <t>profile.routers.max_metric.include_stub; routers.max_metric.include_stub</t>
  </si>
  <si>
    <t>policies.policy.security-policy.policy-rule.condition.destination.network-address.network-ipv4-address</t>
  </si>
  <si>
    <t>aruba-policy:policies.policy.security-policy.policy-rule.condition.destination.network-address.network-ipv4-address</t>
  </si>
  <si>
    <t>policy.security_policy.policy_rule.condition.destination.network_address.network_ipv4_address; security_policy.policy_rule.condition.destination.network_address.network_ipv4_address</t>
  </si>
  <si>
    <t>sw-port-profiles.profile.dpi-enable</t>
  </si>
  <si>
    <t>aruba-sw-port-profile:sw-port-profiles.profile.dpi-enable</t>
  </si>
  <si>
    <t>dpi_enable; profile.dpi_enable</t>
  </si>
  <si>
    <t>vrrp.profile.virtual-router.preempt-delay</t>
  </si>
  <si>
    <t>aruba-vrrp-interface:vrrp.profile.virtual-router.preempt-delay</t>
  </si>
  <si>
    <t>profile.virtual_router.preempt_delay; virtual_router.preempt_delay</t>
  </si>
  <si>
    <t>bgp.profile.router.neighbor.ebgp-multihop-ttl</t>
  </si>
  <si>
    <t>aruba-bgp:bgp.profile.router.neighbor.ebgp-multihop-ttl</t>
  </si>
  <si>
    <t>profile.router.neighbor.ebgp_multihop_ttl; router.neighbor.ebgp_multihop_ttl</t>
  </si>
  <si>
    <t>bgp.profile.router.neighbor.local-as</t>
  </si>
  <si>
    <t>aruba-bgp:bgp.profile.router.neighbor.local-as</t>
  </si>
  <si>
    <t>ethernet-interfaces.interface.error-control</t>
  </si>
  <si>
    <t>aruba-interface-ethernet:ethernet-interfaces.interface.error-control</t>
  </si>
  <si>
    <t>ethernet-interfaces.interface.qos.unknown-unicast-rate-limit.percentage</t>
  </si>
  <si>
    <t>aruba-interface-ethernet:ethernet-interfaces.interface.qos.unknown-unicast-rate-limit.percentage</t>
  </si>
  <si>
    <t>interface.qos.unknown_unicast_rate_limit.percentage; qos.unknown_unicast_rate_limit.percentage</t>
  </si>
  <si>
    <t>portchannels.interface.aaa-lag.authentication-lag.bpdu-bypass.cdp</t>
  </si>
  <si>
    <t>aruba-interface-portchannel:portchannels.interface.aaa-lag.authentication-lag.bpdu-bypass.cdp</t>
  </si>
  <si>
    <t>aaa_lag.authentication_lag.bpdu_bypass.cdp; interface.aaa_lag.authentication_lag.bpdu_bypass.cdp</t>
  </si>
  <si>
    <t>sub-interfaces.interface.description</t>
  </si>
  <si>
    <t>aruba-interface-subinterface:sub-interfaces.interface.description</t>
  </si>
  <si>
    <t>qos-schedules.profile.sched-entries.minimum-bandwidth</t>
  </si>
  <si>
    <t>aruba-qos-schedule:qos-schedules.profile.sched-entries.minimum-bandwidth</t>
  </si>
  <si>
    <t>job-scheduler.schedule.start-date-every</t>
  </si>
  <si>
    <t>aruba-job-scheduler:job-scheduler.schedule.start-date-every</t>
  </si>
  <si>
    <t>layer2-vlan-range.igmp.static-group</t>
  </si>
  <si>
    <t>aruba-vlan-range:layer2-vlan-range.igmp.static-group</t>
  </si>
  <si>
    <t>mka.policy.cak-info.ckn</t>
  </si>
  <si>
    <t>aruba-mka:mka.policy.cak-info.ckn</t>
  </si>
  <si>
    <t>mka.policy.cak-info.key-type</t>
  </si>
  <si>
    <t>aruba-mka:mka.policy.cak-info.key-type</t>
  </si>
  <si>
    <t>lldp.profile.reinit-delay</t>
  </si>
  <si>
    <t>aruba-lldp:lldp.profile.reinit-delay</t>
  </si>
  <si>
    <t>vsx-config.vsx.inter-switch-link.peer-detect-interval</t>
  </si>
  <si>
    <t>aruba-vsx-pair:vsx-config.vsx.inter-switch-link.peer-detect-interval</t>
  </si>
  <si>
    <t>psm.psm-instance.vrf</t>
  </si>
  <si>
    <t>aruba-psm:psm.psm-instance.vrf</t>
  </si>
  <si>
    <t>ipsla.profile.source-sessions.frequency</t>
  </si>
  <si>
    <t>aruba-ipsla:ipsla.profile.source-sessions.frequency</t>
  </si>
  <si>
    <t>ntp.profile.servers.key-identifier</t>
  </si>
  <si>
    <t>aruba-ntp:ntp.profile.servers.key-identifier</t>
  </si>
  <si>
    <t>ospfv2.profile.routers.max-metric.on-startup</t>
  </si>
  <si>
    <t>aruba-ospfv2:ospfv2.profile.routers.max-metric.on-startup</t>
  </si>
  <si>
    <t>profile.routers.max_metric.on_startup; routers.max_metric.on_startup</t>
  </si>
  <si>
    <t>sw-port-profiles.profile.switchport.tag</t>
  </si>
  <si>
    <t>aruba-sw-port-profile:sw-port-profiles.profile.switchport.tag</t>
  </si>
  <si>
    <t>profile.switchport.tag; switchport.tag</t>
  </si>
  <si>
    <t>layer2-vlan.l2-vlan.igmp.static-group</t>
  </si>
  <si>
    <t>aruba-vlan:layer2-vlan.l2-vlan.igmp.static-group</t>
  </si>
  <si>
    <t>igmp.static_group; l2_vlan.igmp.static_group</t>
  </si>
  <si>
    <t>vsx-profiles.vsx.sync-features.inter-switch-link-timers.peer-detect-interval</t>
  </si>
  <si>
    <t>aruba-vsx:vsx-profiles.vsx.sync-features.inter-switch-link-timers.peer-detect-interval</t>
  </si>
  <si>
    <t>sync_features.inter_switch_link_timers.peer_detect_interval; vsx.sync_features.inter_switch_link_timers.peer_detect_interval</t>
  </si>
  <si>
    <t>auth-server-global-config.profile.tracking-password-config.plaintext-value</t>
  </si>
  <si>
    <t>aruba-auth-server-global:auth-server-global-config.profile.tracking-password-config.plaintext-value</t>
  </si>
  <si>
    <t>profile.tracking_password_config.plaintext_value; tracking_password_config.plaintext_value</t>
  </si>
  <si>
    <t>bgp.profile.router.peer-group.fall-over-bfd</t>
  </si>
  <si>
    <t>aruba-bgp:bgp.profile.router.peer-group.fall-over-bfd</t>
  </si>
  <si>
    <t>profile.router.peer_group.fall_over_bfd; router.peer_group.fall_over_bfd</t>
  </si>
  <si>
    <t>aruba-est</t>
  </si>
  <si>
    <t>est-profiles.profile.name</t>
  </si>
  <si>
    <t>aruba-est:est-profiles.profile.name</t>
  </si>
  <si>
    <t>ethernet-interfaces.interface.client-limit</t>
  </si>
  <si>
    <t>aruba-interface-ethernet:ethernet-interfaces.interface.client-limit</t>
  </si>
  <si>
    <t>aaa.authentication.client_limit; aaa.authentication.dot1x_auth.client_limit; interface.aaa.authentication.client_limit; interface.aaa.authentication.dot1x_auth.client_limit; interface.port_security.client_limit; port_security.client_limit</t>
  </si>
  <si>
    <t>portchannels.interface.aaa-lag.authentication-lag.allow-flood-traffic</t>
  </si>
  <si>
    <t>aruba-interface-portchannel:portchannels.interface.aaa-lag.authentication-lag.allow-flood-traffic</t>
  </si>
  <si>
    <t>aaa_lag.authentication_lag.allow_flood_traffic; interface.aaa_lag.authentication_lag.allow_flood_traffic</t>
  </si>
  <si>
    <t>portchannels.interface.mac-notify-traps</t>
  </si>
  <si>
    <t>aruba-interface-portchannel:portchannels.interface.mac-notify-traps</t>
  </si>
  <si>
    <t>portchannels.interface.qos.icmp-rate-limit.icmp-traffic-type</t>
  </si>
  <si>
    <t>aruba-interface-portchannel:portchannels.interface.qos.icmp-rate-limit.icmp-traffic-type</t>
  </si>
  <si>
    <t>portchannels.interface.qos.icmp-rate-limit.rate-type</t>
  </si>
  <si>
    <t>aruba-interface-portchannel:portchannels.interface.qos.icmp-rate-limit.rate-type</t>
  </si>
  <si>
    <t>sub-interfaces.interface.vrf-forwarding</t>
  </si>
  <si>
    <t>aruba-interface-subinterface:sub-interfaces.interface.vrf-forwarding</t>
  </si>
  <si>
    <t>interface.vrf_forwarding</t>
  </si>
  <si>
    <t>vlan-interfaces.interface.arp.neighbor.address</t>
  </si>
  <si>
    <t>aruba-interface-vlan:vlan-interfaces.interface.arp.neighbor.address</t>
  </si>
  <si>
    <t>interface.ipv4.address; interface.ipv6.addresses.address; ipv4.address; ipv6.addresses.address</t>
  </si>
  <si>
    <t>vlan-interfaces.interface.arp.neighbor.mac-address</t>
  </si>
  <si>
    <t>aruba-interface-vlan:vlan-interfaces.interface.arp.neighbor.mac-address</t>
  </si>
  <si>
    <t>vsx-config.vsx.split-recovery-disable</t>
  </si>
  <si>
    <t>aruba-vsx-pair:vsx-config.vsx.split-recovery-disable</t>
  </si>
  <si>
    <t>mka.policy.cak-info.cak-ciphertext</t>
  </si>
  <si>
    <t>aruba-mka:mka.policy.cak-info.cak-ciphertext</t>
  </si>
  <si>
    <t>logging.profile.filter.entry.match-severity.match-severity-key</t>
  </si>
  <si>
    <t>aruba-logging:logging.profile.filter.entry.match-severity.match-severity-key</t>
  </si>
  <si>
    <t>logging.profile.filter.entry.match-severity.match-severity-value</t>
  </si>
  <si>
    <t>aruba-logging:logging.profile.filter.entry.match-severity.match-severity-value</t>
  </si>
  <si>
    <t>lldp.profile.dcbx-enable</t>
  </si>
  <si>
    <t>aruba-lldp:lldp.profile.dcbx-enable</t>
  </si>
  <si>
    <t>mirror-endpoint.profile.endpoints.enable</t>
  </si>
  <si>
    <t>aruba-mirror-endpoint:mirror-endpoint.profile.endpoints.enable</t>
  </si>
  <si>
    <t>multicast-dns.profile.service-discovery-service.identifiers-container.identifiers</t>
  </si>
  <si>
    <t>aruba-multicast-dns:multicast-dns.profile.service-discovery-service.identifiers-container.identifiers</t>
  </si>
  <si>
    <t>profile.service_discovery_service.identifiers_container.identifiers; service_discovery_service.identifiers_container.identifiers</t>
  </si>
  <si>
    <t>route-maps.route-map.route-map-entry.description</t>
  </si>
  <si>
    <t>aruba-routemap:route-maps.route-map.route-map-entry.description</t>
  </si>
  <si>
    <t>sw-port-profiles.profile.qos.multicast-rate-limit.bit-rate</t>
  </si>
  <si>
    <t>aruba-sw-port-profile:sw-port-profiles.profile.qos.multicast-rate-limit.bit-rate</t>
  </si>
  <si>
    <t>profile.qos.multicast_rate_limit.bit_rate; qos.multicast_rate_limit.bit_rate</t>
  </si>
  <si>
    <t>switch-system.profile.aaa.dot1x-supp.enable</t>
  </si>
  <si>
    <t>aruba-switch-system:switch-system.profile.aaa.dot1x-supp.enable</t>
  </si>
  <si>
    <t>vrrp.profile.virtual-router.sec-address</t>
  </si>
  <si>
    <t>aruba-vrrp-interface:vrrp.profile.virtual-router.sec-address</t>
  </si>
  <si>
    <t>vsx-profiles.vsx.sync-features.split-recovery-disable</t>
  </si>
  <si>
    <t>aruba-vsx:vsx-profiles.vsx.sync-features.split-recovery-disable</t>
  </si>
  <si>
    <t>sync_features.split_recovery_disable; vsx.sync_features.split_recovery_disable</t>
  </si>
  <si>
    <t>bgp.profile.router.global-afi-safi.global-ipv4-unicast.aggregate-address.address</t>
  </si>
  <si>
    <t>aruba-bgp:bgp.profile.router.global-afi-safi.global-ipv4-unicast.aggregate-address.address</t>
  </si>
  <si>
    <t>profile.router.global_afi_safi.global_ipv4_unicast.aggregate_address.address; router.global_afi_safi.global_ipv4_unicast.aggregate_address.address</t>
  </si>
  <si>
    <t>bgp.profile.router.peer-group.afi-safi.ipv4-unicast.apply-route-map.direction</t>
  </si>
  <si>
    <t>aruba-bgp:bgp.profile.router.peer-group.afi-safi.ipv4-unicast.apply-route-map.direction</t>
  </si>
  <si>
    <t>profile.router.peer_group.afi_safi.ipv4_unicast.apply_route_map.direction; router.peer_group.afi_safi.ipv4_unicast.apply_route_map.direction</t>
  </si>
  <si>
    <t>bgp.profile.router.peer-group.afi-safi.ipv4-unicast.apply-route-map.route-map</t>
  </si>
  <si>
    <t>aruba-bgp:bgp.profile.router.peer-group.afi-safi.ipv4-unicast.apply-route-map.route-map</t>
  </si>
  <si>
    <t>profile.router.peer_group.afi_safi.ipv4_unicast.apply_route_map.route_map; router.peer_group.afi_safi.ipv4_unicast.apply_route_map.route_map</t>
  </si>
  <si>
    <t>ethernet-interfaces.interface.ip.l3-counters</t>
  </si>
  <si>
    <t>aruba-interface-ethernet:ethernet-interfaces.interface.ip.l3-counters</t>
  </si>
  <si>
    <t>portchannels.interface.stp.cost</t>
  </si>
  <si>
    <t>aruba-interface-portchannel:portchannels.interface.stp.cost</t>
  </si>
  <si>
    <t>vlan-interfaces.interface.ipv6-neighbor-discovery.router-advertisement.enable</t>
  </si>
  <si>
    <t>aruba-interface-vlan:vlan-interfaces.interface.ipv6-neighbor-discovery.router-advertisement.enable</t>
  </si>
  <si>
    <t>local-management.profile.password-complexity.special-char-count</t>
  </si>
  <si>
    <t>aruba-local-management:local-management.profile.password-complexity.special-char-count</t>
  </si>
  <si>
    <t>local-management.profile.password-complexity.uppercase-count</t>
  </si>
  <si>
    <t>aruba-local-management:local-management.profile.password-complexity.uppercase-count</t>
  </si>
  <si>
    <t>local-management.profile.ssh-server-global-configs.pubkey-authentication</t>
  </si>
  <si>
    <t>aruba-local-management:local-management.profile.ssh-server-global-configs.pubkey-authentication</t>
  </si>
  <si>
    <t>management-users.user.interface.https-server</t>
  </si>
  <si>
    <t>aruba-management-user:management-users.user.interface.https-server</t>
  </si>
  <si>
    <t>mgmd-global.profile.igmp.fastlearn.lag-ports</t>
  </si>
  <si>
    <t>aruba-mgmd:mgmd-global.profile.igmp.fastlearn.lag-ports</t>
  </si>
  <si>
    <t>aruba-static-mac</t>
  </si>
  <si>
    <t>static-macs.profile.name</t>
  </si>
  <si>
    <t>aruba-static-mac:static-macs.profile.name</t>
  </si>
  <si>
    <t>static-macs.profile.static-mac.destination-port.l2-destination</t>
  </si>
  <si>
    <t>aruba-static-mac:static-macs.profile.static-mac.destination-port.l2-destination</t>
  </si>
  <si>
    <t>static-macs.profile.static-mac.mac</t>
  </si>
  <si>
    <t>aruba-static-mac:static-macs.profile.static-mac.mac</t>
  </si>
  <si>
    <t>static-macs.profile.static-mac.mac-vlan</t>
  </si>
  <si>
    <t>aruba-static-mac:static-macs.profile.static-mac.mac-vlan</t>
  </si>
  <si>
    <t>static-macs.profile.static-mac.vlan</t>
  </si>
  <si>
    <t>aruba-static-mac:static-macs.profile.static-mac.vlan</t>
  </si>
  <si>
    <t>ospfv2.profile.routers.areas.svi-interfaces.dead-interval</t>
  </si>
  <si>
    <t>aruba-ospfv2:ospfv2.profile.routers.areas.svi-interfaces.dead-interval</t>
  </si>
  <si>
    <t>ospfv2.profile.routers.areas.svi-interfaces.hello-interval</t>
  </si>
  <si>
    <t>aruba-ospfv2:ospfv2.profile.routers.areas.svi-interfaces.hello-interval</t>
  </si>
  <si>
    <t>pim-router.profile.router.candidate-bsr.priority</t>
  </si>
  <si>
    <t>aruba-pim:pim-router.profile.router.candidate-bsr.priority</t>
  </si>
  <si>
    <t>router.candidate_bsr.priority</t>
  </si>
  <si>
    <t>dot1xauth.profile.initial-auth-response-timeout</t>
  </si>
  <si>
    <t>aruba-aaa-dot1xauth:dot1xauth.profile.initial-auth-response-timeout</t>
  </si>
  <si>
    <t>initial_auth_response_timeout</t>
  </si>
  <si>
    <t>bgp.profile.router.peer-group.afi-safi.ipv4-unicast.send-community.send-community-enable</t>
  </si>
  <si>
    <t>aruba-bgp:bgp.profile.router.peer-group.afi-safi.ipv4-unicast.send-community.send-community-enable</t>
  </si>
  <si>
    <t>profile.router.peer_group.afi_safi.ipv4_unicast.send_community.send_community_enable; router.peer_group.afi_safi.ipv4_unicast.send_community.send_community_enable</t>
  </si>
  <si>
    <t>bgp.profile.router.peer-group.afi-safi.ipv4-unicast.send-community.type</t>
  </si>
  <si>
    <t>aruba-bgp:bgp.profile.router.peer-group.afi-safi.ipv4-unicast.send-community.type</t>
  </si>
  <si>
    <t>profile.router.peer_group.afi_safi.ipv4_unicast.send_community.type; router.peer_group.afi_safi.ipv4_unicast.send_community.type</t>
  </si>
  <si>
    <t>aruba-community-list</t>
  </si>
  <si>
    <t>community-lists.community-list.community-list-entry.op-type</t>
  </si>
  <si>
    <t>aruba-community-list:community-lists.community-list.community-list-entry.op-type</t>
  </si>
  <si>
    <t>community-lists.community-list.community-list-entry.seq-no</t>
  </si>
  <si>
    <t>aruba-community-list:community-lists.community-list.community-list-entry.seq-no</t>
  </si>
  <si>
    <t>community-lists.community-list.community-list-entry.seq-no-op-type</t>
  </si>
  <si>
    <t>aruba-community-list:community-lists.community-list.community-list-entry.seq-no-op-type</t>
  </si>
  <si>
    <t>community_list.community_list_entry.seq_no_op_type; community_list_entry.seq_no_op_type</t>
  </si>
  <si>
    <t>community-lists.community-list.community-list-name</t>
  </si>
  <si>
    <t>aruba-community-list:community-lists.community-list.community-list-name</t>
  </si>
  <si>
    <t>community-lists.community-list.community-list-name-community-type</t>
  </si>
  <si>
    <t>aruba-community-list:community-lists.community-list.community-list-name-community-type</t>
  </si>
  <si>
    <t>community_list.community_list_name_community_type; community_list_name_community_type</t>
  </si>
  <si>
    <t>community-lists.community-list.community-type</t>
  </si>
  <si>
    <t>aruba-community-list:community-lists.community-list.community-type</t>
  </si>
  <si>
    <t>dhcp-relay.profile.ipv4.hop-count-increment</t>
  </si>
  <si>
    <t>aruba-dhcp-relay:dhcp-relay.profile.ipv4.hop-count-increment</t>
  </si>
  <si>
    <t>ipv4.hop_count_increment; profile.ipv4.hop_count_increment</t>
  </si>
  <si>
    <t>ethernet-interfaces.interface.aaa.authentication.bpdu-auth.lldp</t>
  </si>
  <si>
    <t>aruba-interface-ethernet:ethernet-interfaces.interface.aaa.authentication.bpdu-auth.lldp</t>
  </si>
  <si>
    <t>aaa.authentication.bpdu_auth.lldp; interface.aaa.authentication.bpdu_auth.lldp</t>
  </si>
  <si>
    <t>ethernet-interfaces.interface.ipv6.enable-default-link-local</t>
  </si>
  <si>
    <t>aruba-interface-ethernet:ethernet-interfaces.interface.ipv6.enable-default-link-local</t>
  </si>
  <si>
    <t>ethernet-interfaces.interface.pim-dense.enable</t>
  </si>
  <si>
    <t>aruba-interface-ethernet:ethernet-interfaces.interface.pim-dense.enable</t>
  </si>
  <si>
    <t>ethernet-interfaces.interface.qos.egress-rate</t>
  </si>
  <si>
    <t>aruba-interface-ethernet:ethernet-interfaces.interface.qos.egress-rate</t>
  </si>
  <si>
    <t>interface.qos.egress_rate; qos.egress_rate</t>
  </si>
  <si>
    <t>aruba-l3-route</t>
  </si>
  <si>
    <t>l3-route.profile.name</t>
  </si>
  <si>
    <t>aruba-l3-route:l3-route.profile.name</t>
  </si>
  <si>
    <t>portchannels.interface.ipfix-flow-monitor-in.ipv4-monitor</t>
  </si>
  <si>
    <t>aruba-interface-portchannel:portchannels.interface.ipfix-flow-monitor-in.ipv4-monitor</t>
  </si>
  <si>
    <t>portchannels.interface.qos.broadcast-rate-limit.percentage</t>
  </si>
  <si>
    <t>aruba-interface-portchannel:portchannels.interface.qos.broadcast-rate-limit.percentage</t>
  </si>
  <si>
    <t>keychains.keychain.keys.crypto-algorithm</t>
  </si>
  <si>
    <t>aruba-keychain:keychains.keychain.keys.crypto-algorithm</t>
  </si>
  <si>
    <t>device-certificates.device-certificate.rsa-key-length</t>
  </si>
  <si>
    <t>aruba-device-certificate:device-certificates.device-certificate.rsa-key-length</t>
  </si>
  <si>
    <t>vxlan.profile.enable-counters</t>
  </si>
  <si>
    <t>aruba-interface-vxlan:vxlan.profile.enable-counters</t>
  </si>
  <si>
    <t>job-scheduler.schedule.job.entry.cli-delay</t>
  </si>
  <si>
    <t>aruba-job-scheduler:job-scheduler.schedule.job.entry.cli-delay</t>
  </si>
  <si>
    <t>job-scheduler.schedule.count</t>
  </si>
  <si>
    <t>aruba-job-scheduler:job-scheduler.schedule.count</t>
  </si>
  <si>
    <t>local-management.profile.password-complexity.history-count</t>
  </si>
  <si>
    <t>aruba-local-management:local-management.profile.password-complexity.history-count</t>
  </si>
  <si>
    <t>local-management.profile.password-complexity.lowercase-count</t>
  </si>
  <si>
    <t>aruba-local-management:local-management.profile.password-complexity.lowercase-count</t>
  </si>
  <si>
    <t>named-vlan.profile.vlan.vlan-id-ranges</t>
  </si>
  <si>
    <t>aruba-named-vlan:named-vlan.profile.vlan.vlan-id-ranges</t>
  </si>
  <si>
    <t>profile.vlan.vlan_id_ranges; vlan.vlan_id_ranges</t>
  </si>
  <si>
    <t>pim-router.profile.router.candidate-bsr.interface-vlan</t>
  </si>
  <si>
    <t>aruba-pim:pim-router.profile.router.candidate-bsr.interface-vlan</t>
  </si>
  <si>
    <t>router.candidate_bsr.interface_vlan</t>
  </si>
  <si>
    <t>stp.profile.mstp.topology-change-trap</t>
  </si>
  <si>
    <t>aruba-stp:stp.profile.mstp.topology-change-trap</t>
  </si>
  <si>
    <t>mstp.topology_change_trap; profile.mstp.topology_change_trap</t>
  </si>
  <si>
    <t>switch-system.profile.aaa.auto-vlan-enable</t>
  </si>
  <si>
    <t>aruba-switch-system:switch-system.profile.aaa.auto-vlan-enable</t>
  </si>
  <si>
    <t>server-groups.server-group.attribute-profile.tunnel-private-group-id.value</t>
  </si>
  <si>
    <t>aruba-auth-server-group:server-groups.server-group.attribute-profile.tunnel-private-group-id.value</t>
  </si>
  <si>
    <t>attribute_profile.tunnel_private_group_id.value; server_group.attribute_profile.tunnel_private_group_id.value</t>
  </si>
  <si>
    <t>bgp.profile.router.neighbor.afi-safi.ipv4-unicast.default-originate.default-originate-enable</t>
  </si>
  <si>
    <t>aruba-bgp:bgp.profile.router.neighbor.afi-safi.ipv4-unicast.default-originate.default-originate-enable</t>
  </si>
  <si>
    <t>profile.router.neighbor.afi_safi.ipv4_unicast.default_originate.default_originate_enable; router.neighbor.afi_safi.ipv4_unicast.default_originate.default_originate_enable</t>
  </si>
  <si>
    <t>est-profiles.profile.server-host</t>
  </si>
  <si>
    <t>aruba-est:est-profiles.profile.server-host</t>
  </si>
  <si>
    <t>profile.server_host; server_host</t>
  </si>
  <si>
    <t>est-profiles.profile.username</t>
  </si>
  <si>
    <t>aruba-est:est-profiles.profile.username</t>
  </si>
  <si>
    <t>profile.username; username</t>
  </si>
  <si>
    <t>aruba-external-storage</t>
  </si>
  <si>
    <t>external-storage.profile.name</t>
  </si>
  <si>
    <t>aruba-external-storage:external-storage.profile.name</t>
  </si>
  <si>
    <t>profile.name</t>
  </si>
  <si>
    <t>external-storage.profile.store.store-name</t>
  </si>
  <si>
    <t>aruba-external-storage:external-storage.profile.store.store-name</t>
  </si>
  <si>
    <t>profile.store.store_name</t>
  </si>
  <si>
    <t>devicefingerprinting-profile.profile.cdp-tlv-numbers</t>
  </si>
  <si>
    <t>aruba-devicefingerprinting-profile:devicefingerprinting-profile.profile.cdp-tlv-numbers</t>
  </si>
  <si>
    <t>aruba-rip</t>
  </si>
  <si>
    <t>rip.router.instance-tag</t>
  </si>
  <si>
    <t>aruba-rip:rip.router.instance-tag</t>
  </si>
  <si>
    <t>rip.router.instance-tag-vrf-proto-type</t>
  </si>
  <si>
    <t>aruba-rip:rip.router.instance-tag-vrf-proto-type</t>
  </si>
  <si>
    <t>rip.router.proto-type</t>
  </si>
  <si>
    <t>aruba-rip:rip.router.proto-type</t>
  </si>
  <si>
    <t>rip.router.vrf</t>
  </si>
  <si>
    <t>aruba-rip:rip.router.vrf</t>
  </si>
  <si>
    <t>mka.policy.key-server-priority</t>
  </si>
  <si>
    <t>aruba-mka:mka.policy.key-server-priority</t>
  </si>
  <si>
    <t>macsec.policy.replay-window</t>
  </si>
  <si>
    <t>aruba-macsec:macsec.policy.replay-window</t>
  </si>
  <si>
    <t>local-management.profile.ssh-server-global-configs.allow-list.ipv6-allow-list</t>
  </si>
  <si>
    <t>aruba-local-management:local-management.profile.ssh-server-global-configs.allow-list.ipv6-allow-list</t>
  </si>
  <si>
    <t>ipfix-flow-record.records.collect.forwarding-status</t>
  </si>
  <si>
    <t>aruba-ipfix-flow-record:ipfix-flow-record.records.collect.forwarding-status</t>
  </si>
  <si>
    <t>mirrors.profile.session.session-destination.vrf</t>
  </si>
  <si>
    <t>aruba-mirror:mirrors.profile.session.session-destination.vrf</t>
  </si>
  <si>
    <t>msdp.profile.router.enable</t>
  </si>
  <si>
    <t>aruba-msdp:msdp.profile.router.enable</t>
  </si>
  <si>
    <t>profile.router.enable; router.enable</t>
  </si>
  <si>
    <t>snmp.profile.snmp-response-source.loopback-interface</t>
  </si>
  <si>
    <t>aruba-snmp:snmp.profile.snmp-response-source.loopback-interface</t>
  </si>
  <si>
    <t>sw-port-profiles.profile.udld.mode.aruba-mode</t>
  </si>
  <si>
    <t>aruba-sw-port-profile:sw-port-profiles.profile.udld.mode.aruba-mode</t>
  </si>
  <si>
    <t>profile.udld.mode.aruba_mode; udld.mode.aruba_mode</t>
  </si>
  <si>
    <t>stacks.stack.members.links.link2.description</t>
  </si>
  <si>
    <t>aruba-switch-stack:stacks.stack.members.links.link2.description</t>
  </si>
  <si>
    <t>est-profiles.profile.ciphertext-password</t>
  </si>
  <si>
    <t>aruba-est:est-profiles.profile.ciphertext-password</t>
  </si>
  <si>
    <t>fault-monitor.profile.excessive-alignment-errors.action</t>
  </si>
  <si>
    <t>aruba-fault-monitor:fault-monitor.profile.excessive-alignment-errors.action</t>
  </si>
  <si>
    <t>excessive_alignment_errors.action; profile.excessive_alignment_errors.action</t>
  </si>
  <si>
    <t>ethernet-interfaces.interface.mvrp.enable</t>
  </si>
  <si>
    <t>aruba-interface-ethernet:ethernet-interfaces.interface.mvrp.enable</t>
  </si>
  <si>
    <t>ethernet-interfaces.interface.pim-sparse.source-address-any</t>
  </si>
  <si>
    <t>aruba-interface-ethernet:ethernet-interfaces.interface.pim-sparse.source-address-any</t>
  </si>
  <si>
    <t>ethernet-interfaces.interface.policy.mac-access-list-in</t>
  </si>
  <si>
    <t>aruba-interface-ethernet:ethernet-interfaces.interface.policy.mac-access-list-in</t>
  </si>
  <si>
    <t>ethernet-interfaces.interface.udld.mode.aruba-mode</t>
  </si>
  <si>
    <t>aruba-interface-ethernet:ethernet-interfaces.interface.udld.mode.aruba-mode</t>
  </si>
  <si>
    <t>interface.udld.mode.aruba_mode; udld.mode.aruba_mode</t>
  </si>
  <si>
    <t>portchannels.interface.pvlan-port-mode</t>
  </si>
  <si>
    <t>aruba-interface-portchannel:portchannels.interface.pvlan-port-mode</t>
  </si>
  <si>
    <t>vlan-interfaces.interface.active-gateway.virtual-gw-l3-src-mac-enable</t>
  </si>
  <si>
    <t>aruba-interface-vlan:vlan-interfaces.interface.active-gateway.virtual-gw-l3-src-mac-enable</t>
  </si>
  <si>
    <t>active_gateway.virtual_gw_l3_src_mac_enable; interface.active_gateway.virtual_gw_l3_src_mac_enable</t>
  </si>
  <si>
    <t>certificate-rcp.ta-profile.ocsp.enforcement-level</t>
  </si>
  <si>
    <t>aruba-certificate-rcp:certificate-rcp.ta-profile.ocsp.enforcement-level</t>
  </si>
  <si>
    <t>vxlan-tunnel.profile.interface.dst</t>
  </si>
  <si>
    <t>aruba-interface-vxlan-tunnel:vxlan-tunnel.profile.interface.dst</t>
  </si>
  <si>
    <t>interface.dst; profile.interface.dst</t>
  </si>
  <si>
    <t>vxlan-tunnel.profile.interface.id</t>
  </si>
  <si>
    <t>aruba-interface-vxlan-tunnel:vxlan-tunnel.profile.interface.id</t>
  </si>
  <si>
    <t>interface.id; profile.interface.id</t>
  </si>
  <si>
    <t>vxlan-tunnel.profile.interface.ip-version</t>
  </si>
  <si>
    <t>aruba-interface-vxlan-tunnel:vxlan-tunnel.profile.interface.ip-version</t>
  </si>
  <si>
    <t>interface.ip_version; profile.interface.ip_version</t>
  </si>
  <si>
    <t>vxlan-tunnel.profile.interface.vni-profile-name</t>
  </si>
  <si>
    <t>aruba-interface-vxlan-tunnel:vxlan-tunnel.profile.interface.vni-profile-name</t>
  </si>
  <si>
    <t>interface.vni_profile_name; profile.interface.vni_profile_name</t>
  </si>
  <si>
    <t>local-management.profile.ssh-server-global-configs.server-port</t>
  </si>
  <si>
    <t>aruba-local-management:local-management.profile.ssh-server-global-configs.server-port</t>
  </si>
  <si>
    <t>aruba-ptp</t>
  </si>
  <si>
    <t>ptp.profile.name</t>
  </si>
  <si>
    <t>aruba-ptp:ptp.profile.name</t>
  </si>
  <si>
    <t>ptp.profile.protocol-profiles.profile</t>
  </si>
  <si>
    <t>aruba-ptp:ptp.profile.protocol-profiles.profile</t>
  </si>
  <si>
    <t>ospfv2.profile.routers.areas.ether-interfaces.cost</t>
  </si>
  <si>
    <t>aruba-ospfv2:ospfv2.profile.routers.areas.ether-interfaces.cost</t>
  </si>
  <si>
    <t>profile.routers.areas.ether_interfaces.cost; routers.areas.ether_interfaces.cost</t>
  </si>
  <si>
    <t>static-route.profile.ipv4.reject</t>
  </si>
  <si>
    <t>aruba-static-route:static-route.profile.ipv4.reject</t>
  </si>
  <si>
    <t>sw-port-profiles.profile.ip.mtu</t>
  </si>
  <si>
    <t>aruba-sw-port-profile:sw-port-profiles.profile.ip.mtu</t>
  </si>
  <si>
    <t>sw-port-profiles.profile.udld.retries</t>
  </si>
  <si>
    <t>aruba-sw-port-profile:sw-port-profiles.profile.udld.retries</t>
  </si>
  <si>
    <t>switch-system.profile.access-list.log-timer</t>
  </si>
  <si>
    <t>aruba-switch-system:switch-system.profile.access-list.log-timer</t>
  </si>
  <si>
    <t>access_list.log_timer; profile.access_list.log_timer</t>
  </si>
  <si>
    <t>server-groups.server-group.attribute-profile.nas-ip-address.service-type</t>
  </si>
  <si>
    <t>aruba-auth-server-group:server-groups.server-group.attribute-profile.nas-ip-address.service-type</t>
  </si>
  <si>
    <t>attribute_profile.nas_ip_address.service_type; server_group.attribute_profile.nas_ip_address.service_type</t>
  </si>
  <si>
    <t>bgp.profile.router.global-afi-safi.global-l2vpn-evpn.network.prefix</t>
  </si>
  <si>
    <t>aruba-bgp:bgp.profile.router.global-afi-safi.global-l2vpn-evpn.network.prefix</t>
  </si>
  <si>
    <t>profile.router.global_afi_safi.global_ipv4_unicast.network.prefix; profile.router.global_afi_safi.global_ipv6_unicast.network.prefix; router.global_afi_safi.global_ipv4_unicast.network.prefix; router.global_afi_safi.global_ipv6_unicast.network.prefix</t>
  </si>
  <si>
    <t>dhcp-snooping.profile.ipv4.flash-storage.flash-storage-enable</t>
  </si>
  <si>
    <t>aruba-dhcp-snooping:dhcp-snooping.profile.ipv4.flash-storage.flash-storage-enable</t>
  </si>
  <si>
    <t>est-profiles.profile.server-vrf</t>
  </si>
  <si>
    <t>aruba-est:est-profiles.profile.server-vrf</t>
  </si>
  <si>
    <t>profile.server_vrf; server_vrf</t>
  </si>
  <si>
    <t>ethernet-interfaces.interface.lldp.trap</t>
  </si>
  <si>
    <t>aruba-interface-ethernet:ethernet-interfaces.interface.lldp.trap</t>
  </si>
  <si>
    <t>ethernet-interfaces.interface.qos.max-rate-units</t>
  </si>
  <si>
    <t>aruba-interface-ethernet:ethernet-interfaces.interface.qos.max-rate-units</t>
  </si>
  <si>
    <t>interface.qos.max_rate_units; qos.max_rate_units</t>
  </si>
  <si>
    <t>ethernet-interfaces.interface.udld.retries</t>
  </si>
  <si>
    <t>aruba-interface-ethernet:ethernet-interfaces.interface.udld.retries</t>
  </si>
  <si>
    <t>portchannels.interface.qos.icmp-rate-limit.bit-rate</t>
  </si>
  <si>
    <t>aruba-interface-portchannel:portchannels.interface.qos.icmp-rate-limit.bit-rate</t>
  </si>
  <si>
    <t>aruba-nd-snooping-interface</t>
  </si>
  <si>
    <t>nd-snooping-interface.profile.name</t>
  </si>
  <si>
    <t>aruba-nd-snooping-interface:nd-snooping-interface.profile.name</t>
  </si>
  <si>
    <t>tunnel.interface.src</t>
  </si>
  <si>
    <t>aruba-interface-tunnel:tunnel.interface.src</t>
  </si>
  <si>
    <t>interface.src; src</t>
  </si>
  <si>
    <t>vlan-interfaces.interface.igmp.strict-version</t>
  </si>
  <si>
    <t>aruba-interface-vlan:vlan-interfaces.interface.igmp.strict-version</t>
  </si>
  <si>
    <t>igmp.strict_version; interface.igmp.strict_version</t>
  </si>
  <si>
    <t>server-groups.server-group.attribute-profile.vsa.vendor-vsa-type</t>
  </si>
  <si>
    <t>aruba-auth-server-group:server-groups.server-group.attribute-profile.vsa.vendor-vsa-type</t>
  </si>
  <si>
    <t>attribute_profile.vsa.vendor_vsa_type; server_group.attribute_profile.vsa.vendor_vsa_type</t>
  </si>
  <si>
    <t>local-management.profile.password-complexity.numeric-count</t>
  </si>
  <si>
    <t>aruba-local-management:local-management.profile.password-complexity.numeric-count</t>
  </si>
  <si>
    <t>logging.profile.console.filter-regex</t>
  </si>
  <si>
    <t>aruba-logging:logging.profile.console.filter-regex</t>
  </si>
  <si>
    <t>bgp.profile.router.neighbor.ciphertext-password</t>
  </si>
  <si>
    <t>aruba-bgp:bgp.profile.router.neighbor.ciphertext-password</t>
  </si>
  <si>
    <t>aruba-config-checkpoint</t>
  </si>
  <si>
    <t>config-checkpoint.profile.name</t>
  </si>
  <si>
    <t>aruba-config-checkpoint:config-checkpoint.profile.name</t>
  </si>
  <si>
    <t>ospfv2.profile.routers.bfd</t>
  </si>
  <si>
    <t>aruba-ospfv2:ospfv2.profile.routers.bfd</t>
  </si>
  <si>
    <t>profile.routers.bfd; routers.bfd</t>
  </si>
  <si>
    <t>ospfv2.profile.routers.default-information-origin.originate</t>
  </si>
  <si>
    <t>aruba-ospfv2:ospfv2.profile.routers.default-information-origin.originate</t>
  </si>
  <si>
    <t>profile.routers.default_information_origin.originate; routers.default_information_origin.originate</t>
  </si>
  <si>
    <t>prefix-lists.prefix-list.description</t>
  </si>
  <si>
    <t>aruba-prefix-list:prefix-lists.prefix-list.description</t>
  </si>
  <si>
    <t>description; prefix_list.description; prefix_list.prefix_list_entry.description; prefix_list_entry.description</t>
  </si>
  <si>
    <t>stp.profile.rpvst.topology-change-trap</t>
  </si>
  <si>
    <t>aruba-stp:stp.profile.rpvst.topology-change-trap</t>
  </si>
  <si>
    <t>profile.rpvst.topology_change_trap; rpvst.topology_change_trap</t>
  </si>
  <si>
    <t>server-groups.server-group.attribute-profile.tunnel-private-group-id.request-type</t>
  </si>
  <si>
    <t>aruba-auth-server-group:server-groups.server-group.attribute-profile.tunnel-private-group-id.request-type</t>
  </si>
  <si>
    <t>attribute_profile.tunnel_private_group_id.request_type; server_group.attribute_profile.tunnel_private_group_id.request_type</t>
  </si>
  <si>
    <t>bgp.profile.router.global-afi-safi.global-ipv4-unicast.redistribute.ospfv2-id</t>
  </si>
  <si>
    <t>aruba-bgp:bgp.profile.router.global-afi-safi.global-ipv4-unicast.redistribute.ospfv2-id</t>
  </si>
  <si>
    <t>bgp.profile.router.neighbor.afi-safi.ipv6-unicast.enabled</t>
  </si>
  <si>
    <t>aruba-bgp:bgp.profile.router.neighbor.afi-safi.ipv6-unicast.enabled</t>
  </si>
  <si>
    <t>profile.router.neighbor.afi_safi.ipv6_unicast.enabled; router.neighbor.afi_safi.ipv6_unicast.enabled</t>
  </si>
  <si>
    <t>fault-monitor.profile.excessive-crc-errors.threshold</t>
  </si>
  <si>
    <t>aruba-fault-monitor:fault-monitor.profile.excessive-crc-errors.threshold</t>
  </si>
  <si>
    <t>device-certificates.device-certificate.est-profile</t>
  </si>
  <si>
    <t>aruba-device-certificate:device-certificates.device-certificate.est-profile</t>
  </si>
  <si>
    <t>ethernet-interfaces.interface.lldp.tlv.med.poe</t>
  </si>
  <si>
    <t>aruba-interface-ethernet:ethernet-interfaces.interface.lldp.tlv.med.poe</t>
  </si>
  <si>
    <t>interface.poe; poe</t>
  </si>
  <si>
    <t>ethernet-interfaces.interface.nd-snooping.trust</t>
  </si>
  <si>
    <t>aruba-interface-ethernet:ethernet-interfaces.interface.nd-snooping.trust</t>
  </si>
  <si>
    <t>dhcpv4_snooping.trust; dhcpv6_snooping.trust; dynamic_arp_inspection.trust; interface.dhcpv4_snooping.trust; interface.dhcpv6_snooping.trust; interface.dynamic_arp_inspection.trust; interface.qos.trust; qos.trust</t>
  </si>
  <si>
    <t>portchannels.interface.policy.ipv4-access-list-out</t>
  </si>
  <si>
    <t>aruba-interface-portchannel:portchannels.interface.policy.ipv4-access-list-out</t>
  </si>
  <si>
    <t>portchannels.interface.qos.multicast-rate-limit.percentage</t>
  </si>
  <si>
    <t>aruba-interface-portchannel:portchannels.interface.qos.multicast-rate-limit.percentage</t>
  </si>
  <si>
    <t>nd-snooping-interface.profile.nd-snooping.trust</t>
  </si>
  <si>
    <t>aruba-nd-snooping-interface:nd-snooping-interface.profile.nd-snooping.trust</t>
  </si>
  <si>
    <t>job-scheduler.schedule.days</t>
  </si>
  <si>
    <t>aruba-job-scheduler:job-scheduler.schedule.days</t>
  </si>
  <si>
    <t>local-management.profile.ssh-server-global-configs.timeout</t>
  </si>
  <si>
    <t>aruba-local-management:local-management.profile.ssh-server-global-configs.timeout</t>
  </si>
  <si>
    <t>logging.profile.local-file.rotation.maxsize</t>
  </si>
  <si>
    <t>aruba-logging:logging.profile.local-file.rotation.maxsize</t>
  </si>
  <si>
    <t>vsx-config.vsx.inter-switch-link.interface-eth</t>
  </si>
  <si>
    <t>aruba-vsx-pair:vsx-config.vsx.inter-switch-link.interface-eth</t>
  </si>
  <si>
    <t>ipsla.profile.source-sessions.source.ipv4-address</t>
  </si>
  <si>
    <t>aruba-ipsla:ipsla.profile.source-sessions.source.ipv4-address</t>
  </si>
  <si>
    <t>route-maps.route-map.route-map-entry.match-community-list.community-list-name-community-type</t>
  </si>
  <si>
    <t>aruba-routemap:route-maps.route-map.route-map-entry.match-community-list.community-list-name-community-type</t>
  </si>
  <si>
    <t>route_map.route_map_entry.match_community_list.community_list_name_community_type; route_map_entry.match_community_list.community_list_name_community_type</t>
  </si>
  <si>
    <t>sw-port-profiles.profile.qos.icmp-rate-limit.icmp-traffic-type</t>
  </si>
  <si>
    <t>aruba-sw-port-profile:sw-port-profiles.profile.qos.icmp-rate-limit.icmp-traffic-type</t>
  </si>
  <si>
    <t>profile.qos.icmp_rate_limit.icmp_traffic_type; qos.icmp_rate_limit.icmp_traffic_type</t>
  </si>
  <si>
    <t>sw-port-profiles.profile.udld.interval</t>
  </si>
  <si>
    <t>aruba-sw-port-profile:sw-port-profiles.profile.udld.interval</t>
  </si>
  <si>
    <t>switch-system.profile.port-security.traps-enable</t>
  </si>
  <si>
    <t>aruba-switch-system:switch-system.profile.port-security.traps-enable</t>
  </si>
  <si>
    <t>bgp.profile.router.graceful-restart.restart-time</t>
  </si>
  <si>
    <t>aruba-bgp:bgp.profile.router.graceful-restart.restart-time</t>
  </si>
  <si>
    <t>bgp.profile.router.neighbor.afi-safi.ipv4-unicast.allow-own-as</t>
  </si>
  <si>
    <t>aruba-bgp:bgp.profile.router.neighbor.afi-safi.ipv4-unicast.allow-own-as</t>
  </si>
  <si>
    <t>profile.router.neighbor.afi_safi.ipv4_unicast.allow_own_as; router.neighbor.afi_safi.ipv4_unicast.allow_own_as</t>
  </si>
  <si>
    <t>bgp.profile.router.peer-group.afi-safi.ipv4-unicast.inbound-soft-reconfiguration</t>
  </si>
  <si>
    <t>aruba-bgp:bgp.profile.router.peer-group.afi-safi.ipv4-unicast.inbound-soft-reconfiguration</t>
  </si>
  <si>
    <t>profile.router.peer_group.afi_safi.ipv4_unicast.inbound_soft_reconfiguration; router.peer_group.afi_safi.ipv4_unicast.inbound_soft_reconfiguration</t>
  </si>
  <si>
    <t>bgp.profile.router.peer-group.afi-safi.ipv4-unicast.next-hop-self</t>
  </si>
  <si>
    <t>aruba-bgp:bgp.profile.router.peer-group.afi-safi.ipv4-unicast.next-hop-self</t>
  </si>
  <si>
    <t>profile.router.peer_group.afi_safi.ipv4_unicast.next_hop_self; router.peer_group.afi_safi.ipv4_unicast.next_hop_self</t>
  </si>
  <si>
    <t>evpn.profile.evpn-global.redistribute-local-mac</t>
  </si>
  <si>
    <t>aruba-evpn:evpn.profile.evpn-global.redistribute-local-mac</t>
  </si>
  <si>
    <t>evpn_global.redistribute_local_mac; profile.evpn_global.redistribute_local_mac</t>
  </si>
  <si>
    <t>fault-monitor.profile.excessive-tx-drops.threshold</t>
  </si>
  <si>
    <t>aruba-fault-monitor:fault-monitor.profile.excessive-tx-drops.threshold</t>
  </si>
  <si>
    <t>ethernet-interfaces.interface.aaa.authentication.bpdu-auth.mac-type</t>
  </si>
  <si>
    <t>aruba-interface-ethernet:ethernet-interfaces.interface.aaa.authentication.bpdu-auth.mac-type</t>
  </si>
  <si>
    <t>aaa.authentication.bpdu_auth.mac_type; interface.aaa.authentication.bpdu_auth.mac_type</t>
  </si>
  <si>
    <t>ethernet-interfaces.interface.policy.ipv6-access-list-in</t>
  </si>
  <si>
    <t>aruba-interface-ethernet:ethernet-interfaces.interface.policy.ipv6-access-list-in</t>
  </si>
  <si>
    <t>ethernet-interfaces.interface.qos.cos</t>
  </si>
  <si>
    <t>aruba-interface-ethernet:ethernet-interfaces.interface.qos.cos</t>
  </si>
  <si>
    <t>interface.qos.cos; qos.cos</t>
  </si>
  <si>
    <t>ethernet-interfaces.interface.udld.interval</t>
  </si>
  <si>
    <t>aruba-interface-ethernet:ethernet-interfaces.interface.udld.interval</t>
  </si>
  <si>
    <t>l3-route.profile.route-redistribute</t>
  </si>
  <si>
    <t>aruba-l3-route:l3-route.profile.route-redistribute</t>
  </si>
  <si>
    <t>portchannels.interface.qos.unknown-unicast-rate-limit.packet-rate</t>
  </si>
  <si>
    <t>aruba-interface-portchannel:portchannels.interface.qos.unknown-unicast-rate-limit.packet-rate</t>
  </si>
  <si>
    <t>tunnel.interface.ipv4-prefix</t>
  </si>
  <si>
    <t>aruba-interface-tunnel:tunnel.interface.ipv4-prefix</t>
  </si>
  <si>
    <t>interface.ipv4_prefix; ipv4_prefix</t>
  </si>
  <si>
    <t>aruba-ufd</t>
  </si>
  <si>
    <t>ufd.profile.enable</t>
  </si>
  <si>
    <t>aruba-ufd:ufd.profile.enable</t>
  </si>
  <si>
    <t>ufd.profile.name</t>
  </si>
  <si>
    <t>aruba-ufd:ufd.profile.name</t>
  </si>
  <si>
    <t>job-scheduler.schedule.enable</t>
  </si>
  <si>
    <t>aruba-job-scheduler:job-scheduler.schedule.enable</t>
  </si>
  <si>
    <t>device-certificates.device-certificate.subject.country</t>
  </si>
  <si>
    <t>aruba-device-certificate:device-certificates.device-certificate.subject.country</t>
  </si>
  <si>
    <t>ptp.profile.protocol-profiles.clock-step</t>
  </si>
  <si>
    <t>aruba-ptp:ptp.profile.protocol-profiles.clock-step</t>
  </si>
  <si>
    <t>ptp.profile.protocol-profiles.delay-mechanism</t>
  </si>
  <si>
    <t>aruba-ptp:ptp.profile.protocol-profiles.delay-mechanism</t>
  </si>
  <si>
    <t>ptp.profile.protocol-profiles.mode</t>
  </si>
  <si>
    <t>aruba-ptp:ptp.profile.protocol-profiles.mode</t>
  </si>
  <si>
    <t>ptp.profile.protocol-profiles.transport</t>
  </si>
  <si>
    <t>aruba-ptp:ptp.profile.protocol-profiles.transport</t>
  </si>
  <si>
    <t>multicast-dns.profile.service-discovery-service.description</t>
  </si>
  <si>
    <t>aruba-multicast-dns:multicast-dns.profile.service-discovery-service.description</t>
  </si>
  <si>
    <t>profile.service_discovery_service.description; service_discovery_service.description</t>
  </si>
  <si>
    <t>aruba-qos-threshold-profile</t>
  </si>
  <si>
    <t>qos-thresholds.profile.thresh-profile-name</t>
  </si>
  <si>
    <t>aruba-qos-threshold-profile:qos-thresholds.profile.thresh-profile-name</t>
  </si>
  <si>
    <t>mirrors.profile.session.session-destination.lag-interfaces.lag-interface</t>
  </si>
  <si>
    <t>aruba-mirror:mirrors.profile.session.session-destination.lag-interfaces.lag-interface</t>
  </si>
  <si>
    <t>ospfv2.profile.routers.areas.ether-interfaces.authentication</t>
  </si>
  <si>
    <t>aruba-ospfv2:ospfv2.profile.routers.areas.ether-interfaces.authentication</t>
  </si>
  <si>
    <t>profile.routers.areas.ether_interfaces.authentication; routers.areas.ether_interfaces.authentication</t>
  </si>
  <si>
    <t>ospfv2.profile.routers.areas.svi-interfaces.bfd</t>
  </si>
  <si>
    <t>aruba-ospfv2:ospfv2.profile.routers.areas.svi-interfaces.bfd</t>
  </si>
  <si>
    <t>profile.routers.areas.svi_interfaces.bfd; routers.areas.svi_interfaces.bfd</t>
  </si>
  <si>
    <t>ospfv2.profile.routers.default-information-origin.always</t>
  </si>
  <si>
    <t>aruba-ospfv2:ospfv2.profile.routers.default-information-origin.always</t>
  </si>
  <si>
    <t>profile.routers.default_information_origin.always; routers.default_information_origin.always</t>
  </si>
  <si>
    <t>pim-router.profile.router.candidate-bsr.loopback</t>
  </si>
  <si>
    <t>aruba-pim:pim-router.profile.router.candidate-bsr.loopback</t>
  </si>
  <si>
    <t>router.candidate_bsr.loopback</t>
  </si>
  <si>
    <t>policies.policy.security-policy.policy-rule.condition.transport-fields.source-port.group</t>
  </si>
  <si>
    <t>aruba-policy:policies.policy.security-policy.policy-rule.condition.transport-fields.source-port.group</t>
  </si>
  <si>
    <t>snmp.profile.unique-req-id-enable</t>
  </si>
  <si>
    <t>aruba-snmp:snmp.profile.unique-req-id-enable</t>
  </si>
  <si>
    <t>stp.profile.rpvst.enable</t>
  </si>
  <si>
    <t>aruba-stp:stp.profile.rpvst.enable</t>
  </si>
  <si>
    <t>profile.rpvst.enable; rpvst.enable</t>
  </si>
  <si>
    <t>sw-port-profiles.profile.igmp.query-interval</t>
  </si>
  <si>
    <t>aruba-sw-port-profile:sw-port-profiles.profile.igmp.query-interval</t>
  </si>
  <si>
    <t>bgp.profile.router.default-bgp-attributes.external-route-distance</t>
  </si>
  <si>
    <t>aruba-bgp:bgp.profile.router.default-bgp-attributes.external-route-distance</t>
  </si>
  <si>
    <t>profile.router.default_bgp_attributes.external_route_distance; router.default_bgp_attributes.external_route_distance</t>
  </si>
  <si>
    <t>bgp.profile.router.default-bgp-attributes.internal-route-distance</t>
  </si>
  <si>
    <t>aruba-bgp:bgp.profile.router.default-bgp-attributes.internal-route-distance</t>
  </si>
  <si>
    <t>profile.router.default_bgp_attributes.internal_route_distance; router.default_bgp_attributes.internal_route_distance</t>
  </si>
  <si>
    <t>bgp.profile.router.peer-group.auth-password</t>
  </si>
  <si>
    <t>aruba-bgp:bgp.profile.router.peer-group.auth-password</t>
  </si>
  <si>
    <t>profile.router.peer_group.auth_password; router.peer_group.auth_password</t>
  </si>
  <si>
    <t>dhcp-pool.profile.ipv4-pool.netbios-config-mode</t>
  </si>
  <si>
    <t>aruba-dhcp-pool:dhcp-pool.profile.ipv4-pool.netbios-config-mode</t>
  </si>
  <si>
    <t>ipv4_pool.netbios_config_mode; profile.ipv4_pool.netbios_config_mode</t>
  </si>
  <si>
    <t>dhcp-pool.profile.ipv4-pool.netbios-server</t>
  </si>
  <si>
    <t>aruba-dhcp-pool:dhcp-pool.profile.ipv4-pool.netbios-server</t>
  </si>
  <si>
    <t>ipv4_pool.netbios_server; profile.ipv4_pool.netbios_server</t>
  </si>
  <si>
    <t>dhcp-snooping.profile.ipv4.client-attribute-caching</t>
  </si>
  <si>
    <t>aruba-dhcp-snooping:dhcp-snooping.profile.ipv4.client-attribute-caching</t>
  </si>
  <si>
    <t>aruba-dynamic-arp-inspection-interface</t>
  </si>
  <si>
    <t>dynamic-arp-inspection-interface.profile.dynamic-arp-inspection.trust</t>
  </si>
  <si>
    <t>aruba-dynamic-arp-inspection-interface:dynamic-arp-inspection-interface.profile.dynamic-arp-inspection.trust</t>
  </si>
  <si>
    <t>dynamic-arp-inspection-interface.profile.name</t>
  </si>
  <si>
    <t>aruba-dynamic-arp-inspection-interface:dynamic-arp-inspection-interface.profile.name</t>
  </si>
  <si>
    <t>external-storage.profile.store.type</t>
  </si>
  <si>
    <t>aruba-external-storage:external-storage.profile.store.type</t>
  </si>
  <si>
    <t>fault-monitor.profile.excessive-alignment-errors.auto-enable</t>
  </si>
  <si>
    <t>aruba-fault-monitor:fault-monitor.profile.excessive-alignment-errors.auto-enable</t>
  </si>
  <si>
    <t>excessive_alignment_errors.auto_enable; profile.excessive_alignment_errors.auto_enable</t>
  </si>
  <si>
    <t>ethernet-interfaces.interface.igmp-snooping-eth.forced-fast-leave-vlan</t>
  </si>
  <si>
    <t>aruba-interface-ethernet:ethernet-interfaces.interface.igmp-snooping-eth.forced-fast-leave-vlan</t>
  </si>
  <si>
    <t>ethernet-interfaces.interface.ip-source-lockdown.ipv4</t>
  </si>
  <si>
    <t>aruba-interface-ethernet:ethernet-interfaces.interface.ip-source-lockdown.ipv4</t>
  </si>
  <si>
    <t>interface.ip_source_lockdown.ipv4; ip_source_lockdown.ipv4</t>
  </si>
  <si>
    <t>lldp.profile.tlv.basic.management-addr</t>
  </si>
  <si>
    <t>aruba-lldp:lldp.profile.tlv.basic.management-addr</t>
  </si>
  <si>
    <t>lldp.profile.tlv.basic.system-descr</t>
  </si>
  <si>
    <t>aruba-lldp:lldp.profile.tlv.basic.system-descr</t>
  </si>
  <si>
    <t>ethernet-interfaces.interface.macsec-policy</t>
  </si>
  <si>
    <t>aruba-interface-ethernet:ethernet-interfaces.interface.macsec-policy</t>
  </si>
  <si>
    <t>ethernet-interfaces.interface.mka-policy</t>
  </si>
  <si>
    <t>aruba-interface-ethernet:ethernet-interfaces.interface.mka-policy</t>
  </si>
  <si>
    <t>ethernet-interfaces.interface.ptp.enable</t>
  </si>
  <si>
    <t>aruba-interface-ethernet:ethernet-interfaces.interface.ptp.enable</t>
  </si>
  <si>
    <t>portchannels.interface.igmp-snooping-lag.forward-vlan</t>
  </si>
  <si>
    <t>aruba-interface-portchannel:portchannels.interface.igmp-snooping-lag.forward-vlan</t>
  </si>
  <si>
    <t>portchannels.interface.profile-name</t>
  </si>
  <si>
    <t>aruba-interface-portchannel:portchannels.interface.profile-name</t>
  </si>
  <si>
    <t>interface.profile_name</t>
  </si>
  <si>
    <t>tunnel.interface.enabled</t>
  </si>
  <si>
    <t>aruba-interface-tunnel:tunnel.interface.enabled</t>
  </si>
  <si>
    <t>enabled; interface.enabled</t>
  </si>
  <si>
    <t>vlan-interfaces.interface.bfd.detect-multiplier</t>
  </si>
  <si>
    <t>aruba-interface-vlan:vlan-interfaces.interface.bfd.detect-multiplier</t>
  </si>
  <si>
    <t>bfd.detect_multiplier; interface.bfd.detect_multiplier</t>
  </si>
  <si>
    <t>remote-management.profile.central-alternative-location</t>
  </si>
  <si>
    <t>aruba-remote-management:remote-management.profile.central-alternative-location</t>
  </si>
  <si>
    <t>remote-management.profile.central-alternative-location-vrf</t>
  </si>
  <si>
    <t>aruba-remote-management:remote-management.profile.central-alternative-location-vrf</t>
  </si>
  <si>
    <t>management-user-groups.user-group.rule.description</t>
  </si>
  <si>
    <t>aruba-management-user-group:management-user-groups.user-group.rule.description</t>
  </si>
  <si>
    <t>rule.description; user_group.rule.description</t>
  </si>
  <si>
    <t>ptp.profile.protocol-profiles.enable</t>
  </si>
  <si>
    <t>aruba-ptp:ptp.profile.protocol-profiles.enable</t>
  </si>
  <si>
    <t>ospfv2.profile.routers.areas.lag-interfaces.lag-name</t>
  </si>
  <si>
    <t>aruba-ospfv2:ospfv2.profile.routers.areas.lag-interfaces.lag-name</t>
  </si>
  <si>
    <t>profile.routers.areas.lag_interfaces.lag_name; routers.areas.lag_interfaces.lag_name</t>
  </si>
  <si>
    <t>route-maps.route-map.route-map-entry.set-ipv4-nexthop-address</t>
  </si>
  <si>
    <t>aruba-routemap:route-maps.route-map.route-map-entry.set-ipv4-nexthop-address</t>
  </si>
  <si>
    <t>route_map.route_map_entry.set_ipv4_nexthop_address; route_map_entry.set_ipv4_nexthop_address</t>
  </si>
  <si>
    <t>sw-port-profiles.profile.poe.pre-std-detect</t>
  </si>
  <si>
    <t>aruba-sw-port-profile:sw-port-profiles.profile.poe.pre-std-detect</t>
  </si>
  <si>
    <t>poe.pre_std_detect; profile.poe.pre_std_detect</t>
  </si>
  <si>
    <t>sw-port-profiles.profile.stp.priority</t>
  </si>
  <si>
    <t>aruba-sw-port-profile:sw-port-profiles.profile.stp.priority</t>
  </si>
  <si>
    <t>profile.stp.priority; stp.priority</t>
  </si>
  <si>
    <t>traffic-insight.instance.monitor.monitor-n-flows</t>
  </si>
  <si>
    <t>aruba-traffic-insight:traffic-insight.instance.monitor.monitor-n-flows</t>
  </si>
  <si>
    <t>aaa-profile.profile.authorization.ubt-fallback-role</t>
  </si>
  <si>
    <t>aruba-aaa-profile:aaa-profile.profile.authorization.ubt-fallback-role</t>
  </si>
  <si>
    <t>authorization.ubt_fallback_role; profile.authorization.ubt_fallback_role</t>
  </si>
  <si>
    <t>bgp.profile.router.neighbor</t>
  </si>
  <si>
    <t>aruba-bgp:bgp.profile.router.neighbor</t>
  </si>
  <si>
    <t>profile.router.neighbor; router.neighbor</t>
  </si>
  <si>
    <t>community-lists.community-list.community-list-entry.community-standard</t>
  </si>
  <si>
    <t>aruba-community-list:community-lists.community-list.community-list-entry.community-standard</t>
  </si>
  <si>
    <t>community_list.community_list_entry.community_standard; community_list_entry.community_standard</t>
  </si>
  <si>
    <t>config-checkpoint.profile.post-checkpoint-delay</t>
  </si>
  <si>
    <t>aruba-config-checkpoint:config-checkpoint.profile.post-checkpoint-delay</t>
  </si>
  <si>
    <t>dhcp-relay.profile.ipv4.option-82.remote-id</t>
  </si>
  <si>
    <t>aruba-dhcp-relay:dhcp-relay.profile.ipv4.option-82.remote-id</t>
  </si>
  <si>
    <t>ipv4.option_82.remote_id; profile.ipv4.option_82.remote_id</t>
  </si>
  <si>
    <t>external-storage.profile.store.address</t>
  </si>
  <si>
    <t>aruba-external-storage:external-storage.profile.store.address</t>
  </si>
  <si>
    <t>external-storage.profile.store.directory</t>
  </si>
  <si>
    <t>aruba-external-storage:external-storage.profile.store.directory</t>
  </si>
  <si>
    <t>external-storage.profile.store.enable</t>
  </si>
  <si>
    <t>aruba-external-storage:external-storage.profile.store.enable</t>
  </si>
  <si>
    <t>ethernet-interfaces.interface.bfd.detect-multiplier</t>
  </si>
  <si>
    <t>aruba-interface-ethernet:ethernet-interfaces.interface.bfd.detect-multiplier</t>
  </si>
  <si>
    <t>ethernet-interfaces.interface.client-limit-max</t>
  </si>
  <si>
    <t>aruba-interface-ethernet:ethernet-interfaces.interface.client-limit-max</t>
  </si>
  <si>
    <t>client_limit_max; interface.client_limit_max</t>
  </si>
  <si>
    <t>ethernet-interfaces.interface.qos.icmp-rate-limit.percentage</t>
  </si>
  <si>
    <t>aruba-interface-ethernet:ethernet-interfaces.interface.qos.icmp-rate-limit.percentage</t>
  </si>
  <si>
    <t>interface.qos.icmp_rate_limit.percentage; qos.icmp_rate_limit.percentage</t>
  </si>
  <si>
    <t>ethernet-interfaces.interface.stp.rpvst.vlan-id</t>
  </si>
  <si>
    <t>aruba-interface-ethernet:ethernet-interfaces.interface.stp.rpvst.vlan-id</t>
  </si>
  <si>
    <t>portchannels.interface.qos.unknown-unicast-rate-limit.bit-rate</t>
  </si>
  <si>
    <t>aruba-interface-portchannel:portchannels.interface.qos.unknown-unicast-rate-limit.bit-rate</t>
  </si>
  <si>
    <t>vlan-interfaces.interface.arp.local-proxy</t>
  </si>
  <si>
    <t>aruba-interface-vlan:vlan-interfaces.interface.arp.local-proxy</t>
  </si>
  <si>
    <t>vlan-interfaces.interface.ipv6-neighbor-discovery.router-advertisement.managed-config</t>
  </si>
  <si>
    <t>aruba-interface-vlan:vlan-interfaces.interface.ipv6-neighbor-discovery.router-advertisement.managed-config</t>
  </si>
  <si>
    <t>layer2-vlan-range.policy-out</t>
  </si>
  <si>
    <t>aruba-vlan-range:layer2-vlan-range.policy-out</t>
  </si>
  <si>
    <t>qos-global.profile.cos-map.color</t>
  </si>
  <si>
    <t>aruba-qos-global:qos-global.profile.cos-map.color</t>
  </si>
  <si>
    <t>qos-global.profile.cos-map.cos</t>
  </si>
  <si>
    <t>aruba-qos-global:qos-global.profile.cos-map.cos</t>
  </si>
  <si>
    <t>qos-global.profile.cos-map.local-priority</t>
  </si>
  <si>
    <t>aruba-qos-global:qos-global.profile.cos-map.local-priority</t>
  </si>
  <si>
    <t>logging.profile.accounting-format-native</t>
  </si>
  <si>
    <t>aruba-logging:logging.profile.accounting-format-native</t>
  </si>
  <si>
    <t>logging.profile.event-trap</t>
  </si>
  <si>
    <t>aruba-logging:logging.profile.event-trap</t>
  </si>
  <si>
    <t>lldp.profile.management-vlan</t>
  </si>
  <si>
    <t>aruba-lldp:lldp.profile.management-vlan</t>
  </si>
  <si>
    <t>aruba-qos-cos</t>
  </si>
  <si>
    <t>qos-cos.profile.cos-map.color</t>
  </si>
  <si>
    <t>aruba-qos-cos:qos-cos.profile.cos-map.color</t>
  </si>
  <si>
    <t>qos-cos.profile.cos-map.cos</t>
  </si>
  <si>
    <t>aruba-qos-cos:qos-cos.profile.cos-map.cos</t>
  </si>
  <si>
    <t>qos-cos.profile.cos-map.local-priority</t>
  </si>
  <si>
    <t>aruba-qos-cos:qos-cos.profile.cos-map.local-priority</t>
  </si>
  <si>
    <t>qos-cos.profile.name</t>
  </si>
  <si>
    <t>aruba-qos-cos:qos-cos.profile.name</t>
  </si>
  <si>
    <t>rip.router.redistribute.redistribute-id</t>
  </si>
  <si>
    <t>aruba-rip:rip.router.redistribute.redistribute-id</t>
  </si>
  <si>
    <t>rip.router.redistribute.redistribute-type</t>
  </si>
  <si>
    <t>aruba-rip:rip.router.redistribute.redistribute-type</t>
  </si>
  <si>
    <t>rip.profile.name</t>
  </si>
  <si>
    <t>aruba-rip:rip.profile.name</t>
  </si>
  <si>
    <t>rip.profile.router.instance-tag</t>
  </si>
  <si>
    <t>aruba-rip:rip.profile.router.instance-tag</t>
  </si>
  <si>
    <t>rip.profile.router.instance-tag-vrf-proto-type</t>
  </si>
  <si>
    <t>aruba-rip:rip.profile.router.instance-tag-vrf-proto-type</t>
  </si>
  <si>
    <t>rip.profile.router.proto-type</t>
  </si>
  <si>
    <t>aruba-rip:rip.profile.router.proto-type</t>
  </si>
  <si>
    <t>rip.profile.router.vrf</t>
  </si>
  <si>
    <t>aruba-rip:rip.profile.router.vrf</t>
  </si>
  <si>
    <t>ospfv2.profile.routers.areas.ether-interfaces.md-cipherpassword</t>
  </si>
  <si>
    <t>aruba-ospfv2:ospfv2.profile.routers.areas.ether-interfaces.md-cipherpassword</t>
  </si>
  <si>
    <t>ospfv2.profile.routers.areas.ether-interfaces.md-key-id</t>
  </si>
  <si>
    <t>aruba-ospfv2:ospfv2.profile.routers.areas.ether-interfaces.md-key-id</t>
  </si>
  <si>
    <t>profile.routers.areas.ether_interfaces.md_key_id; routers.areas.ether_interfaces.md_key_id</t>
  </si>
  <si>
    <t>ospfv2.profile.routers.areas.ether-interfaces.md-password-type</t>
  </si>
  <si>
    <t>aruba-ospfv2:ospfv2.profile.routers.areas.ether-interfaces.md-password-type</t>
  </si>
  <si>
    <t>profile.routers.areas.ether_interfaces.md_password_type; routers.areas.ether_interfaces.md_password_type</t>
  </si>
  <si>
    <t>sw-port-profiles.profile.dhcpv4-snooping.trust</t>
  </si>
  <si>
    <t>aruba-sw-port-profile:sw-port-profiles.profile.dhcpv4-snooping.trust</t>
  </si>
  <si>
    <t>dhcpv4_snooping.trust; profile.dhcpv4_snooping.trust</t>
  </si>
  <si>
    <t>pim-router.profile.router.candidate-rp.priority</t>
  </si>
  <si>
    <t>aruba-pim:pim-router.profile.router.candidate-rp.priority</t>
  </si>
  <si>
    <t>router.candidate_rp.priority</t>
  </si>
  <si>
    <t>stp.profile.forward-delay</t>
  </si>
  <si>
    <t>aruba-stp:stp.profile.forward-delay</t>
  </si>
  <si>
    <t>forward_delay; include_rpvst_auto_vlan.forward_delay; profile.forward_delay; profile.include_rpvst_auto_vlan.forward_delay; profile.rpvst.forward_delay; rpvst.forward_delay</t>
  </si>
  <si>
    <t>sw-port-profiles.profile.stp.rpvst-guard</t>
  </si>
  <si>
    <t>aruba-sw-port-profile:sw-port-profiles.profile.stp.rpvst-guard</t>
  </si>
  <si>
    <t>profile.stp.rpvst_guard; stp.rpvst_guard</t>
  </si>
  <si>
    <t>switch-system.profile.unsupported-transceiver-logging-interval</t>
  </si>
  <si>
    <t>aruba-switch-system:switch-system.profile.unsupported-transceiver-logging-interval</t>
  </si>
  <si>
    <t>bfd.profile.min-echo-rx-interval</t>
  </si>
  <si>
    <t>aruba-bfd:bfd.profile.min-echo-rx-interval</t>
  </si>
  <si>
    <t>min_echo_rx_interval; profile.min_echo_rx_interval; profile.timers.min_echo_rx_interval; timers.min_echo_rx_interval</t>
  </si>
  <si>
    <t>ethernet-interfaces.interface.aaa.authorization.ubt-fallback-role</t>
  </si>
  <si>
    <t>aruba-interface-ethernet:ethernet-interfaces.interface.aaa.authorization.ubt-fallback-role</t>
  </si>
  <si>
    <t>aaa.authorization.ubt_fallback_role; interface.aaa.authorization.ubt_fallback_role</t>
  </si>
  <si>
    <t>ethernet-interfaces.interface.bfd.min-rx-interval</t>
  </si>
  <si>
    <t>aruba-interface-ethernet:ethernet-interfaces.interface.bfd.min-rx-interval</t>
  </si>
  <si>
    <t>bfd.min_rx_interval; interface.bfd.min_rx_interval</t>
  </si>
  <si>
    <t>ethernet-interfaces.interface.bfd.min-tx-interval</t>
  </si>
  <si>
    <t>aruba-interface-ethernet:ethernet-interfaces.interface.bfd.min-tx-interval</t>
  </si>
  <si>
    <t>bfd.min_tx_interval; interface.bfd.min_tx_interval</t>
  </si>
  <si>
    <t>ethernet-interfaces.interface.lacp.port-priority</t>
  </si>
  <si>
    <t>aruba-interface-ethernet:ethernet-interfaces.interface.lacp.port-priority</t>
  </si>
  <si>
    <t>ethernet-interfaces.interface.lldp.dcbx-disable</t>
  </si>
  <si>
    <t>aruba-interface-ethernet:ethernet-interfaces.interface.lldp.dcbx-disable</t>
  </si>
  <si>
    <t>ethernet-interfaces.interface.speed-downshift-enable</t>
  </si>
  <si>
    <t>aruba-interface-ethernet:ethernet-interfaces.interface.speed-downshift-enable</t>
  </si>
  <si>
    <t>ethernet-interfaces.interface.speed-override</t>
  </si>
  <si>
    <t>aruba-interface-ethernet:ethernet-interfaces.interface.speed-override</t>
  </si>
  <si>
    <t>ethernet-interfaces.interface.stp.rpvst.cost</t>
  </si>
  <si>
    <t>aruba-interface-ethernet:ethernet-interfaces.interface.stp.rpvst.cost</t>
  </si>
  <si>
    <t>portchannels.interface.client-limit</t>
  </si>
  <si>
    <t>aruba-interface-portchannel:portchannels.interface.client-limit</t>
  </si>
  <si>
    <t>aaa.authentication.client_limit; aaa_lag.authentication_lag.client_limit; interface.aaa.authentication.client_limit; interface.aaa_lag.authentication_lag.client_limit</t>
  </si>
  <si>
    <t>portchannels.interface.update-interval</t>
  </si>
  <si>
    <t>aruba-interface-portchannel:portchannels.interface.update-interval</t>
  </si>
  <si>
    <t>vlan-interfaces.interface.bfd.min-rx-interval</t>
  </si>
  <si>
    <t>aruba-interface-vlan:vlan-interfaces.interface.bfd.min-rx-interval</t>
  </si>
  <si>
    <t>vlan-interfaces.interface.ipv6-neighbor-discovery.router-advertisement.other-config</t>
  </si>
  <si>
    <t>aruba-interface-vlan:vlan-interfaces.interface.ipv6-neighbor-discovery.router-advertisement.other-config</t>
  </si>
  <si>
    <t>layer2-vlan-range.igmp.preprogram-starg-flow</t>
  </si>
  <si>
    <t>aruba-vlan-range:layer2-vlan-range.igmp.preprogram-starg-flow</t>
  </si>
  <si>
    <t>qos-schedules.profile.sched-entries.max-bandwidth-kbps</t>
  </si>
  <si>
    <t>aruba-qos-schedule:qos-schedules.profile.sched-entries.max-bandwidth-kbps</t>
  </si>
  <si>
    <t>tracking-object.vrrp.interface.interface-type</t>
  </si>
  <si>
    <t>aruba-track-object:tracking-object.vrrp.interface.interface-type</t>
  </si>
  <si>
    <t>local-management.profile.authorization.radius.access-type</t>
  </si>
  <si>
    <t>aruba-local-management:local-management.profile.authorization.radius.access-type</t>
  </si>
  <si>
    <t>local-management.profile.authorization.radius.instance</t>
  </si>
  <si>
    <t>aruba-local-management:local-management.profile.authorization.radius.instance</t>
  </si>
  <si>
    <t>job-scheduler.schedule.minutes</t>
  </si>
  <si>
    <t>aruba-job-scheduler:job-scheduler.schedule.minutes</t>
  </si>
  <si>
    <t>msdp.profile.router.peer.address</t>
  </si>
  <si>
    <t>aruba-msdp:msdp.profile.router.peer.address</t>
  </si>
  <si>
    <t>profile.router.peer.address; router.peer.address</t>
  </si>
  <si>
    <t>qos-thresholds.profile.queue.queue-num</t>
  </si>
  <si>
    <t>aruba-qos-threshold-profile:qos-thresholds.profile.queue.queue-num</t>
  </si>
  <si>
    <t>keychains.keychain.keys.accept-start</t>
  </si>
  <si>
    <t>aruba-keychain:keychains.keychain.keys.accept-start</t>
  </si>
  <si>
    <t>keychains.keychain.keys.send-start</t>
  </si>
  <si>
    <t>aruba-keychain:keychains.keychain.keys.send-start</t>
  </si>
  <si>
    <t>policies.policy.security-policy.policy-rule.condition.destination.network-address.network-ipv6-address</t>
  </si>
  <si>
    <t>aruba-policy:policies.policy.security-policy.policy-rule.condition.destination.network-address.network-ipv6-address</t>
  </si>
  <si>
    <t>policy.security_policy.policy_rule.condition.destination.network_address.network_ipv6_address; security_policy.policy_rule.condition.destination.network_address.network_ipv6_address</t>
  </si>
  <si>
    <t>prefix-lists.prefix-list.prefix-list-entry.ipv6-prefix</t>
  </si>
  <si>
    <t>aruba-prefix-list:prefix-lists.prefix-list.prefix-list-entry.ipv6-prefix</t>
  </si>
  <si>
    <t>prefix_list.prefix_list_entry.ipv6_prefix; prefix_list_entry.ipv6_prefix</t>
  </si>
  <si>
    <t>roles.role.session-parameters.poe-allocate-by-class</t>
  </si>
  <si>
    <t>aruba-role:roles.role.session-parameters.poe-allocate-by-class</t>
  </si>
  <si>
    <t>route-maps.route-map.route-map-entry.set-community.community-operation</t>
  </si>
  <si>
    <t>aruba-routemap:route-maps.route-map.route-map-entry.set-community.community-operation</t>
  </si>
  <si>
    <t>route_map.route_map_entry.set_community.community_operation; route_map_entry.set_community.community_operation</t>
  </si>
  <si>
    <t>sw-port-profiles.profile.lacp.port-priority</t>
  </si>
  <si>
    <t>aruba-sw-port-profile:sw-port-profiles.profile.lacp.port-priority</t>
  </si>
  <si>
    <t>sw-port-profiles.profile.qos.unknown-unicast-rate-limit.rate-type</t>
  </si>
  <si>
    <t>aruba-sw-port-profile:sw-port-profiles.profile.qos.unknown-unicast-rate-limit.rate-type</t>
  </si>
  <si>
    <t>profile.qos.unknown_unicast_rate_limit.rate_type; qos.unknown_unicast_rate_limit.rate_type</t>
  </si>
  <si>
    <t>sw-port-profiles.profile.vrf-forwarding</t>
  </si>
  <si>
    <t>aruba-sw-port-profile:sw-port-profiles.profile.vrf-forwarding</t>
  </si>
  <si>
    <t>layer2-vlan.l2-vlan.igmp.preprogram-starg-flow</t>
  </si>
  <si>
    <t>aruba-vlan:layer2-vlan.l2-vlan.igmp.preprogram-starg-flow</t>
  </si>
  <si>
    <t>aaa-profile.profile.authentication.auth-mode</t>
  </si>
  <si>
    <t>aruba-aaa-profile:aaa-profile.profile.authentication.auth-mode</t>
  </si>
  <si>
    <t>authentication.auth_mode; profile.authentication.auth_mode</t>
  </si>
  <si>
    <t>auth-server-global-config.profile.udp-port</t>
  </si>
  <si>
    <t>aruba-auth-server-global:auth-server-global-config.profile.udp-port</t>
  </si>
  <si>
    <t>bgp.profile.router.neighbor.afi-safi.l2vpn-evpn.next-hop-unchanged</t>
  </si>
  <si>
    <t>aruba-bgp:bgp.profile.router.neighbor.afi-safi.l2vpn-evpn.next-hop-unchanged</t>
  </si>
  <si>
    <t>profile.router.neighbor.afi_safi.l2vpn_evpn.next_hop_unchanged; router.neighbor.afi_safi.l2vpn_evpn.next_hop_unchanged</t>
  </si>
  <si>
    <t>bgp.profile.router.neighbor.fall-over</t>
  </si>
  <si>
    <t>aruba-bgp:bgp.profile.router.neighbor.fall-over</t>
  </si>
  <si>
    <t>profile.router.neighbor.fall_over; router.neighbor.fall_over</t>
  </si>
  <si>
    <t>bgp.profile.router.peer-group.timers.hold-time</t>
  </si>
  <si>
    <t>aruba-bgp:bgp.profile.router.peer-group.timers.hold-time</t>
  </si>
  <si>
    <t>profile.router.peer_group.timers.hold_time; router.peer_group.timers.hold_time</t>
  </si>
  <si>
    <t>bgp.profile.router.peer-group.timers.keep-alive</t>
  </si>
  <si>
    <t>aruba-bgp:bgp.profile.router.peer-group.timers.keep-alive</t>
  </si>
  <si>
    <t>profile.router.peer_group.timers.keep_alive; router.peer_group.timers.keep_alive</t>
  </si>
  <si>
    <t>fault-monitor.profile.excessive-collisions.threshold</t>
  </si>
  <si>
    <t>aruba-fault-monitor:fault-monitor.profile.excessive-collisions.threshold</t>
  </si>
  <si>
    <t>fault-monitor.profile.excessive-fragments.threshold</t>
  </si>
  <si>
    <t>aruba-fault-monitor:fault-monitor.profile.excessive-fragments.threshold</t>
  </si>
  <si>
    <t>fault-monitor.profile.excessive-oversize-packets.threshold</t>
  </si>
  <si>
    <t>aruba-fault-monitor:fault-monitor.profile.excessive-oversize-packets.threshold</t>
  </si>
  <si>
    <t>ethernet-interfaces.interface.igmp.query-interval</t>
  </si>
  <si>
    <t>aruba-interface-ethernet:ethernet-interfaces.interface.igmp.query-interval</t>
  </si>
  <si>
    <t>ethernet-interfaces.interface.igmp.static-group</t>
  </si>
  <si>
    <t>aruba-interface-ethernet:ethernet-interfaces.interface.igmp.static-group</t>
  </si>
  <si>
    <t>ethernet-interfaces.interface.priority-flow-control.priority-config.direction</t>
  </si>
  <si>
    <t>aruba-interface-ethernet:ethernet-interfaces.interface.priority-flow-control.priority-config.direction</t>
  </si>
  <si>
    <t>ethernet-interfaces.interface.priority-flow-control.priority-config.priority</t>
  </si>
  <si>
    <t>aruba-interface-ethernet:ethernet-interfaces.interface.priority-flow-control.priority-config.priority</t>
  </si>
  <si>
    <t>interface.poe.priority; interface.stp.priority; poe.priority; stp.priority</t>
  </si>
  <si>
    <t>ethernet-interfaces.interface.vlan-translate.origin</t>
  </si>
  <si>
    <t>aruba-interface-ethernet:ethernet-interfaces.interface.vlan-translate.origin</t>
  </si>
  <si>
    <t>ethernet-interfaces.interface.vlan-translate.translated</t>
  </si>
  <si>
    <t>aruba-interface-ethernet:ethernet-interfaces.interface.vlan-translate.translated</t>
  </si>
  <si>
    <t>portchannels.interface.ip.l3-counters</t>
  </si>
  <si>
    <t>aruba-interface-portchannel:portchannels.interface.ip.l3-counters</t>
  </si>
  <si>
    <t>portchannels.interface.qos.schedule-profile</t>
  </si>
  <si>
    <t>aruba-interface-portchannel:portchannels.interface.qos.schedule-profile</t>
  </si>
  <si>
    <t>sub-interfaces.interface.enable</t>
  </si>
  <si>
    <t>aruba-interface-subinterface:sub-interfaces.interface.enable</t>
  </si>
  <si>
    <t>tunnel.interface.description</t>
  </si>
  <si>
    <t>aruba-interface-tunnel:tunnel.interface.description</t>
  </si>
  <si>
    <t>vlan-interfaces.interface.bfd.min-tx-interval</t>
  </si>
  <si>
    <t>aruba-interface-vlan:vlan-interfaces.interface.bfd.min-tx-interval</t>
  </si>
  <si>
    <t>vlan-interfaces.interface.ipv6-neighbor-discovery.router-advertisement.dns-server.dns-address</t>
  </si>
  <si>
    <t>aruba-interface-vlan:vlan-interfaces.interface.ipv6-neighbor-discovery.router-advertisement.dns-server.dns-address</t>
  </si>
  <si>
    <t>vlan-interfaces.interface.ipv6-neighbor-discovery.router-advertisement.prefixes.prefix</t>
  </si>
  <si>
    <t>aruba-interface-vlan:vlan-interfaces.interface.ipv6-neighbor-discovery.router-advertisement.prefixes.prefix</t>
  </si>
  <si>
    <t>ufd.profile.sessions.id</t>
  </si>
  <si>
    <t>aruba-ufd:ufd.profile.sessions.id</t>
  </si>
  <si>
    <t>qos-global.profile.dscp-map.cos-override</t>
  </si>
  <si>
    <t>aruba-qos-global:qos-global.profile.dscp-map.cos-override</t>
  </si>
  <si>
    <t>qos-dscp.profile.dscp-map.cos-override</t>
  </si>
  <si>
    <t>aruba-qos-dscp:qos-dscp.profile.dscp-map.cos-override</t>
  </si>
  <si>
    <t>device-certificates.device-certificate.ext-key-usage</t>
  </si>
  <si>
    <t>aruba-device-certificate:device-certificates.device-certificate.ext-key-usage</t>
  </si>
  <si>
    <t>device-certificates.device-certificate.key-usage</t>
  </si>
  <si>
    <t>aruba-device-certificate:device-certificates.device-certificate.key-usage</t>
  </si>
  <si>
    <t>aruba-erps</t>
  </si>
  <si>
    <t>erps.profile.name</t>
  </si>
  <si>
    <t>aruba-erps:erps.profile.name</t>
  </si>
  <si>
    <t>erps.profile.ring.instance.instance-id</t>
  </si>
  <si>
    <t>aruba-erps:erps.profile.ring.instance.instance-id</t>
  </si>
  <si>
    <t>erps.profile.ring.instance.protected-vlans</t>
  </si>
  <si>
    <t>aruba-erps:erps.profile.ring.instance.protected-vlans</t>
  </si>
  <si>
    <t>erps.profile.ring.ring-id</t>
  </si>
  <si>
    <t>aruba-erps:erps.profile.ring.ring-id</t>
  </si>
  <si>
    <t>erps.profile.ring.instance.control-vlan</t>
  </si>
  <si>
    <t>aruba-erps:erps.profile.ring.instance.control-vlan</t>
  </si>
  <si>
    <t>erps.profile.ring.instance.protection-switching-enable</t>
  </si>
  <si>
    <t>aruba-erps:erps.profile.ring.instance.protection-switching-enable</t>
  </si>
  <si>
    <t>aruba-ospfv3</t>
  </si>
  <si>
    <t>ospfv3.profile.name</t>
  </si>
  <si>
    <t>aruba-ospfv3:ospfv3.profile.name</t>
  </si>
  <si>
    <t>device-firmware.issu.software-update-rollback-timer-enable</t>
  </si>
  <si>
    <t>aruba-firmware-management:device-firmware.issu.software-update-rollback-timer-enable</t>
  </si>
  <si>
    <t>rip.router.svi-interfaces.address-family</t>
  </si>
  <si>
    <t>aruba-rip:rip.router.svi-interfaces.address-family</t>
  </si>
  <si>
    <t>rip.router.svi-interfaces.ip-address</t>
  </si>
  <si>
    <t>aruba-rip:rip.router.svi-interfaces.ip-address</t>
  </si>
  <si>
    <t>rip.router.svi-interfaces.svi-id</t>
  </si>
  <si>
    <t>aruba-rip:rip.router.svi-interfaces.svi-id</t>
  </si>
  <si>
    <t>rip.router.svi-interfaces.svi-id-address-family</t>
  </si>
  <si>
    <t>aruba-rip:rip.router.svi-interfaces.svi-id-address-family</t>
  </si>
  <si>
    <t>aruba-countermon</t>
  </si>
  <si>
    <t>countermon.profile.enable-polling</t>
  </si>
  <si>
    <t>aruba-countermon:countermon.profile.enable-polling</t>
  </si>
  <si>
    <t>countermon.profile.name</t>
  </si>
  <si>
    <t>aruba-countermon:countermon.profile.name</t>
  </si>
  <si>
    <t>msdp.profile.router.peer.enable</t>
  </si>
  <si>
    <t>aruba-msdp:msdp.profile.router.peer.enable</t>
  </si>
  <si>
    <t>profile.router.peer.enable; router.peer.enable</t>
  </si>
  <si>
    <t>aruba-smartlink</t>
  </si>
  <si>
    <t>smartlink.profile.name</t>
  </si>
  <si>
    <t>aruba-smartlink:smartlink.profile.name</t>
  </si>
  <si>
    <t>ospfv2.profile.routers.distribute-filter.direction</t>
  </si>
  <si>
    <t>aruba-ospfv2:ospfv2.profile.routers.distribute-filter.direction</t>
  </si>
  <si>
    <t>ospfv2.profile.routers.distribute-filter.prefix-name</t>
  </si>
  <si>
    <t>aruba-ospfv2:ospfv2.profile.routers.distribute-filter.prefix-name</t>
  </si>
  <si>
    <t>ospfv2.profile.routers.maximum-paths</t>
  </si>
  <si>
    <t>aruba-ospfv2:ospfv2.profile.routers.maximum-paths</t>
  </si>
  <si>
    <t>profile.routers.maximum_paths; routers.maximum_paths</t>
  </si>
  <si>
    <t>ospfv2.profile.routers.summary-address.prefix</t>
  </si>
  <si>
    <t>aruba-ospfv2:ospfv2.profile.routers.summary-address.prefix</t>
  </si>
  <si>
    <t>ospfv3.profile.routers.areas.area-id</t>
  </si>
  <si>
    <t>aruba-ospfv3:ospfv3.profile.routers.areas.area-id</t>
  </si>
  <si>
    <t>ospfv3.profile.routers.instance-tag</t>
  </si>
  <si>
    <t>aruba-ospfv3:ospfv3.profile.routers.instance-tag</t>
  </si>
  <si>
    <t>ospfv3.profile.routers.instance-tag-vrf</t>
  </si>
  <si>
    <t>aruba-ospfv3:ospfv3.profile.routers.instance-tag-vrf</t>
  </si>
  <si>
    <t>ospfv3.profile.routers.vrf</t>
  </si>
  <si>
    <t>aruba-ospfv3:ospfv3.profile.routers.vrf</t>
  </si>
  <si>
    <t>pim-router.profile.router.ssm-enable</t>
  </si>
  <si>
    <t>aruba-pim:pim-router.profile.router.ssm-enable</t>
  </si>
  <si>
    <t>router.ssm_enable</t>
  </si>
  <si>
    <t>nae-lite.profile.agent-type</t>
  </si>
  <si>
    <t>aruba-nae-lite:nae-lite.profile.agent-type</t>
  </si>
  <si>
    <t>nae-lite.profile.conditions.condtype</t>
  </si>
  <si>
    <t>aruba-nae-lite:nae-lite.profile.conditions.condtype</t>
  </si>
  <si>
    <t>nae-lite.profile.conditions.name-condition</t>
  </si>
  <si>
    <t>aruba-nae-lite:nae-lite.profile.conditions.name-condition</t>
  </si>
  <si>
    <t>route-maps.route-map.route-map-entry.match-ipv6-prefix-list</t>
  </si>
  <si>
    <t>aruba-routemap:route-maps.route-map.route-map-entry.match-ipv6-prefix-list</t>
  </si>
  <si>
    <t>switch-system.profile.aaa.mac-auth.macauth-password.ciphertext-password</t>
  </si>
  <si>
    <t>aruba-switch-system:switch-system.profile.aaa.mac-auth.macauth-password.ciphertext-password</t>
  </si>
  <si>
    <t>switch-system.profile.aaa.mac-auth.macauth-password.type</t>
  </si>
  <si>
    <t>aruba-switch-system:switch-system.profile.aaa.mac-auth.macauth-password.type</t>
  </si>
  <si>
    <t>traffic-insight.instance.monitor.group-by</t>
  </si>
  <si>
    <t>aruba-traffic-insight:traffic-insight.instance.monitor.group-by</t>
  </si>
  <si>
    <t>ubt.profile.zone.uac-keepalive-interval</t>
  </si>
  <si>
    <t>aruba-ubt:ubt.profile.zone.uac-keepalive-interval</t>
  </si>
  <si>
    <t>profile.zone.uac_keepalive_interval; zone.uac_keepalive_interval</t>
  </si>
  <si>
    <t>layer2-vlan.l2-vlan.ipv6-access-list-in</t>
  </si>
  <si>
    <t>aruba-vlan:layer2-vlan.l2-vlan.ipv6-access-list-in</t>
  </si>
  <si>
    <t>layer2-vlan.l2-vlan.policy-out</t>
  </si>
  <si>
    <t>aruba-vlan:layer2-vlan.l2-vlan.policy-out</t>
  </si>
  <si>
    <t>l2_vlan.policy_out; policy_out</t>
  </si>
  <si>
    <t>auth-server-global-config.profile.status-server-interval</t>
  </si>
  <si>
    <t>aruba-auth-server-global:auth-server-global-config.profile.status-server-interval</t>
  </si>
  <si>
    <t>auth-servers.auth-server.tracking-method</t>
  </si>
  <si>
    <t>aruba-auth-server:auth-servers.auth-server.tracking-method</t>
  </si>
  <si>
    <t>auth_server.tracking_method; tracking_method</t>
  </si>
  <si>
    <t>bgp.profile.router.global-afi-safi.global-ipv6-unicast.network.prefix</t>
  </si>
  <si>
    <t>aruba-bgp:bgp.profile.router.global-afi-safi.global-ipv6-unicast.network.prefix</t>
  </si>
  <si>
    <t>profile.router.global_afi_safi.global_ipv6_unicast.network.prefix; router.global_afi_safi.global_ipv6_unicast.network.prefix</t>
  </si>
  <si>
    <t>bgp.profile.router.neighbor.afi-safi.ipv4-unicast.max-prefix-options.action</t>
  </si>
  <si>
    <t>aruba-bgp:bgp.profile.router.neighbor.afi-safi.ipv4-unicast.max-prefix-options.action</t>
  </si>
  <si>
    <t>bgp.profile.router.neighbor.afi-safi.ipv4-unicast.max-prefix-options.limit</t>
  </si>
  <si>
    <t>aruba-bgp:bgp.profile.router.neighbor.afi-safi.ipv4-unicast.max-prefix-options.limit</t>
  </si>
  <si>
    <t>profile.router.neighbor.afi_safi.ipv4_unicast.max_prefix_options.limit; router.neighbor.afi_safi.ipv4_unicast.max_prefix_options.limit</t>
  </si>
  <si>
    <t>bgp.profile.router.neighbor.afi-safi.ipv4-unicast.route-reflector-client</t>
  </si>
  <si>
    <t>aruba-bgp:bgp.profile.router.neighbor.afi-safi.ipv4-unicast.route-reflector-client</t>
  </si>
  <si>
    <t>profile.router.neighbor.afi_safi.ipv4_unicast.route_reflector_client; router.neighbor.afi_safi.ipv4_unicast.route_reflector_client</t>
  </si>
  <si>
    <t>dhcp-relay.profile.ipv6.enable</t>
  </si>
  <si>
    <t>aruba-dhcp-relay:dhcp-relay.profile.ipv6.enable</t>
  </si>
  <si>
    <t>dhcp-snooping.profile.ipv4.trust-vxlan-tunnel</t>
  </si>
  <si>
    <t>aruba-dhcp-snooping:dhcp-snooping.profile.ipv4.trust-vxlan-tunnel</t>
  </si>
  <si>
    <t>external-storage.profile.store.password-ciphertext</t>
  </si>
  <si>
    <t>aruba-external-storage:external-storage.profile.store.password-ciphertext</t>
  </si>
  <si>
    <t>external-storage.profile.store.password-type</t>
  </si>
  <si>
    <t>aruba-external-storage:external-storage.profile.store.password-type</t>
  </si>
  <si>
    <t>external-storage.profile.store.username</t>
  </si>
  <si>
    <t>aruba-external-storage:external-storage.profile.store.username</t>
  </si>
  <si>
    <t>fault-monitor.profile.excessive-jabbers.threshold</t>
  </si>
  <si>
    <t>aruba-fault-monitor:fault-monitor.profile.excessive-jabbers.threshold</t>
  </si>
  <si>
    <t>fault-monitor.profile.excessive-late-collisions.threshold</t>
  </si>
  <si>
    <t>aruba-fault-monitor:fault-monitor.profile.excessive-late-collisions.threshold</t>
  </si>
  <si>
    <t>ethernet-interfaces.interface.llfc-flow-control.override-negotiation</t>
  </si>
  <si>
    <t>aruba-interface-ethernet:ethernet-interfaces.interface.llfc-flow-control.override-negotiation</t>
  </si>
  <si>
    <t>ethernet-interfaces.interface.pim-sparse.dr-priority</t>
  </si>
  <si>
    <t>aruba-interface-ethernet:ethernet-interfaces.interface.pim-sparse.dr-priority</t>
  </si>
  <si>
    <t>ethernet-interfaces.interface.vsx.shutdown-on-split</t>
  </si>
  <si>
    <t>aruba-interface-ethernet:ethernet-interfaces.interface.vsx.shutdown-on-split</t>
  </si>
  <si>
    <t>loopback-interfaces.interface.ipv6-addresses.ipv6-address</t>
  </si>
  <si>
    <t>aruba-interface-loopback:loopback-interfaces.interface.ipv6-addresses.ipv6-address</t>
  </si>
  <si>
    <t>interface.ipv6_addresses.ipv6_address</t>
  </si>
  <si>
    <t>portchannels.interface.nd-snooping.trust</t>
  </si>
  <si>
    <t>aruba-interface-portchannel:portchannels.interface.nd-snooping.trust</t>
  </si>
  <si>
    <t>portchannels.interface.stp.rpvst-guard</t>
  </si>
  <si>
    <t>aruba-interface-portchannel:portchannels.interface.stp.rpvst-guard</t>
  </si>
  <si>
    <t>vlan-interfaces.interface.mld.enable</t>
  </si>
  <si>
    <t>aruba-interface-vlan:vlan-interfaces.interface.mld.enable</t>
  </si>
  <si>
    <t>interface.mld.enable; mld.enable</t>
  </si>
  <si>
    <t>vlan-interfaces.interface.pim-sparse.dr-priority</t>
  </si>
  <si>
    <t>aruba-interface-vlan:vlan-interfaces.interface.pim-sparse.dr-priority</t>
  </si>
  <si>
    <t>job-scheduler.schedule.trigger-on-monthly</t>
  </si>
  <si>
    <t>aruba-job-scheduler:job-scheduler.schedule.trigger-on-monthly</t>
  </si>
  <si>
    <t>bgp.profile.router.peer-group.ciphertext-password</t>
  </si>
  <si>
    <t>aruba-bgp:bgp.profile.router.peer-group.ciphertext-password</t>
  </si>
  <si>
    <t>erps.profile.ring.instance.role</t>
  </si>
  <si>
    <t>aruba-erps:erps.profile.ring.instance.role</t>
  </si>
  <si>
    <t>ospfv2.profile.routers.areas.lag-interfaces.network</t>
  </si>
  <si>
    <t>aruba-ospfv2:ospfv2.profile.routers.areas.lag-interfaces.network</t>
  </si>
  <si>
    <t>profile.routers.areas.lag_interfaces.network; routers.areas.lag_interfaces.network</t>
  </si>
  <si>
    <t>vsx-config.vsx.keepalive.dead-interval</t>
  </si>
  <si>
    <t>aruba-vsx-pair:vsx-config.vsx.keepalive.dead-interval</t>
  </si>
  <si>
    <t>erps.profile.ring.instance.rpl</t>
  </si>
  <si>
    <t>aruba-erps:erps.profile.ring.instance.rpl</t>
  </si>
  <si>
    <t>rip.profile.router.redistribute.redistribute-id</t>
  </si>
  <si>
    <t>aruba-rip:rip.profile.router.redistribute.redistribute-id</t>
  </si>
  <si>
    <t>rip.profile.router.redistribute.redistribute-type</t>
  </si>
  <si>
    <t>aruba-rip:rip.profile.router.redistribute.redistribute-type</t>
  </si>
  <si>
    <t>rip.profile.description</t>
  </si>
  <si>
    <t>aruba-rip:rip.profile.description</t>
  </si>
  <si>
    <t>smartlink.profile.group.group-id</t>
  </si>
  <si>
    <t>aruba-smartlink:smartlink.profile.group.group-id</t>
  </si>
  <si>
    <t>rip.profile.router.svi-interfaces.address-family</t>
  </si>
  <si>
    <t>aruba-rip:rip.profile.router.svi-interfaces.address-family</t>
  </si>
  <si>
    <t>rip.profile.router.svi-interfaces.ip-address</t>
  </si>
  <si>
    <t>aruba-rip:rip.profile.router.svi-interfaces.ip-address</t>
  </si>
  <si>
    <t>rip.profile.router.svi-interfaces.svi-id</t>
  </si>
  <si>
    <t>aruba-rip:rip.profile.router.svi-interfaces.svi-id</t>
  </si>
  <si>
    <t>rip.profile.router.svi-interfaces.svi-id-address-family</t>
  </si>
  <si>
    <t>aruba-rip:rip.profile.router.svi-interfaces.svi-id-address-family</t>
  </si>
  <si>
    <t>ospfv2.profile.routers.areas.ether-interfaces.bfd</t>
  </si>
  <si>
    <t>aruba-ospfv2:ospfv2.profile.routers.areas.ether-interfaces.bfd</t>
  </si>
  <si>
    <t>profile.routers.areas.ether_interfaces.bfd; routers.areas.ether_interfaces.bfd</t>
  </si>
  <si>
    <t>ospfv2.profile.routers.areas.svi-interfaces.ciphertext-password</t>
  </si>
  <si>
    <t>aruba-ospfv2:ospfv2.profile.routers.areas.svi-interfaces.ciphertext-password</t>
  </si>
  <si>
    <t>ospfv2.profile.routers.areas.svi-interfaces.keychain-key</t>
  </si>
  <si>
    <t>aruba-ospfv2:ospfv2.profile.routers.areas.svi-interfaces.keychain-key</t>
  </si>
  <si>
    <t>ospfv2.profile.routers.areas.svi-interfaces.password-type</t>
  </si>
  <si>
    <t>aruba-ospfv2:ospfv2.profile.routers.areas.svi-interfaces.password-type</t>
  </si>
  <si>
    <t>profile.routers.areas.svi_interfaces.password_type; routers.areas.svi_interfaces.password_type</t>
  </si>
  <si>
    <t>policies.policy.security-policy.policy-rule.condition.ip-header.vlan</t>
  </si>
  <si>
    <t>aruba-policy:policies.policy.security-policy.policy-rule.condition.ip-header.vlan</t>
  </si>
  <si>
    <t>policy.security_policy.policy_rule.condition.ethernet_header.vlan; security_policy.policy_rule.condition.ethernet_header.vlan</t>
  </si>
  <si>
    <t>nae-lite.profile.conditions.set-watch</t>
  </si>
  <si>
    <t>aruba-nae-lite:nae-lite.profile.conditions.set-watch</t>
  </si>
  <si>
    <t>nae-lite.profile.watches.event-id</t>
  </si>
  <si>
    <t>aruba-nae-lite:nae-lite.profile.watches.event-id</t>
  </si>
  <si>
    <t>nae-lite.profile.watches.watch-name</t>
  </si>
  <si>
    <t>aruba-nae-lite:nae-lite.profile.watches.watch-name</t>
  </si>
  <si>
    <t>snmp.profile.agent-port</t>
  </si>
  <si>
    <t>aruba-snmp:snmp.profile.agent-port</t>
  </si>
  <si>
    <t>sw-port-profiles.profile.igmp.static-group</t>
  </si>
  <si>
    <t>aruba-sw-port-profile:sw-port-profiles.profile.igmp.static-group</t>
  </si>
  <si>
    <t>sw-port-profiles.profile.llfc-flow-control.override-negotiation</t>
  </si>
  <si>
    <t>aruba-sw-port-profile:sw-port-profiles.profile.llfc-flow-control.override-negotiation</t>
  </si>
  <si>
    <t>sw-port-profiles.profile.poe.priority</t>
  </si>
  <si>
    <t>aruba-sw-port-profile:sw-port-profiles.profile.poe.priority</t>
  </si>
  <si>
    <t>poe.priority; profile.poe.priority</t>
  </si>
  <si>
    <t>switch-system.profile.disable-factory-reset</t>
  </si>
  <si>
    <t>aruba-switch-system:switch-system.profile.disable-factory-reset</t>
  </si>
  <si>
    <t>layer2-vlan.l2-vlan.mac-access-list-in</t>
  </si>
  <si>
    <t>aruba-vlan:layer2-vlan.l2-vlan.mac-access-list-in</t>
  </si>
  <si>
    <t>vrrp.profile.virtual-router.track-id</t>
  </si>
  <si>
    <t>aruba-vrrp-interface:vrrp.profile.virtual-router.track-id</t>
  </si>
  <si>
    <t>profile.virtual_router.track_id; virtual_router.track_id</t>
  </si>
  <si>
    <t>vsx-profiles.vsx.sync-features.keepalive.dead-interval</t>
  </si>
  <si>
    <t>aruba-vsx:vsx-profiles.vsx.sync-features.keepalive.dead-interval</t>
  </si>
  <si>
    <t>sync_features.keepalive.dead_interval; vsx.sync_features.keepalive.dead_interval</t>
  </si>
  <si>
    <t>aaa-profile.profile.security-violation.action</t>
  </si>
  <si>
    <t>aruba-aaa-profile:aaa-profile.profile.security-violation.action</t>
  </si>
  <si>
    <t>profile.security_violation.action; security_violation.action</t>
  </si>
  <si>
    <t>aaa-profile.profile.security-violation.recovery-timer</t>
  </si>
  <si>
    <t>aruba-aaa-profile:aaa-profile.profile.security-violation.recovery-timer</t>
  </si>
  <si>
    <t>profile.security_violation.recovery_timer; security_violation.recovery_timer</t>
  </si>
  <si>
    <t>aaa-profile.profile.security-violation.shutdown-recovery-enable</t>
  </si>
  <si>
    <t>aruba-aaa-profile:aaa-profile.profile.security-violation.shutdown-recovery-enable</t>
  </si>
  <si>
    <t>profile.security_violation.shutdown_recovery_enable; security_violation.shutdown_recovery_enable</t>
  </si>
  <si>
    <t>bfd.profile.disable-echo</t>
  </si>
  <si>
    <t>aruba-bfd:bfd.profile.disable-echo</t>
  </si>
  <si>
    <t>disable_echo; profile.disable_echo</t>
  </si>
  <si>
    <t>bfd.profile.echo-source-address.echo-source-address</t>
  </si>
  <si>
    <t>aruba-bfd:bfd.profile.echo-source-address.echo-source-address</t>
  </si>
  <si>
    <t>echo_source_address; profile.echo_source_address</t>
  </si>
  <si>
    <t>bgp.profile.router.neighbor.afi-safi.ipv6-unicast.apply-route-map.direction</t>
  </si>
  <si>
    <t>aruba-bgp:bgp.profile.router.neighbor.afi-safi.ipv6-unicast.apply-route-map.direction</t>
  </si>
  <si>
    <t>profile.router.neighbor.afi_safi.ipv6_unicast.apply_route_map.direction; router.neighbor.afi_safi.ipv6_unicast.apply_route_map.direction</t>
  </si>
  <si>
    <t>bgp.profile.router.neighbor.afi-safi.ipv6-unicast.apply-route-map.route-map</t>
  </si>
  <si>
    <t>aruba-bgp:bgp.profile.router.neighbor.afi-safi.ipv6-unicast.apply-route-map.route-map</t>
  </si>
  <si>
    <t>profile.router.neighbor.afi_safi.ipv6_unicast.apply_route_map.route_map; router.neighbor.afi_safi.ipv6_unicast.apply_route_map.route_map</t>
  </si>
  <si>
    <t>bgp.profile.router.neighbor.afi-safi.ipv6-unicast.inbound-soft-reconfiguration</t>
  </si>
  <si>
    <t>aruba-bgp:bgp.profile.router.neighbor.afi-safi.ipv6-unicast.inbound-soft-reconfiguration</t>
  </si>
  <si>
    <t>profile.router.neighbor.afi_safi.ipv6_unicast.inbound_soft_reconfiguration; router.neighbor.afi_safi.ipv6_unicast.inbound_soft_reconfiguration</t>
  </si>
  <si>
    <t>bgp.profile.router.neighbor.enabled</t>
  </si>
  <si>
    <t>aruba-bgp:bgp.profile.router.neighbor.enabled</t>
  </si>
  <si>
    <t>profile.router.neighbor.enabled; router.neighbor.enabled</t>
  </si>
  <si>
    <t>bgp.profile.router.neighbor.local-as-mode</t>
  </si>
  <si>
    <t>aruba-bgp:bgp.profile.router.neighbor.local-as-mode</t>
  </si>
  <si>
    <t>bgp.profile.router.peer-group.transport.local-vlan-interface</t>
  </si>
  <si>
    <t>aruba-bgp:bgp.profile.router.peer-group.transport.local-vlan-interface</t>
  </si>
  <si>
    <t>profile.router.peer_group.transport.local_vlan_interface; router.peer_group.transport.local_vlan_interface</t>
  </si>
  <si>
    <t>bgp.profile.router.peer-group.ttl-security-hops</t>
  </si>
  <si>
    <t>aruba-bgp:bgp.profile.router.peer-group.ttl-security-hops</t>
  </si>
  <si>
    <t>community-lists.community-list.community-list-entry.community-expanded</t>
  </si>
  <si>
    <t>aruba-community-list:community-lists.community-list.community-list-entry.community-expanded</t>
  </si>
  <si>
    <t>community_list.community_list_entry.community_expanded; community_list_entry.community_expanded</t>
  </si>
  <si>
    <t>dhcp-relay.profile.ipv4.option-82.validate</t>
  </si>
  <si>
    <t>aruba-dhcp-relay:dhcp-relay.profile.ipv4.option-82.validate</t>
  </si>
  <si>
    <t>ipv4.option_82.validate; profile.ipv4.option_82.validate</t>
  </si>
  <si>
    <t>dhcp-snooping.profile.ipv4.option-82.remote-id</t>
  </si>
  <si>
    <t>aruba-dhcp-snooping:dhcp-snooping.profile.ipv4.option-82.remote-id</t>
  </si>
  <si>
    <t>evpn.profile.evpn-global.mac-mobility-window</t>
  </si>
  <si>
    <t>aruba-evpn:evpn.profile.evpn-global.mac-mobility-window</t>
  </si>
  <si>
    <t>evpn_global.mac_mobility_window; profile.evpn_global.mac_mobility_window</t>
  </si>
  <si>
    <t>lldp.profile.tlv.dot1.port-vlan-id</t>
  </si>
  <si>
    <t>aruba-lldp:lldp.profile.tlv.dot1.port-vlan-id</t>
  </si>
  <si>
    <t>ethernet-interfaces.interface.lldp.tlv.med.network-policy</t>
  </si>
  <si>
    <t>aruba-interface-ethernet:ethernet-interfaces.interface.lldp.tlv.med.network-policy</t>
  </si>
  <si>
    <t>ethernet-interfaces.interface.pim-dense.source-address-any</t>
  </si>
  <si>
    <t>aruba-interface-ethernet:ethernet-interfaces.interface.pim-dense.source-address-any</t>
  </si>
  <si>
    <t>ethernet-interfaces.interface.qos.icmp-rate-limit.packet-rate</t>
  </si>
  <si>
    <t>aruba-interface-ethernet:ethernet-interfaces.interface.qos.icmp-rate-limit.packet-rate</t>
  </si>
  <si>
    <t>interface.qos.icmp_rate_limit.packet_rate; qos.icmp_rate_limit.packet_rate</t>
  </si>
  <si>
    <t>portchannels.interface.ptp.enable</t>
  </si>
  <si>
    <t>aruba-interface-portchannel:portchannels.interface.ptp.enable</t>
  </si>
  <si>
    <t>layer2-vlan-range.igmp.policy-in</t>
  </si>
  <si>
    <t>aruba-vlan-range:layer2-vlan-range.igmp.policy-in</t>
  </si>
  <si>
    <t>tunnel.interface.vrf-forwarding</t>
  </si>
  <si>
    <t>aruba-interface-tunnel:tunnel.interface.vrf-forwarding</t>
  </si>
  <si>
    <t>vlan-interfaces.interface.active-gateway.ipv6-address</t>
  </si>
  <si>
    <t>aruba-interface-vlan:vlan-interfaces.interface.active-gateway.ipv6-address</t>
  </si>
  <si>
    <t>active_gateway.ipv6_address; interface.active_gateway.ipv6_address</t>
  </si>
  <si>
    <t>vlan-interfaces.interface.active-gateway.mac-address-v6</t>
  </si>
  <si>
    <t>aruba-interface-vlan:vlan-interfaces.interface.active-gateway.mac-address-v6</t>
  </si>
  <si>
    <t>active_gateway.mac_address_v6; interface.active_gateway.mac_address_v6</t>
  </si>
  <si>
    <t>vlan-interfaces.interface.pim-sparse-vlan.vsx-virtual-neighbor-ipv4</t>
  </si>
  <si>
    <t>aruba-interface-vlan:vlan-interfaces.interface.pim-sparse-vlan.vsx-virtual-neighbor-ipv4</t>
  </si>
  <si>
    <t>ufd.profile.sessions.links-to-disable.ethernet-ports</t>
  </si>
  <si>
    <t>aruba-ufd:ufd.profile.sessions.links-to-disable.ethernet-ports</t>
  </si>
  <si>
    <t>ufd.profile.sessions.links-to-monitor.ethernet-ports</t>
  </si>
  <si>
    <t>aruba-ufd:ufd.profile.sessions.links-to-monitor.ethernet-ports</t>
  </si>
  <si>
    <t>job-scheduler.schedule.month-day</t>
  </si>
  <si>
    <t>aruba-job-scheduler:job-scheduler.schedule.month-day</t>
  </si>
  <si>
    <t>nexthop-groups.group.nexthops.null-interface</t>
  </si>
  <si>
    <t>aruba-nexthop-group:nexthop-groups.group.nexthops.null-interface</t>
  </si>
  <si>
    <t>local-management.profile.ssh-server-global-configs.certificate-as-authorized-key</t>
  </si>
  <si>
    <t>aruba-local-management:local-management.profile.ssh-server-global-configs.certificate-as-authorized-key</t>
  </si>
  <si>
    <t>logging.profile.notification-threshold.event-log</t>
  </si>
  <si>
    <t>aruba-logging:logging.profile.notification-threshold.event-log</t>
  </si>
  <si>
    <t>tracking-object.vrrp.interface.svi</t>
  </si>
  <si>
    <t>aruba-track-object:tracking-object.vrrp.interface.svi</t>
  </si>
  <si>
    <t>qos-schedules.profile.strict.max-bandwidth-kbps</t>
  </si>
  <si>
    <t>aruba-qos-schedule:qos-schedules.profile.strict.max-bandwidth-kbps</t>
  </si>
  <si>
    <t>lldp.profile.hold-multiplier</t>
  </si>
  <si>
    <t>aruba-lldp:lldp.profile.hold-multiplier</t>
  </si>
  <si>
    <t>vxlan-tunnel.profile.bridging-mode</t>
  </si>
  <si>
    <t>aruba-interface-vxlan-tunnel:vxlan-tunnel.profile.bridging-mode</t>
  </si>
  <si>
    <t>bridging_mode; profile.bridging_mode</t>
  </si>
  <si>
    <t>macsec.policy.cipher-suites</t>
  </si>
  <si>
    <t>aruba-macsec:macsec.policy.cipher-suites</t>
  </si>
  <si>
    <t>ospfv2.profile.routers.areas.sub-interfaces.sub-interface-name</t>
  </si>
  <si>
    <t>aruba-ospfv2:ospfv2.profile.routers.areas.sub-interfaces.sub-interface-name</t>
  </si>
  <si>
    <t>mac-lockout.profile.log</t>
  </si>
  <si>
    <t>aruba-mac-lockout:mac-lockout.profile.log</t>
  </si>
  <si>
    <t>policies.policy.security-policy.policy-rule.condition.destination.host-address.host-ipv6-address</t>
  </si>
  <si>
    <t>aruba-policy:policies.policy.security-policy.policy-rule.condition.destination.host-address.host-ipv6-address</t>
  </si>
  <si>
    <t>policy.security_policy.policy_rule.condition.destination.host_address.host_ipv6_address; security_policy.policy_rule.condition.destination.host_address.host_ipv6_address</t>
  </si>
  <si>
    <t>policies.policy.security-policy.policy-rule.condition.ip-header.dscp</t>
  </si>
  <si>
    <t>aruba-policy:policies.policy.security-policy.policy-rule.condition.ip-header.dscp</t>
  </si>
  <si>
    <t>policy.security_policy.policy_rule.condition.ip_header.dscp; security_policy.policy_rule.condition.ip_header.dscp</t>
  </si>
  <si>
    <t>policies.policy.security-policy.policy-rule.condition.source.host-address.host-ipv6-address</t>
  </si>
  <si>
    <t>aruba-policy:policies.policy.security-policy.policy-rule.condition.source.host-address.host-ipv6-address</t>
  </si>
  <si>
    <t>policy.security_policy.policy_rule.condition.source.host_address.host_ipv6_address; security_policy.policy_rule.condition.source.host_address.host_ipv6_address</t>
  </si>
  <si>
    <t>switch-chassis.chassis.line-modules.hw-profile</t>
  </si>
  <si>
    <t>aruba-switch-chassis:switch-chassis.chassis.line-modules.hw-profile</t>
  </si>
  <si>
    <t>nae-lite.profile.conditions.cli</t>
  </si>
  <si>
    <t>aruba-nae-lite:nae-lite.profile.conditions.cli</t>
  </si>
  <si>
    <t>route-maps.route-map.route-map-entry.match-vlan-interface</t>
  </si>
  <si>
    <t>aruba-routemap:route-maps.route-map.route-map-entry.match-vlan-interface</t>
  </si>
  <si>
    <t>route_map.route_map_entry.match_vlan_interface; route_map_entry.match_vlan_interface</t>
  </si>
  <si>
    <t>stp.profile.max-age</t>
  </si>
  <si>
    <t>aruba-stp:stp.profile.max-age</t>
  </si>
  <si>
    <t>include_rpvst_auto_vlan.max_age; max_age; profile.include_rpvst_auto_vlan.max_age; profile.max_age; profile.rpvst.max_age; rpvst.max_age</t>
  </si>
  <si>
    <t>stp.profile.max-hops</t>
  </si>
  <si>
    <t>aruba-stp:stp.profile.max-hops</t>
  </si>
  <si>
    <t>max_hops; profile.max_hops</t>
  </si>
  <si>
    <t>sw-port-profiles.profile.bfd.disable-echo</t>
  </si>
  <si>
    <t>aruba-sw-port-profile:sw-port-profiles.profile.bfd.disable-echo</t>
  </si>
  <si>
    <t>sw-port-profiles.profile.qos.unknown-unicast-rate-limit.bit-rate</t>
  </si>
  <si>
    <t>aruba-sw-port-profile:sw-port-profiles.profile.qos.unknown-unicast-rate-limit.bit-rate</t>
  </si>
  <si>
    <t>profile.qos.unknown_unicast_rate_limit.bit_rate; qos.unknown_unicast_rate_limit.bit_rate</t>
  </si>
  <si>
    <t>sw-port-profiles.profile.stp.rpvst-filter</t>
  </si>
  <si>
    <t>aruba-sw-port-profile:sw-port-profiles.profile.stp.rpvst-filter</t>
  </si>
  <si>
    <t>profile.stp.rpvst_filter; stp.rpvst_filter</t>
  </si>
  <si>
    <t>sw-port-profiles.profile.udp-broadcast-forwarder-server.servers.ip</t>
  </si>
  <si>
    <t>aruba-sw-port-profile:sw-port-profiles.profile.udp-broadcast-forwarder-server.servers.ip</t>
  </si>
  <si>
    <t>sw-port-profiles.profile.udp-broadcast-forwarder-server.servers.port</t>
  </si>
  <si>
    <t>aruba-sw-port-profile:sw-port-profiles.profile.udp-broadcast-forwarder-server.servers.port</t>
  </si>
  <si>
    <t>ubt.profile.zone.papi-security-key.cipher-password</t>
  </si>
  <si>
    <t>aruba-ubt:ubt.profile.zone.papi-security-key.cipher-password</t>
  </si>
  <si>
    <t>ubt.profile.zone.papi-security-key.type</t>
  </si>
  <si>
    <t>aruba-ubt:ubt.profile.zone.papi-security-key.type</t>
  </si>
  <si>
    <t>ubt.profile.zone.sac-heartbeat-interval</t>
  </si>
  <si>
    <t>aruba-ubt:ubt.profile.zone.sac-heartbeat-interval</t>
  </si>
  <si>
    <t>profile.zone.sac_heartbeat_interval; zone.sac_heartbeat_interval</t>
  </si>
  <si>
    <t>ubt.profile.zone.wol-vlans</t>
  </si>
  <si>
    <t>aruba-ubt:ubt.profile.zone.wol-vlans</t>
  </si>
  <si>
    <t>profile.zone.wol_vlans; zone.wol_vlans</t>
  </si>
  <si>
    <t>layer2-vlan.l2-vlan.igmp.policy-in</t>
  </si>
  <si>
    <t>aruba-vlan:layer2-vlan.l2-vlan.igmp.policy-in</t>
  </si>
  <si>
    <t>vrrp.profile.virtual-router.authentication-type</t>
  </si>
  <si>
    <t>aruba-vrrp-interface:vrrp.profile.virtual-router.authentication-type</t>
  </si>
  <si>
    <t>profile.virtual_router.authentication_type; virtual_router.authentication_type</t>
  </si>
  <si>
    <t>vrrp.profile.virtual-router.ciphertext-password</t>
  </si>
  <si>
    <t>aruba-vrrp-interface:vrrp.profile.virtual-router.ciphertext-password</t>
  </si>
  <si>
    <t>vrrp.profile.virtual-router.password-type</t>
  </si>
  <si>
    <t>aruba-vrrp-interface:vrrp.profile.virtual-router.password-type</t>
  </si>
  <si>
    <t>profile.virtual_router.password_type; virtual_router.password_type</t>
  </si>
  <si>
    <t>bgp.profile.router.neighbor.afi-safi.l2vpn-evpn.inbound-soft-reconfiguration</t>
  </si>
  <si>
    <t>aruba-bgp:bgp.profile.router.neighbor.afi-safi.l2vpn-evpn.inbound-soft-reconfiguration</t>
  </si>
  <si>
    <t>profile.router.neighbor.afi_safi.ipv4_unicast.inbound_soft_reconfiguration; profile.router.neighbor.afi_safi.ipv6_unicast.inbound_soft_reconfiguration; profile.router.peer_group.afi_safi.ipv4_unicast.inbound_soft_reconfiguration; profile.router.peer_group.afi_safi.ipv6_unicast.inbound_soft_reconfiguration; router.neighbor.afi_safi.ipv4_unicast.inbound_soft_reconfiguration; router.neighbor.afi_safi.ipv6_unicast.inbound_soft_reconfiguration; router.peer_group.afi_safi.ipv4_unicast.inbound_soft_reconfiguration; router.peer_group.afi_safi.ipv6_unicast.inbound_soft_reconfiguration</t>
  </si>
  <si>
    <t>bgp.profile.router.neighbor.weight</t>
  </si>
  <si>
    <t>aruba-bgp:bgp.profile.router.neighbor.weight</t>
  </si>
  <si>
    <t>profile.router.neighbor.weight; router.neighbor.weight</t>
  </si>
  <si>
    <t>dhcp-snooping.profile.ipv4.external-storage.external-storage-profile-name</t>
  </si>
  <si>
    <t>aruba-dhcp-snooping:dhcp-snooping.profile.ipv4.external-storage.external-storage-profile-name</t>
  </si>
  <si>
    <t>ipv4.external_storage.external_storage_profile_name; profile.ipv4.external_storage.external_storage_profile_name</t>
  </si>
  <si>
    <t>dhcp-snooping.profile.ipv4.external-storage.external-storage-ref</t>
  </si>
  <si>
    <t>aruba-dhcp-snooping:dhcp-snooping.profile.ipv4.external-storage.external-storage-ref</t>
  </si>
  <si>
    <t>ipv4.external_storage.external_storage_ref; profile.ipv4.external_storage.external_storage_ref</t>
  </si>
  <si>
    <t>dhcp-snooping.profile.ipv4.external-storage.filename</t>
  </si>
  <si>
    <t>aruba-dhcp-snooping:dhcp-snooping.profile.ipv4.external-storage.filename</t>
  </si>
  <si>
    <t>ipv4.external_storage.filename; profile.ipv4.external_storage.filename</t>
  </si>
  <si>
    <t>dhcp-snooping.profile.ipv6.authorized-server.vrf</t>
  </si>
  <si>
    <t>aruba-dhcp-snooping:dhcp-snooping.profile.ipv6.authorized-server.vrf</t>
  </si>
  <si>
    <t>ipv6.authorized_server.vrf; profile.ipv6.authorized_server.vrf</t>
  </si>
  <si>
    <t>est-profiles.profile.arbitrary-label</t>
  </si>
  <si>
    <t>aruba-est:est-profiles.profile.arbitrary-label</t>
  </si>
  <si>
    <t>arbitrary_label; profile.arbitrary_label</t>
  </si>
  <si>
    <t>evpn.profile.evpn-global.mac-mobility-threshold</t>
  </si>
  <si>
    <t>aruba-evpn:evpn.profile.evpn-global.mac-mobility-threshold</t>
  </si>
  <si>
    <t>evpn_global.mac_mobility_threshold; profile.evpn_global.mac_mobility_threshold</t>
  </si>
  <si>
    <t>evpn.profile.evpn-global.nd-suppression</t>
  </si>
  <si>
    <t>aruba-evpn:evpn.profile.evpn-global.nd-suppression</t>
  </si>
  <si>
    <t>evpn_global.nd_suppression; profile.evpn_global.nd_suppression</t>
  </si>
  <si>
    <t>ethernet-interfaces.interface.igmp.query-max-response-time</t>
  </si>
  <si>
    <t>aruba-interface-ethernet:ethernet-interfaces.interface.igmp.query-max-response-time</t>
  </si>
  <si>
    <t>lldp.profile.tlv.dot1.port-vlan-name</t>
  </si>
  <si>
    <t>aruba-lldp:lldp.profile.tlv.dot1.port-vlan-name</t>
  </si>
  <si>
    <t>ethernet-interfaces.interface.pim-sparse.bfd-enable</t>
  </si>
  <si>
    <t>aruba-interface-ethernet:ethernet-interfaces.interface.pim-sparse.bfd-enable</t>
  </si>
  <si>
    <t>interface.pim_sparse.bfd_enable; pim_sparse.bfd_enable</t>
  </si>
  <si>
    <t>ethernet-interfaces.interface.stp.mstp.instance-id</t>
  </si>
  <si>
    <t>aruba-interface-ethernet:ethernet-interfaces.interface.stp.mstp.instance-id</t>
  </si>
  <si>
    <t>yes</t>
  </si>
  <si>
    <t>portchannels.interface.macsec-policy</t>
  </si>
  <si>
    <t>aruba-interface-portchannel:portchannels.interface.macsec-policy</t>
  </si>
  <si>
    <t>portchannels.interface.mka-policy</t>
  </si>
  <si>
    <t>aruba-interface-portchannel:portchannels.interface.mka-policy</t>
  </si>
  <si>
    <t>tunnel.interface.mtu</t>
  </si>
  <si>
    <t>aruba-interface-tunnel:tunnel.interface.mtu</t>
  </si>
  <si>
    <t>interface.mtu; mtu</t>
  </si>
  <si>
    <t>vlan-interfaces.interface.ipv6-neighbor-discovery.router-advertisement.dns-search-list-enable</t>
  </si>
  <si>
    <t>aruba-interface-vlan:vlan-interfaces.interface.ipv6-neighbor-discovery.router-advertisement.dns-search-list-enable</t>
  </si>
  <si>
    <t>vlan-interfaces.interface.ipv6-neighbor-discovery.router-advertisement.rdnss-enable</t>
  </si>
  <si>
    <t>aruba-interface-vlan:vlan-interfaces.interface.ipv6-neighbor-discovery.router-advertisement.rdnss-enable</t>
  </si>
  <si>
    <t>ufd.profile.sessions.delay-up</t>
  </si>
  <si>
    <t>aruba-ufd:ufd.profile.sessions.delay-up</t>
  </si>
  <si>
    <t>ip-source-interfaces.profile.ip-source.ethernet</t>
  </si>
  <si>
    <t>aruba-ip-source-interface:ip-source-interfaces.profile.ip-source.ethernet</t>
  </si>
  <si>
    <t>ip_source.ethernet; profile.ip_source.ethernet</t>
  </si>
  <si>
    <t>vxlan.profile.description</t>
  </si>
  <si>
    <t>aruba-interface-vxlan:vxlan.profile.description</t>
  </si>
  <si>
    <t>erps.profile.ring.port0-eth-interface</t>
  </si>
  <si>
    <t>aruba-erps:erps.profile.ring.port0-eth-interface</t>
  </si>
  <si>
    <t>erps.profile.ring.port1-eth-interface</t>
  </si>
  <si>
    <t>aruba-erps:erps.profile.ring.port1-eth-interface</t>
  </si>
  <si>
    <t>layer2-vlan-range.nd-snooping.nd-guard</t>
  </si>
  <si>
    <t>aruba-vlan-range:layer2-vlan-range.nd-snooping.nd-guard</t>
  </si>
  <si>
    <t>local-management.profile.ssh-server-global-configs.password-authentication</t>
  </si>
  <si>
    <t>aruba-local-management:local-management.profile.ssh-server-global-configs.password-authentication</t>
  </si>
  <si>
    <t>logging.profile.notification-threshold.audit-log</t>
  </si>
  <si>
    <t>aruba-logging:logging.profile.notification-threshold.audit-log</t>
  </si>
  <si>
    <t>logging.profile.remote-syslog.rate-limit.burst</t>
  </si>
  <si>
    <t>aruba-logging:logging.profile.remote-syslog.rate-limit.burst</t>
  </si>
  <si>
    <t>aruba-ip-binding</t>
  </si>
  <si>
    <t>source-ip-bindings.static-entry.client-address</t>
  </si>
  <si>
    <t>aruba-ip-binding:source-ip-bindings.static-entry.client-address</t>
  </si>
  <si>
    <t>source-ip-bindings.static-entry.interface-ethernet</t>
  </si>
  <si>
    <t>aruba-ip-binding:source-ip-bindings.static-entry.interface-ethernet</t>
  </si>
  <si>
    <t>source-ip-bindings.static-entry.interface-types</t>
  </si>
  <si>
    <t>aruba-ip-binding:source-ip-bindings.static-entry.interface-types</t>
  </si>
  <si>
    <t>source-ip-bindings.static-entry.ip-version</t>
  </si>
  <si>
    <t>aruba-ip-binding:source-ip-bindings.static-entry.ip-version</t>
  </si>
  <si>
    <t>source-ip-bindings.static-entry.ip-version-vlan-client-address</t>
  </si>
  <si>
    <t>aruba-ip-binding:source-ip-bindings.static-entry.ip-version-vlan-client-address</t>
  </si>
  <si>
    <t>source-ip-bindings.static-entry.mac</t>
  </si>
  <si>
    <t>aruba-ip-binding:source-ip-bindings.static-entry.mac</t>
  </si>
  <si>
    <t>source-ip-bindings.static-entry.vlan</t>
  </si>
  <si>
    <t>aruba-ip-binding:source-ip-bindings.static-entry.vlan</t>
  </si>
  <si>
    <t>bgp.profile.router.global-afi-safi.global-ipv4-unicast.aggregate-address.summary-only</t>
  </si>
  <si>
    <t>aruba-bgp:bgp.profile.router.global-afi-safi.global-ipv4-unicast.aggregate-address.summary-only</t>
  </si>
  <si>
    <t>profile.router.global_afi_safi.global_ipv4_unicast.aggregate_address.summary_only; router.global_afi_safi.global_ipv4_unicast.aggregate_address.summary_only</t>
  </si>
  <si>
    <t>nae-lite.profile.ready</t>
  </si>
  <si>
    <t>aruba-nae-lite:nae-lite.profile.ready</t>
  </si>
  <si>
    <t>aruba-dsm</t>
  </si>
  <si>
    <t>dsm.dsm-instance.name</t>
  </si>
  <si>
    <t>aruba-dsm:dsm.dsm-instance.name</t>
  </si>
  <si>
    <t>ipfix-flow-record.records.match.ipv6-destination-address</t>
  </si>
  <si>
    <t>aruba-ipfix-flow-record:ipfix-flow-record.records.match.ipv6-destination-address</t>
  </si>
  <si>
    <t>ipfix-flow-record.records.match.ipv6-protocol</t>
  </si>
  <si>
    <t>aruba-ipfix-flow-record:ipfix-flow-record.records.match.ipv6-protocol</t>
  </si>
  <si>
    <t>ipfix-flow-record.records.match.ipv6-source-address</t>
  </si>
  <si>
    <t>aruba-ipfix-flow-record:ipfix-flow-record.records.match.ipv6-source-address</t>
  </si>
  <si>
    <t>ipfix-flow-record.records.match.ipv6-version</t>
  </si>
  <si>
    <t>aruba-ipfix-flow-record:ipfix-flow-record.records.match.ipv6-version</t>
  </si>
  <si>
    <t>aruba-feature-pack</t>
  </si>
  <si>
    <t>management-server.profile.credentials.password-ciphertext</t>
  </si>
  <si>
    <t>aruba-feature-pack:management-server.profile.credentials.password-ciphertext</t>
  </si>
  <si>
    <t>management-server.profile.credentials.user</t>
  </si>
  <si>
    <t>aruba-feature-pack:management-server.profile.credentials.user</t>
  </si>
  <si>
    <t>management-server.profile.location</t>
  </si>
  <si>
    <t>aruba-feature-pack:management-server.profile.location</t>
  </si>
  <si>
    <t>management-server.profile.name</t>
  </si>
  <si>
    <t>aruba-feature-pack:management-server.profile.name</t>
  </si>
  <si>
    <t>management-server.profile.pool</t>
  </si>
  <si>
    <t>aruba-feature-pack:management-server.profile.pool</t>
  </si>
  <si>
    <t>ospfv2.profile.routers.reference-bandwidth</t>
  </si>
  <si>
    <t>aruba-ospfv2:ospfv2.profile.routers.reference-bandwidth</t>
  </si>
  <si>
    <t>ospfv3.profile.routers.redistribute-routes.redistribute-id</t>
  </si>
  <si>
    <t>aruba-ospfv3:ospfv3.profile.routers.redistribute-routes.redistribute-id</t>
  </si>
  <si>
    <t>ospfv3.profile.routers.redistribute-routes.redistribute-type</t>
  </si>
  <si>
    <t>aruba-ospfv3:ospfv3.profile.routers.redistribute-routes.redistribute-type</t>
  </si>
  <si>
    <t>policies.policy.security-policy.policy-rule.condition.ip-header.icmp.icmp-code</t>
  </si>
  <si>
    <t>aruba-policy:policies.policy.security-policy.policy-rule.condition.ip-header.icmp.icmp-code</t>
  </si>
  <si>
    <t>sw-port-profiles.profile.lag.qos-lag.broadcast-rate-limit.rate-type</t>
  </si>
  <si>
    <t>aruba-sw-port-profile:sw-port-profiles.profile.lag.qos-lag.broadcast-rate-limit.rate-type</t>
  </si>
  <si>
    <t>l3-route.profile.graceful-restart</t>
  </si>
  <si>
    <t>aruba-l3-route:l3-route.profile.graceful-restart</t>
  </si>
  <si>
    <t>aruba-container</t>
  </si>
  <si>
    <t>containers.instance.name</t>
  </si>
  <si>
    <t>aruba-container:containers.instance.name</t>
  </si>
  <si>
    <t>ipfix-flow-monitor.monitors.cache-timeout-inactive</t>
  </si>
  <si>
    <t>aruba-ipfix-flow-monitor:ipfix-flow-monitor.monitors.cache-timeout-inactive</t>
  </si>
  <si>
    <t>layer2-vlan.l2-vlan.nd-snooping.nd-guard</t>
  </si>
  <si>
    <t>aruba-vlan:layer2-vlan.l2-vlan.nd-snooping.nd-guard</t>
  </si>
  <si>
    <t>aaa-profile.profile.authentication.client-auto-logoff-enable</t>
  </si>
  <si>
    <t>aruba-aaa-profile:aaa-profile.profile.authentication.client-auto-logoff-enable</t>
  </si>
  <si>
    <t>authentication.client_auto_logoff_enable; profile.authentication.client_auto_logoff_enable</t>
  </si>
  <si>
    <t>bgp.profile.router.global-afi-safi.global-l2vpn-evpn.redistribute.route-map</t>
  </si>
  <si>
    <t>aruba-bgp:bgp.profile.router.global-afi-safi.global-l2vpn-evpn.redistribute.route-map</t>
  </si>
  <si>
    <t>profile.router.global_afi_safi.global_ipv4_unicast.redistribute.route_map; profile.router.global_afi_safi.global_ipv6_unicast.redistribute.route_map; router.global_afi_safi.global_ipv4_unicast.redistribute.route_map; router.global_afi_safi.global_ipv6_unicast.redistribute.route_map</t>
  </si>
  <si>
    <t>bgp.profile.router.neighbor.afi-safi.ipv4-unicast.orf.direction</t>
  </si>
  <si>
    <t>aruba-bgp:bgp.profile.router.neighbor.afi-safi.ipv4-unicast.orf.direction</t>
  </si>
  <si>
    <t>profile.router.neighbor.afi_safi.ipv4_unicast.add_paths.direction; profile.router.neighbor.afi_safi.ipv4_unicast.apply_route_map.direction; profile.router.neighbor.afi_safi.ipv6_unicast.add_paths.direction; profile.router.neighbor.afi_safi.ipv6_unicast.apply_route_map.direction; profile.router.neighbor.afi_safi.l2vpn_evpn.apply_route_map.direction; profile.router.peer_group.afi_safi.ipv4_unicast.add_paths.direction; profile.router.peer_group.afi_safi.ipv4_unicast.apply_route_map.direction; profile.router.peer_group.afi_safi.ipv6_unicast.add_paths.direction; profile.router.peer_group.afi_safi.ipv6_unicast.apply_route_map.direction; profile.router.peer_group.afi_safi.l2vpn_evpn.apply_route_map.direction; router.neighbor.afi_safi.ipv4_unicast.add_paths.direction; router.neighbor.afi_safi.ipv4_unicast.apply_route_map.direction; router.neighbor.afi_safi.ipv6_unicast.add_paths.direction; router.neighbor.afi_safi.ipv6_unicast.apply_route_map.direction; router.neighbor.afi_safi.l2vpn_evpn.apply_route_map.direction; router.peer_group.afi_safi.ipv4_unicast.add_paths.direction; router.peer_group.afi_safi.ipv4_unicast.apply_route_map.direction; router.peer_group.afi_safi.ipv6_unicast.add_paths.direction; router.peer_group.afi_safi.ipv6_unicast.apply_route_map.direction; router.peer_group.afi_safi.l2vpn_evpn.apply_route_map.direction</t>
  </si>
  <si>
    <t>bgp.profile.router.neighbor.afi-safi.ipv4-unicast.orf.prefix-list</t>
  </si>
  <si>
    <t>aruba-bgp:bgp.profile.router.neighbor.afi-safi.ipv4-unicast.orf.prefix-list</t>
  </si>
  <si>
    <t>bgp.profile.router.neighbor.afi-safi.ipv6-unicast.send-community.send-community-enable</t>
  </si>
  <si>
    <t>aruba-bgp:bgp.profile.router.neighbor.afi-safi.ipv6-unicast.send-community.send-community-enable</t>
  </si>
  <si>
    <t>profile.router.neighbor.afi_safi.ipv6_unicast.send_community.send_community_enable; router.neighbor.afi_safi.ipv6_unicast.send_community.send_community_enable</t>
  </si>
  <si>
    <t>bgp.profile.router.neighbor.afi-safi.ipv6-unicast.send-community.type</t>
  </si>
  <si>
    <t>aruba-bgp:bgp.profile.router.neighbor.afi-safi.ipv6-unicast.send-community.type</t>
  </si>
  <si>
    <t>profile.router.neighbor.afi_safi.ipv6_unicast.send_community.type; router.neighbor.afi_safi.ipv6_unicast.send_community.type</t>
  </si>
  <si>
    <t>bgp.profile.router.neighbor.afi-safi.l2vpn-evpn.apply-route-map.direction</t>
  </si>
  <si>
    <t>aruba-bgp:bgp.profile.router.neighbor.afi-safi.l2vpn-evpn.apply-route-map.direction</t>
  </si>
  <si>
    <t>profile.router.neighbor.afi_safi.l2vpn_evpn.apply_route_map.direction; router.neighbor.afi_safi.l2vpn_evpn.apply_route_map.direction</t>
  </si>
  <si>
    <t>bgp.profile.router.neighbor.afi-safi.l2vpn-evpn.apply-route-map.route-map</t>
  </si>
  <si>
    <t>aruba-bgp:bgp.profile.router.neighbor.afi-safi.l2vpn-evpn.apply-route-map.route-map</t>
  </si>
  <si>
    <t>profile.router.neighbor.afi_safi.l2vpn_evpn.apply_route_map.route_map; router.neighbor.afi_safi.l2vpn_evpn.apply_route_map.route_map</t>
  </si>
  <si>
    <t>bgp.profile.router.peer-group._DoNotDuplicate</t>
  </si>
  <si>
    <t>aruba-bgp:bgp.profile.router.peer-group._DoNotDuplicate</t>
  </si>
  <si>
    <t>bgp.profile.router.peer-group.ebgp-multihop-ttl</t>
  </si>
  <si>
    <t>aruba-bgp:bgp.profile.router.peer-group.ebgp-multihop-ttl</t>
  </si>
  <si>
    <t>profile.router.peer_group.ebgp_multihop_ttl; router.peer_group.ebgp_multihop_ttl</t>
  </si>
  <si>
    <t>bgp.profile.router.peer-group.neighbor-id</t>
  </si>
  <si>
    <t>aruba-bgp:bgp.profile.router.peer-group.neighbor-id</t>
  </si>
  <si>
    <t>bgp.profile.router.peer-group.peer-group</t>
  </si>
  <si>
    <t>aruba-bgp:bgp.profile.router.peer-group.peer-group</t>
  </si>
  <si>
    <t>profile.router.neighbor.peer_group; profile.router.peer_group; router.neighbor.peer_group; router.peer_group</t>
  </si>
  <si>
    <t>device-profile.profile.cdp-group-entries.software-version</t>
  </si>
  <si>
    <t>aruba-device-profile:device-profile.profile.cdp-group-entries.software-version</t>
  </si>
  <si>
    <t>cdp_group_entries.software_version; profile.cdp_group_entries.software_version</t>
  </si>
  <si>
    <t>dhcp-snooping.profile.ipv6.authorized-server.ip</t>
  </si>
  <si>
    <t>aruba-dhcp-snooping:dhcp-snooping.profile.ipv6.authorized-server.ip</t>
  </si>
  <si>
    <t>ipv6.authorized_server.ip; profile.ipv6.authorized_server.ip</t>
  </si>
  <si>
    <t>est-profiles.profile.arbitrary-label-enrollment</t>
  </si>
  <si>
    <t>aruba-est:est-profiles.profile.arbitrary-label-enrollment</t>
  </si>
  <si>
    <t>arbitrary_label_enrollment; profile.arbitrary_label_enrollment</t>
  </si>
  <si>
    <t>evpn.profile.evpn-global.tunnel-bridging-mode</t>
  </si>
  <si>
    <t>aruba-evpn:evpn.profile.evpn-global.tunnel-bridging-mode</t>
  </si>
  <si>
    <t>evpn_global.tunnel_bridging_mode; profile.evpn_global.tunnel_bridging_mode</t>
  </si>
  <si>
    <t>evpn.profile.evpn-global.vlan.route-distinguisher</t>
  </si>
  <si>
    <t>aruba-evpn:evpn.profile.evpn-global.vlan.route-distinguisher</t>
  </si>
  <si>
    <t>evpn_global.vlan.route_distinguisher; profile.evpn_global.vlan.route_distinguisher</t>
  </si>
  <si>
    <t>ethernet-interfaces.interface.aaa.authentication.client-auto-logoff-enable</t>
  </si>
  <si>
    <t>aruba-interface-ethernet:ethernet-interfaces.interface.aaa.authentication.client-auto-logoff-enable</t>
  </si>
  <si>
    <t>aaa.authentication.client_auto_logoff_enable; interface.aaa.authentication.client_auto_logoff_enable</t>
  </si>
  <si>
    <t>ethernet-interfaces.interface.igmp-snooping-eth.blocked-vlan</t>
  </si>
  <si>
    <t>aruba-interface-ethernet:ethernet-interfaces.interface.igmp-snooping-eth.blocked-vlan</t>
  </si>
  <si>
    <t>device-certificates.device-certificate.ecdsa-curve-size</t>
  </si>
  <si>
    <t>aruba-device-certificate:device-certificates.device-certificate.ecdsa-curve-size</t>
  </si>
  <si>
    <t>ethernet-interfaces.interface.pim-sparse.hello-interval</t>
  </si>
  <si>
    <t>aruba-interface-ethernet:ethernet-interfaces.interface.pim-sparse.hello-interval</t>
  </si>
  <si>
    <t>interface.pim_sparse.hello_interval; pim_sparse.hello_interval</t>
  </si>
  <si>
    <t>portchannels.interface.pim-sparse.enable</t>
  </si>
  <si>
    <t>aruba-interface-portchannel:portchannels.interface.pim-sparse.enable</t>
  </si>
  <si>
    <t>portchannels.interface.qos.unknown-unicast-rate-limit.percentage</t>
  </si>
  <si>
    <t>aruba-interface-portchannel:portchannels.interface.qos.unknown-unicast-rate-limit.percentage</t>
  </si>
  <si>
    <t>vlan-interfaces.interface.igmp.policy-in</t>
  </si>
  <si>
    <t>aruba-interface-vlan:vlan-interfaces.interface.igmp.policy-in</t>
  </si>
  <si>
    <t>igmp.policy_in; interface.igmp.policy_in</t>
  </si>
  <si>
    <t>ipsla.profile.source-sessions.source.interface-vlan</t>
  </si>
  <si>
    <t>aruba-ipsla:ipsla.profile.source-sessions.source.interface-vlan</t>
  </si>
  <si>
    <t>device-certificates.device-certificate.subject-alt-name-dns</t>
  </si>
  <si>
    <t>aruba-device-certificate:device-certificates.device-certificate.subject-alt-name-dns</t>
  </si>
  <si>
    <t>qos-schedules.profile.sched-entries.max-bandwidth-percent</t>
  </si>
  <si>
    <t>aruba-qos-schedule:qos-schedules.profile.sched-entries.max-bandwidth-percent</t>
  </si>
  <si>
    <t>aruba-advanced-intelligent-forwarding</t>
  </si>
  <si>
    <t>advanced-intelligent-forwarding.profile.fib-optimization-host-route-ipv4</t>
  </si>
  <si>
    <t>aruba-advanced-intelligent-forwarding:advanced-intelligent-forwarding.profile.fib-optimization-host-route-ipv4</t>
  </si>
  <si>
    <t>advanced-intelligent-forwarding.profile.name</t>
  </si>
  <si>
    <t>aruba-advanced-intelligent-forwarding:advanced-intelligent-forwarding.profile.name</t>
  </si>
  <si>
    <t>logging.profile.local-file.rotation.period</t>
  </si>
  <si>
    <t>aruba-logging:logging.profile.local-file.rotation.period</t>
  </si>
  <si>
    <t>flow-tracking.profile.interface-flow-limit</t>
  </si>
  <si>
    <t>aruba-flow-tracking:flow-tracking.profile.interface-flow-limit</t>
  </si>
  <si>
    <t>flow-tracking.profile.flow-statistics-enable</t>
  </si>
  <si>
    <t>aruba-flow-tracking:flow-tracking.profile.flow-statistics-enable</t>
  </si>
  <si>
    <t>layer2-vlan-range.nd-snooping.ra-drop</t>
  </si>
  <si>
    <t>aruba-vlan-range:layer2-vlan-range.nd-snooping.ra-drop</t>
  </si>
  <si>
    <t>layer2-vlan-range.nd-snooping.ra-guard-log</t>
  </si>
  <si>
    <t>aruba-vlan-range:layer2-vlan-range.nd-snooping.ra-guard-log</t>
  </si>
  <si>
    <t>msdp.profile.router.peer.mesh-group</t>
  </si>
  <si>
    <t>aruba-msdp:msdp.profile.router.peer.mesh-group</t>
  </si>
  <si>
    <t>profile.router.peer.mesh_group; router.peer.mesh_group</t>
  </si>
  <si>
    <t>multicast-dns.profile.service-discovery-rule-set.filter-rule.instance-name</t>
  </si>
  <si>
    <t>aruba-multicast-dns:multicast-dns.profile.service-discovery-rule-set.filter-rule.instance-name</t>
  </si>
  <si>
    <t>profile.service_discovery_rule_set.filter_rule.instance_name; service_discovery_rule_set.filter_rule.instance_name</t>
  </si>
  <si>
    <t>certificate-rcp.ta-profile.rcp-primary-method</t>
  </si>
  <si>
    <t>aruba-certificate-rcp:certificate-rcp.ta-profile.rcp-primary-method</t>
  </si>
  <si>
    <t>object-groups.group.items.ipv4-prefix</t>
  </si>
  <si>
    <t>aruba-object-group:object-groups.group.items.ipv4-prefix</t>
  </si>
  <si>
    <t>vsx-config.vsx.keepalive.hello-interval</t>
  </si>
  <si>
    <t>aruba-vsx-pair:vsx-config.vsx.keepalive.hello-interval</t>
  </si>
  <si>
    <t>ospfv2.profile.routers.areas.lag-interfaces.passive</t>
  </si>
  <si>
    <t>aruba-ospfv2:ospfv2.profile.routers.areas.lag-interfaces.passive</t>
  </si>
  <si>
    <t>profile.routers.areas.lag_interfaces.passive; routers.areas.lag_interfaces.passive</t>
  </si>
  <si>
    <t>ospfv2.profile.routers.areas.sub-interfaces.network</t>
  </si>
  <si>
    <t>aruba-ospfv2:ospfv2.profile.routers.areas.sub-interfaces.network</t>
  </si>
  <si>
    <t>profile.routers.areas.ether_interfaces.network; profile.routers.areas.lag_interfaces.network; profile.routers.areas.loopback_interfaces.network; profile.routers.areas.svi_interfaces.network; routers.areas.ether_interfaces.network; routers.areas.lag_interfaces.network; routers.areas.loopback_interfaces.network; routers.areas.svi_interfaces.network</t>
  </si>
  <si>
    <t>ospfv2.profile.routers.areas.svi-interfaces.authentication-key-id</t>
  </si>
  <si>
    <t>aruba-ospfv2:ospfv2.profile.routers.areas.svi-interfaces.authentication-key-id</t>
  </si>
  <si>
    <t>profile.routers.areas.svi_interfaces.authentication_key_id; routers.areas.svi_interfaces.authentication_key_id</t>
  </si>
  <si>
    <t>ospfv2.profile.routers.areas.svi-interfaces.sha-cipher-password</t>
  </si>
  <si>
    <t>aruba-ospfv2:ospfv2.profile.routers.areas.svi-interfaces.sha-cipher-password</t>
  </si>
  <si>
    <t>ospfv2.profile.routers.areas.svi-interfaces.sha-password-type</t>
  </si>
  <si>
    <t>aruba-ospfv2:ospfv2.profile.routers.areas.svi-interfaces.sha-password-type</t>
  </si>
  <si>
    <t>profile.routers.areas.svi_interfaces.sha_password_type; routers.areas.svi_interfaces.sha_password_type</t>
  </si>
  <si>
    <t>lldp.profile.tlv-dcbx-app.app-tlv.port-number</t>
  </si>
  <si>
    <t>aruba-lldp:lldp.profile.tlv-dcbx-app.app-tlv.port-number</t>
  </si>
  <si>
    <t>lldp.profile.tlv-dcbx-app.app-tlv.priority</t>
  </si>
  <si>
    <t>aruba-lldp:lldp.profile.tlv-dcbx-app.app-tlv.priority</t>
  </si>
  <si>
    <t>lldp.profile.tlv-dcbx-app.app-tlv.protocol</t>
  </si>
  <si>
    <t>aruba-lldp:lldp.profile.tlv-dcbx-app.app-tlv.protocol</t>
  </si>
  <si>
    <t>ospfv3.profile.routers.areas.svi-interfaces.svi-id</t>
  </si>
  <si>
    <t>aruba-ospfv3:ospfv3.profile.routers.areas.svi-interfaces.svi-id</t>
  </si>
  <si>
    <t>lldp.profile.tlv-dcbx-app.app-tlv.protocol-port-number</t>
  </si>
  <si>
    <t>aruba-lldp:lldp.profile.tlv-dcbx-app.app-tlv.protocol-port-number</t>
  </si>
  <si>
    <t>smartlink.profile.group.preemption-enable</t>
  </si>
  <si>
    <t>aruba-smartlink:smartlink.profile.group.preemption-enable</t>
  </si>
  <si>
    <t>smartlink.profile.group.protected-vlans</t>
  </si>
  <si>
    <t>aruba-smartlink:smartlink.profile.group.protected-vlans</t>
  </si>
  <si>
    <t>smartlink.profile.group.secondary-ethernet-port</t>
  </si>
  <si>
    <t>aruba-smartlink:smartlink.profile.group.secondary-ethernet-port</t>
  </si>
  <si>
    <t>config-checkpoint.profile.post-checkpoint</t>
  </si>
  <si>
    <t>aruba-config-checkpoint:config-checkpoint.profile.post-checkpoint</t>
  </si>
  <si>
    <t>policies.policy.security-policy.policy-rule.condition.ethernet-header.destination-mac-mask</t>
  </si>
  <si>
    <t>aruba-policy:policies.policy.security-policy.policy-rule.condition.ethernet-header.destination-mac-mask</t>
  </si>
  <si>
    <t>policies.policy.security-policy.policy-rule.condition.ethernet-header.source-mac-mask</t>
  </si>
  <si>
    <t>aruba-policy:policies.policy.security-policy.policy-rule.condition.ethernet-header.source-mac-mask</t>
  </si>
  <si>
    <t>policies.policy.security-policy.policy-rule.condition.ethernet-header.vlan</t>
  </si>
  <si>
    <t>aruba-policy:policies.policy.security-policy.policy-rule.condition.ethernet-header.vlan</t>
  </si>
  <si>
    <t>management-server.profile.block</t>
  </si>
  <si>
    <t>aruba-feature-pack:management-server.profile.block</t>
  </si>
  <si>
    <t>management-server.profile.vrf</t>
  </si>
  <si>
    <t>aruba-feature-pack:management-server.profile.vrf</t>
  </si>
  <si>
    <t>lldp.profile.dcbx-version</t>
  </si>
  <si>
    <t>aruba-lldp:lldp.profile.dcbx-version</t>
  </si>
  <si>
    <t>smartlink.profile.group.primary-ethernet-port</t>
  </si>
  <si>
    <t>aruba-smartlink:smartlink.profile.group.primary-ethernet-port</t>
  </si>
  <si>
    <t>sflow.profile.session.maximum-datagram-size</t>
  </si>
  <si>
    <t>aruba-sflow:sflow.profile.session.maximum-datagram-size</t>
  </si>
  <si>
    <t>dhcp-client.profile.ip.enable-broadcast-flag</t>
  </si>
  <si>
    <t>aruba-dhcp-client:dhcp-client.profile.ip.enable-broadcast-flag</t>
  </si>
  <si>
    <t>ipsla.profile.source-sessions.payload-size</t>
  </si>
  <si>
    <t>aruba-ipsla:ipsla.profile.source-sessions.payload-size</t>
  </si>
  <si>
    <t>keychains.keychain.keys.accept-end</t>
  </si>
  <si>
    <t>aruba-keychain:keychains.keychain.keys.accept-end</t>
  </si>
  <si>
    <t>keychains.keychain.keys.send-end</t>
  </si>
  <si>
    <t>aruba-keychain:keychains.keychain.keys.send-end</t>
  </si>
  <si>
    <t>route-maps.route-map.route-map-entry.match-ipv4-route-source-prefix-list</t>
  </si>
  <si>
    <t>aruba-routemap:route-maps.route-map.route-map-entry.match-ipv4-route-source-prefix-list</t>
  </si>
  <si>
    <t>route_map.route_map_entry.match_ipv4_route_source_prefix_list; route_map_entry.match_ipv4_route_source_prefix_list</t>
  </si>
  <si>
    <t>static-route.profile.ipv4.bfd</t>
  </si>
  <si>
    <t>aruba-static-route:static-route.profile.ipv4.bfd</t>
  </si>
  <si>
    <t>static-route.profile.ipv6.nullroute</t>
  </si>
  <si>
    <t>aruba-static-route:static-route.profile.ipv6.nullroute</t>
  </si>
  <si>
    <t>ipv6.nullroute; profile.ipv6.nullroute</t>
  </si>
  <si>
    <t>stp.profile.hello-time</t>
  </si>
  <si>
    <t>aruba-stp:stp.profile.hello-time</t>
  </si>
  <si>
    <t>hello_time; include_rpvst_auto_vlan.hello_time; profile.hello_time; profile.include_rpvst_auto_vlan.hello_time; profile.rpvst.hello_time; rpvst.hello_time</t>
  </si>
  <si>
    <t>sw-port-profiles.profile.qos.broadcast-rate-limit.packet-rate</t>
  </si>
  <si>
    <t>aruba-sw-port-profile:sw-port-profiles.profile.qos.broadcast-rate-limit.packet-rate</t>
  </si>
  <si>
    <t>profile.qos.broadcast_rate_limit.packet_rate; qos.broadcast_rate_limit.packet_rate</t>
  </si>
  <si>
    <t>switch-system.profile.macsec.selftest-enable</t>
  </si>
  <si>
    <t>aruba-switch-system:switch-system.profile.macsec.selftest-enable</t>
  </si>
  <si>
    <t>layer2-vlan.l2-vlan.nd-snooping.ra-guard-log</t>
  </si>
  <si>
    <t>aruba-vlan:layer2-vlan.l2-vlan.nd-snooping.ra-guard-log</t>
  </si>
  <si>
    <t>vsx-profiles.vsx.sync-features.keepalive.hello-interval</t>
  </si>
  <si>
    <t>aruba-vsx:vsx-profiles.vsx.sync-features.keepalive.hello-interval</t>
  </si>
  <si>
    <t>sync_features.keepalive.hello_interval; vsx.sync_features.keepalive.hello_interval</t>
  </si>
  <si>
    <t>auth-server-global-config.profile.enable-radsec</t>
  </si>
  <si>
    <t>aruba-auth-server-global:auth-server-global-config.profile.enable-radsec</t>
  </si>
  <si>
    <t>enable_radsec; profile.enable_radsec</t>
  </si>
  <si>
    <t>bgp.profile.router.default-bgp-attributes.local-preference</t>
  </si>
  <si>
    <t>aruba-bgp:bgp.profile.router.default-bgp-attributes.local-preference</t>
  </si>
  <si>
    <t>bgp.profile.router.neighbor.afi-safi.l2vpn-evpn.next-hop-self</t>
  </si>
  <si>
    <t>aruba-bgp:bgp.profile.router.neighbor.afi-safi.l2vpn-evpn.next-hop-self</t>
  </si>
  <si>
    <t>profile.router.neighbor.afi_safi.l2vpn_evpn.next_hop_self; router.neighbor.afi_safi.l2vpn_evpn.next_hop_self</t>
  </si>
  <si>
    <t>bgp.profile.router.neighbor.ttl-security-hops</t>
  </si>
  <si>
    <t>aruba-bgp:bgp.profile.router.neighbor.ttl-security-hops</t>
  </si>
  <si>
    <t>bgp.profile.router.peer-group.afi-safi.ipv4-unicast.route-reflector-client</t>
  </si>
  <si>
    <t>aruba-bgp:bgp.profile.router.peer-group.afi-safi.ipv4-unicast.route-reflector-client</t>
  </si>
  <si>
    <t>profile.router.peer_group.afi_safi.ipv4_unicast.route_reflector_client; router.peer_group.afi_safi.ipv4_unicast.route_reflector_client</t>
  </si>
  <si>
    <t>bgp.profile.router.peer-group.afi-safi.l2vpn-evpn.next-hop-unchanged</t>
  </si>
  <si>
    <t>aruba-bgp:bgp.profile.router.peer-group.afi-safi.l2vpn-evpn.next-hop-unchanged</t>
  </si>
  <si>
    <t>profile.router.peer_group.afi_safi.l2vpn_evpn.next_hop_unchanged; router.peer_group.afi_safi.l2vpn_evpn.next_hop_unchanged</t>
  </si>
  <si>
    <t>bgp.profile.router.peer-group.local-as</t>
  </si>
  <si>
    <t>aruba-bgp:bgp.profile.router.peer-group.local-as</t>
  </si>
  <si>
    <t>bgp.profile.router.timers.connect-retry</t>
  </si>
  <si>
    <t>aruba-bgp:bgp.profile.router.timers.connect-retry</t>
  </si>
  <si>
    <t>profile.router.timers.connect_retry; router.timers.connect_retry</t>
  </si>
  <si>
    <t>dhcp-pool.profile.ipv4-pool.netbios-node</t>
  </si>
  <si>
    <t>aruba-dhcp-pool:dhcp-pool.profile.ipv4-pool.netbios-node</t>
  </si>
  <si>
    <t>dhcp-relay.profile.ipv4.reply-overwrite-source-ip</t>
  </si>
  <si>
    <t>aruba-dhcp-relay:dhcp-relay.profile.ipv4.reply-overwrite-source-ip</t>
  </si>
  <si>
    <t>ipv4.reply_overwrite_source_ip; profile.ipv4.reply_overwrite_source_ip</t>
  </si>
  <si>
    <t>dhcp-snooping-interface.profile.dhcpv4-snooping.max-bindings</t>
  </si>
  <si>
    <t>aruba-dhcp-snooping-interface:dhcp-snooping-interface.profile.dhcpv4-snooping.max-bindings</t>
  </si>
  <si>
    <t>est-profiles.profile.arbitrary-label-reenrollment</t>
  </si>
  <si>
    <t>aruba-est:est-profiles.profile.arbitrary-label-reenrollment</t>
  </si>
  <si>
    <t>arbitrary_label_reenrollment; profile.arbitrary_label_reenrollment</t>
  </si>
  <si>
    <t>ethernet-interfaces.interface.aaa.authentication.dot1x-auth.canned-eap-success-enable</t>
  </si>
  <si>
    <t>aruba-interface-ethernet:ethernet-interfaces.interface.aaa.authentication.dot1x-auth.canned-eap-success-enable</t>
  </si>
  <si>
    <t>ethernet-interfaces.interface.arp.timeout</t>
  </si>
  <si>
    <t>aruba-interface-ethernet:ethernet-interfaces.interface.arp.timeout</t>
  </si>
  <si>
    <t>ethernet-interfaces.interface.igmp.last-member-query-interval</t>
  </si>
  <si>
    <t>aruba-interface-ethernet:ethernet-interfaces.interface.igmp.last-member-query-interval</t>
  </si>
  <si>
    <t>ethernet-interfaces.interface.igmp.robustness</t>
  </si>
  <si>
    <t>aruba-interface-ethernet:ethernet-interfaces.interface.igmp.robustness</t>
  </si>
  <si>
    <t>ethernet-interfaces.interface.ip-directed-broadcast-enable</t>
  </si>
  <si>
    <t>aruba-interface-ethernet:ethernet-interfaces.interface.ip-directed-broadcast-enable</t>
  </si>
  <si>
    <t>ethernet-interfaces.interface.lldp.tlv.dot3tlv.mac-phy</t>
  </si>
  <si>
    <t>aruba-interface-ethernet:ethernet-interfaces.interface.lldp.tlv.dot3tlv.mac-phy</t>
  </si>
  <si>
    <t>ethernet-interfaces.interface.pim-sparse.hello-delay</t>
  </si>
  <si>
    <t>aruba-interface-ethernet:ethernet-interfaces.interface.pim-sparse.hello-delay</t>
  </si>
  <si>
    <t>ethernet-interfaces.interface.stp.mstp.cost</t>
  </si>
  <si>
    <t>aruba-interface-ethernet:ethernet-interfaces.interface.stp.mstp.cost</t>
  </si>
  <si>
    <t>lldp.profile.tlv.basic.system-cap</t>
  </si>
  <si>
    <t>aruba-lldp:lldp.profile.tlv.basic.system-cap</t>
  </si>
  <si>
    <t>portchannels.interface.ipv6.addresses.address</t>
  </si>
  <si>
    <t>aruba-interface-portchannel:portchannels.interface.ipv6.addresses.address</t>
  </si>
  <si>
    <t>portchannels.interface.ipv6.enable-default-link-local</t>
  </si>
  <si>
    <t>aruba-interface-portchannel:portchannels.interface.ipv6.enable-default-link-local</t>
  </si>
  <si>
    <t>portchannels.interface.vlan-translate.origin</t>
  </si>
  <si>
    <t>aruba-interface-portchannel:portchannels.interface.vlan-translate.origin</t>
  </si>
  <si>
    <t>portchannels.interface.vlan-translate.translated</t>
  </si>
  <si>
    <t>aruba-interface-portchannel:portchannels.interface.vlan-translate.translated</t>
  </si>
  <si>
    <t>vlan-interfaces.interface.ipv6-neighbor-discovery.router-advertisement.dns-search.dns-search-list</t>
  </si>
  <si>
    <t>aruba-interface-vlan:vlan-interfaces.interface.ipv6-neighbor-discovery.router-advertisement.dns-search.dns-search-list</t>
  </si>
  <si>
    <t>vlan-interfaces.interface.ipv6-neighbor-discovery.router-advertisement.preference</t>
  </si>
  <si>
    <t>aruba-interface-vlan:vlan-interfaces.interface.ipv6-neighbor-discovery.router-advertisement.preference</t>
  </si>
  <si>
    <t>vlan-interfaces.interface.ipv6-relay.ucast-server</t>
  </si>
  <si>
    <t>aruba-interface-vlan:vlan-interfaces.interface.ipv6-relay.ucast-server</t>
  </si>
  <si>
    <t>interface.ipv6_relay.ucast_server; ipv6_relay.ucast_server</t>
  </si>
  <si>
    <t>vlan-interfaces.interface.pim-sparse.bfd-enable</t>
  </si>
  <si>
    <t>aruba-interface-vlan:vlan-interfaces.interface.pim-sparse.bfd-enable</t>
  </si>
  <si>
    <t>ufd.profile.sessions.delay-down</t>
  </si>
  <si>
    <t>aruba-ufd:ufd.profile.sessions.delay-down</t>
  </si>
  <si>
    <t>ipfix-flow-record.records.collect.application-tcp-establishment-time</t>
  </si>
  <si>
    <t>aruba-ipfix-flow-record:ipfix-flow-record.records.collect.application-tcp-establishment-time</t>
  </si>
  <si>
    <t>ethernet-interfaces.interface.aaa.authentication.dot1x-supp.enable</t>
  </si>
  <si>
    <t>aruba-interface-ethernet:ethernet-interfaces.interface.aaa.authentication.dot1x-supp.enable</t>
  </si>
  <si>
    <t>nd-snooping.profile.ra-guard-policy.ra-guard-name</t>
  </si>
  <si>
    <t>aruba-nd-snooping:nd-snooping.profile.ra-guard-policy.ra-guard-name</t>
  </si>
  <si>
    <t>erps.profile.ring.description</t>
  </si>
  <si>
    <t>aruba-erps:erps.profile.ring.description</t>
  </si>
  <si>
    <t>aruba-rmon-alarm</t>
  </si>
  <si>
    <t>rmon-alarms.profile.name</t>
  </si>
  <si>
    <t>aruba-rmon-alarm:rmon-alarms.profile.name</t>
  </si>
  <si>
    <t>rmon-alarms.profile.rmon.falling-threshold</t>
  </si>
  <si>
    <t>aruba-rmon-alarm:rmon-alarms.profile.rmon.falling-threshold</t>
  </si>
  <si>
    <t>rmon-alarms.profile.rmon.index</t>
  </si>
  <si>
    <t>aruba-rmon-alarm:rmon-alarms.profile.rmon.index</t>
  </si>
  <si>
    <t>rmon-alarms.profile.rmon.rising-threshold</t>
  </si>
  <si>
    <t>aruba-rmon-alarm:rmon-alarms.profile.rmon.rising-threshold</t>
  </si>
  <si>
    <t>rmon-alarms.profile.rmon.snmp-oid</t>
  </si>
  <si>
    <t>aruba-rmon-alarm:rmon-alarms.profile.rmon.snmp-oid</t>
  </si>
  <si>
    <t>erps.profile.ring.instance.instance-description</t>
  </si>
  <si>
    <t>aruba-erps:erps.profile.ring.instance.instance-description</t>
  </si>
  <si>
    <t>mgmd-global.profile.delayed-refresh_enable</t>
  </si>
  <si>
    <t>aruba-mgmd:mgmd-global.profile.delayed-refresh_enable</t>
  </si>
  <si>
    <t>mgmd-global.profile.delayed-refresh-interval</t>
  </si>
  <si>
    <t>aruba-mgmd:mgmd-global.profile.delayed-refresh-interval</t>
  </si>
  <si>
    <t>msdp.profile.router.peer.tcp-connection-source-interface-type</t>
  </si>
  <si>
    <t>aruba-msdp:msdp.profile.router.peer.tcp-connection-source-interface-type</t>
  </si>
  <si>
    <t>profile.router.peer.tcp_connection_source_interface_type; router.peer.tcp_connection_source_interface_type</t>
  </si>
  <si>
    <t>erps.profile.ring.port1-portchannel</t>
  </si>
  <si>
    <t>aruba-erps:erps.profile.ring.port1-portchannel</t>
  </si>
  <si>
    <t>vxlan-tunnel.profile.enable-counters</t>
  </si>
  <si>
    <t>aruba-interface-vxlan-tunnel:vxlan-tunnel.profile.enable-counters</t>
  </si>
  <si>
    <t>enable_counters; profile.enable_counters</t>
  </si>
  <si>
    <t>nae-lite.profile.conditions.status</t>
  </si>
  <si>
    <t>aruba-nae-lite:nae-lite.profile.conditions.status</t>
  </si>
  <si>
    <t>nae-lite.profile.conditions.syslog</t>
  </si>
  <si>
    <t>aruba-nae-lite:nae-lite.profile.conditions.syslog</t>
  </si>
  <si>
    <t>device-firmware.issu.software-update-rollback-timer</t>
  </si>
  <si>
    <t>aruba-firmware-management:device-firmware.issu.software-update-rollback-timer</t>
  </si>
  <si>
    <t>layer2-vlan-range.dhcpv4-snooping.ip-binding-enable</t>
  </si>
  <si>
    <t>aruba-vlan-range:layer2-vlan-range.dhcpv4-snooping.ip-binding-enable</t>
  </si>
  <si>
    <t>ospfv2.profile.routers.default-metric</t>
  </si>
  <si>
    <t>aruba-ospfv2:ospfv2.profile.routers.default-metric</t>
  </si>
  <si>
    <t>profile.routers.default_metric; routers.default_metric</t>
  </si>
  <si>
    <t>smartlink.profile.group.preemption-delay</t>
  </si>
  <si>
    <t>aruba-smartlink:smartlink.profile.group.preemption-delay</t>
  </si>
  <si>
    <t>pim-router.profile.router.join-prune-interval</t>
  </si>
  <si>
    <t>aruba-pim:pim-router.profile.router.join-prune-interval</t>
  </si>
  <si>
    <t>router.join_prune_interval</t>
  </si>
  <si>
    <t>pim-router.profile.router.static-rp-policy.rp-address</t>
  </si>
  <si>
    <t>aruba-pim:pim-router.profile.router.static-rp-policy.rp-address</t>
  </si>
  <si>
    <t>router.static_rp_policy.rp_address</t>
  </si>
  <si>
    <t>pim-router.profile.router.static-rp-policy.static-rp-group-policy</t>
  </si>
  <si>
    <t>aruba-pim:pim-router.profile.router.static-rp-policy.static-rp-group-policy</t>
  </si>
  <si>
    <t>router.static_rp_policy.static_rp_group_policy</t>
  </si>
  <si>
    <t>layer2-vlan-range.nd-snooping.allow-bindings-on-trusted-ports</t>
  </si>
  <si>
    <t>aruba-vlan-range:layer2-vlan-range.nd-snooping.allow-bindings-on-trusted-ports</t>
  </si>
  <si>
    <t>layer2-vlan.l2-vlan.nd-snooping.allow-bindings-on-trusted-ports</t>
  </si>
  <si>
    <t>aruba-vlan:layer2-vlan.l2-vlan.nd-snooping.allow-bindings-on-trusted-ports</t>
  </si>
  <si>
    <t>qos-cos.profile.cos-map.name</t>
  </si>
  <si>
    <t>aruba-qos-cos:qos-cos.profile.cos-map.name</t>
  </si>
  <si>
    <t>dhcp-snooping.profile.ipv4.flash-storage.delay</t>
  </si>
  <si>
    <t>aruba-dhcp-snooping:dhcp-snooping.profile.ipv4.flash-storage.delay</t>
  </si>
  <si>
    <t>vsx-config.vsx.keepalive.udp-port</t>
  </si>
  <si>
    <t>aruba-vsx-pair:vsx-config.vsx.keepalive.udp-port</t>
  </si>
  <si>
    <t>sw-port-profiles.profile.lag.qos-lag.multicast-rate-limit.rate-type</t>
  </si>
  <si>
    <t>aruba-sw-port-profile:sw-port-profiles.profile.lag.qos-lag.multicast-rate-limit.rate-type</t>
  </si>
  <si>
    <t>nae-lite.profile.conditions.include</t>
  </si>
  <si>
    <t>aruba-nae-lite:nae-lite.profile.conditions.include</t>
  </si>
  <si>
    <t>nae-lite.profile.conditions.include-regex</t>
  </si>
  <si>
    <t>aruba-nae-lite:nae-lite.profile.conditions.include-regex</t>
  </si>
  <si>
    <t>switch-chassis.chassis.line-modules.power-admin-state</t>
  </si>
  <si>
    <t>aruba-switch-chassis:switch-chassis.chassis.line-modules.power-admin-state</t>
  </si>
  <si>
    <t>mirror-endpoint.profile.endpoints.comment</t>
  </si>
  <si>
    <t>aruba-mirror-endpoint:mirror-endpoint.profile.endpoints.comment</t>
  </si>
  <si>
    <t>mirror-endpoint.profile.endpoints.source.encap</t>
  </si>
  <si>
    <t>aruba-mirror-endpoint:mirror-endpoint.profile.endpoints.source.encap</t>
  </si>
  <si>
    <t>mirrors.profile.session.session-destination.dscp</t>
  </si>
  <si>
    <t>aruba-mirror:mirrors.profile.session.session-destination.dscp</t>
  </si>
  <si>
    <t>aruba-sysmon</t>
  </si>
  <si>
    <t>sysmon.profile.name</t>
  </si>
  <si>
    <t>aruba-sysmon:sysmon.profile.name</t>
  </si>
  <si>
    <t>sysmon.profile.poll-interval</t>
  </si>
  <si>
    <t>aruba-sysmon:sysmon.profile.poll-interval</t>
  </si>
  <si>
    <t>sysmon.profile.polling</t>
  </si>
  <si>
    <t>aruba-sysmon:sysmon.profile.polling</t>
  </si>
  <si>
    <t>route-maps.route-map.route-map-entry.continue</t>
  </si>
  <si>
    <t>aruba-routemap:route-maps.route-map.route-map-entry.continue</t>
  </si>
  <si>
    <t>sflow.profile.session.maximum-header-size</t>
  </si>
  <si>
    <t>aruba-sflow:sflow.profile.session.maximum-header-size</t>
  </si>
  <si>
    <t>snmp.profile.community.view-name</t>
  </si>
  <si>
    <t>aruba-snmp:snmp.profile.community.view-name</t>
  </si>
  <si>
    <t>static-route.profile.ipv4.interface.ethernet</t>
  </si>
  <si>
    <t>aruba-static-route:static-route.profile.ipv4.interface.ethernet</t>
  </si>
  <si>
    <t>ipv4.interface.ethernet; profile.ipv4.interface.ethernet</t>
  </si>
  <si>
    <t>static-route.profile.ipv4.interface.tunnel-id</t>
  </si>
  <si>
    <t>aruba-static-route:static-route.profile.ipv4.interface.tunnel-id</t>
  </si>
  <si>
    <t>sw-port-profiles.profile.ip.l3-counters</t>
  </si>
  <si>
    <t>aruba-sw-port-profile:sw-port-profiles.profile.ip.l3-counters</t>
  </si>
  <si>
    <t>sw-port-profiles.profile.qos.schedule-profile</t>
  </si>
  <si>
    <t>aruba-sw-port-profile:sw-port-profiles.profile.qos.schedule-profile</t>
  </si>
  <si>
    <t>layer2-vlan.l2-vlan.dhcpv4-snooping.ip-binding-enable</t>
  </si>
  <si>
    <t>aruba-vlan:layer2-vlan.l2-vlan.dhcpv4-snooping.ip-binding-enable</t>
  </si>
  <si>
    <t>layer2-vlan.l2-vlan.nd-snooping.ra-drop</t>
  </si>
  <si>
    <t>aruba-vlan:layer2-vlan.l2-vlan.nd-snooping.ra-drop</t>
  </si>
  <si>
    <t>layer2-vlan.l2-vlan.qinq-svlan</t>
  </si>
  <si>
    <t>aruba-vlan:layer2-vlan.l2-vlan.qinq-svlan</t>
  </si>
  <si>
    <t>vrrp.profile.virtual-router.preempt</t>
  </si>
  <si>
    <t>aruba-vrrp-interface:vrrp.profile.virtual-router.preempt</t>
  </si>
  <si>
    <t>profile.virtual_router.preempt; virtual_router.preempt</t>
  </si>
  <si>
    <t>vrrp.profile.virtual-router.version</t>
  </si>
  <si>
    <t>aruba-vrrp-interface:vrrp.profile.virtual-router.version</t>
  </si>
  <si>
    <t>profile.virtual_router.version; virtual_router.version</t>
  </si>
  <si>
    <t>vsx-profiles.vsx.sync-features.keepalive.udp-port</t>
  </si>
  <si>
    <t>aruba-vsx:vsx-profiles.vsx.sync-features.keepalive.udp-port</t>
  </si>
  <si>
    <t>sync_features.keepalive.udp_port; vsx.sync_features.keepalive.udp_port</t>
  </si>
  <si>
    <t>arc.profile.arc-oper-mode</t>
  </si>
  <si>
    <t>aruba-app-recog-control:arc.profile.arc-oper-mode</t>
  </si>
  <si>
    <t>arc_oper_mode; profile.arc_oper_mode</t>
  </si>
  <si>
    <t>aspath-lists.as-path-list.description</t>
  </si>
  <si>
    <t>aruba-aspath-list:aspath-lists.as-path-list.description</t>
  </si>
  <si>
    <t>as_path_list.description; description</t>
  </si>
  <si>
    <t>server-groups.server-group.attribute-profile.framed-ip-address.service-type</t>
  </si>
  <si>
    <t>aruba-auth-server-group:server-groups.server-group.attribute-profile.framed-ip-address.service-type</t>
  </si>
  <si>
    <t>attribute_profile.framed_ip_address.service_type; server_group.attribute_profile.framed_ip_address.service_type</t>
  </si>
  <si>
    <t>bgp.profile.router.graceful-restart.stale-routes-time</t>
  </si>
  <si>
    <t>aruba-bgp:bgp.profile.router.graceful-restart.stale-routes-time</t>
  </si>
  <si>
    <t>bgp.profile.router.neighbor.afi-safi.ipv6-unicast.next-hop-self</t>
  </si>
  <si>
    <t>aruba-bgp:bgp.profile.router.neighbor.afi-safi.ipv6-unicast.next-hop-self</t>
  </si>
  <si>
    <t>profile.router.neighbor.afi_safi.ipv6_unicast.next_hop_self; router.neighbor.afi_safi.ipv6_unicast.next_hop_self</t>
  </si>
  <si>
    <t>bgp.profile.router.peer-group</t>
  </si>
  <si>
    <t>aruba-bgp:bgp.profile.router.peer-group</t>
  </si>
  <si>
    <t>profile.router.peer_group; router.peer_group</t>
  </si>
  <si>
    <t>bgp.profile.router.peer-group.afi-safi.ipv4-unicast.allow-own-as</t>
  </si>
  <si>
    <t>aruba-bgp:bgp.profile.router.peer-group.afi-safi.ipv4-unicast.allow-own-as</t>
  </si>
  <si>
    <t>profile.router.peer_group.afi_safi.ipv4_unicast.allow_own_as; router.peer_group.afi_safi.ipv4_unicast.allow_own_as</t>
  </si>
  <si>
    <t>bgp.profile.router.peer-group.afi-safi.l2vpn-evpn.apply-route-map.direction</t>
  </si>
  <si>
    <t>aruba-bgp:bgp.profile.router.peer-group.afi-safi.l2vpn-evpn.apply-route-map.direction</t>
  </si>
  <si>
    <t>profile.router.peer_group.afi_safi.l2vpn_evpn.apply_route_map.direction; router.peer_group.afi_safi.l2vpn_evpn.apply_route_map.direction</t>
  </si>
  <si>
    <t>bgp.profile.router.peer-group.afi-safi.l2vpn-evpn.apply-route-map.route-map</t>
  </si>
  <si>
    <t>aruba-bgp:bgp.profile.router.peer-group.afi-safi.l2vpn-evpn.apply-route-map.route-map</t>
  </si>
  <si>
    <t>profile.router.peer_group.afi_safi.l2vpn_evpn.apply_route_map.route_map; router.peer_group.afi_safi.l2vpn_evpn.apply_route_map.route_map</t>
  </si>
  <si>
    <t>bgp.profile.router.peer-group.listen-parameters.as-range</t>
  </si>
  <si>
    <t>aruba-bgp:bgp.profile.router.peer-group.listen-parameters.as-range</t>
  </si>
  <si>
    <t>profile.router.peer_group.listen_parameters.as_range; router.peer_group.listen_parameters.as_range</t>
  </si>
  <si>
    <t>bgp.profile.router.peer-group.listen-parameters.ip-range</t>
  </si>
  <si>
    <t>aruba-bgp:bgp.profile.router.peer-group.listen-parameters.ip-range</t>
  </si>
  <si>
    <t>profile.router.peer_group.listen_parameters.ip_range; router.peer_group.listen_parameters.ip_range</t>
  </si>
  <si>
    <t>bgp.profile.router.peer-group.transport.local-ip-address</t>
  </si>
  <si>
    <t>aruba-bgp:bgp.profile.router.peer-group.transport.local-ip-address</t>
  </si>
  <si>
    <t>profile.router.peer_group.transport.local_ip_address; router.peer_group.transport.local_ip_address</t>
  </si>
  <si>
    <t>dhcp-pool.profile.ipv4-pool.next-server</t>
  </si>
  <si>
    <t>aruba-dhcp-pool:dhcp-pool.profile.ipv4-pool.next-server</t>
  </si>
  <si>
    <t>ipv4_pool.next_server; profile.ipv4_pool.next_server</t>
  </si>
  <si>
    <t>dhcp-pool.profile.ipv6-pool.dns-server</t>
  </si>
  <si>
    <t>aruba-dhcp-pool:dhcp-pool.profile.ipv6-pool.dns-server</t>
  </si>
  <si>
    <t>ipv6_pool.dns_server; profile.ipv6_pool.dns_server</t>
  </si>
  <si>
    <t>dhcp-pool.profile.ipv6-pool.lease-time</t>
  </si>
  <si>
    <t>aruba-dhcp-pool:dhcp-pool.profile.ipv6-pool.lease-time</t>
  </si>
  <si>
    <t>dhcp-pool.profile.ipv6-pool.prefix-len</t>
  </si>
  <si>
    <t>aruba-dhcp-pool:dhcp-pool.profile.ipv6-pool.prefix-len</t>
  </si>
  <si>
    <t>ipv6_pool.prefix_len; profile.ipv6_pool.prefix_len</t>
  </si>
  <si>
    <t>dhcp-pool.profile.ipv6-pool.range6.end-ipv6</t>
  </si>
  <si>
    <t>aruba-dhcp-pool:dhcp-pool.profile.ipv6-pool.range6.end-ipv6</t>
  </si>
  <si>
    <t>dhcp-pool.profile.ipv6-pool.range6.start-ipv6</t>
  </si>
  <si>
    <t>aruba-dhcp-pool:dhcp-pool.profile.ipv6-pool.range6.start-ipv6</t>
  </si>
  <si>
    <t>dhcp-pool.profile.ipv6-pool.range6.start-ipv6-end-ipv6</t>
  </si>
  <si>
    <t>aruba-dhcp-pool:dhcp-pool.profile.ipv6-pool.range6.start-ipv6-end-ipv6</t>
  </si>
  <si>
    <t>ipv6_pool.range6.start_ipv6_end_ipv6; profile.ipv6_pool.range6.start_ipv6_end_ipv6</t>
  </si>
  <si>
    <t>dhcp-pool.profile.ipv6-pool.v6pool-name</t>
  </si>
  <si>
    <t>aruba-dhcp-pool:dhcp-pool.profile.ipv6-pool.v6pool-name</t>
  </si>
  <si>
    <t>dhcp-server.profile.external-storage.delay</t>
  </si>
  <si>
    <t>aruba-dhcp-server:dhcp-server.profile.external-storage.delay</t>
  </si>
  <si>
    <t>dhcp-server.profile.external-storage.es-name</t>
  </si>
  <si>
    <t>aruba-dhcp-server:dhcp-server.profile.external-storage.es-name</t>
  </si>
  <si>
    <t>dhcp-server.profile.external-storage.filename</t>
  </si>
  <si>
    <t>aruba-dhcp-server:dhcp-server.profile.external-storage.filename</t>
  </si>
  <si>
    <t>dhcp-server.profile.external-storage.ip-version</t>
  </si>
  <si>
    <t>aruba-dhcp-server:dhcp-server.profile.external-storage.ip-version</t>
  </si>
  <si>
    <t>dhcp-server.profile.external-storage.ip-version-es-name</t>
  </si>
  <si>
    <t>aruba-dhcp-server:dhcp-server.profile.external-storage.ip-version-es-name</t>
  </si>
  <si>
    <t>dhcp-snooping-interface.profile.dhcpv6-snooping.trust</t>
  </si>
  <si>
    <t>aruba-dhcp-snooping-interface:dhcp-snooping-interface.profile.dhcpv6-snooping.trust</t>
  </si>
  <si>
    <t>est-profiles.profile.reenrollment-prior-expiry</t>
  </si>
  <si>
    <t>aruba-est:est-profiles.profile.reenrollment-prior-expiry</t>
  </si>
  <si>
    <t>profile.reenrollment_prior_expiry; reenrollment_prior_expiry</t>
  </si>
  <si>
    <t>est-profiles.profile.retry-count</t>
  </si>
  <si>
    <t>aruba-est:est-profiles.profile.retry-count</t>
  </si>
  <si>
    <t>profile.retry_count; retry_count</t>
  </si>
  <si>
    <t>est-profiles.profile.server-port</t>
  </si>
  <si>
    <t>aruba-est:est-profiles.profile.server-port</t>
  </si>
  <si>
    <t>profile.server_port; server_port</t>
  </si>
  <si>
    <t>fault-monitor.profile.excessive-fc-triggers.enable</t>
  </si>
  <si>
    <t>aruba-fault-monitor:fault-monitor.profile.excessive-fc-triggers.enable</t>
  </si>
  <si>
    <t>excessive_fc_triggers.enable; profile.excessive_fc_triggers.enable</t>
  </si>
  <si>
    <t>ethernet-interfaces.interface.aaa.authentication.bpdu-auth.cdp</t>
  </si>
  <si>
    <t>aruba-interface-ethernet:ethernet-interfaces.interface.aaa.authentication.bpdu-auth.cdp</t>
  </si>
  <si>
    <t>aaa.authentication.bpdu_auth.cdp; interface.aaa.authentication.bpdu_auth.cdp</t>
  </si>
  <si>
    <t>ethernet-interfaces.interface.igmp.policy-in</t>
  </si>
  <si>
    <t>aruba-interface-ethernet:ethernet-interfaces.interface.igmp.policy-in</t>
  </si>
  <si>
    <t>ethernet-interfaces.interface.loop-protect.re-enable-timer</t>
  </si>
  <si>
    <t>aruba-interface-ethernet:ethernet-interfaces.interface.loop-protect.re-enable-timer</t>
  </si>
  <si>
    <t>lldp.profile.tlv.oui</t>
  </si>
  <si>
    <t>aruba-lldp:lldp.profile.tlv.oui</t>
  </si>
  <si>
    <t>ethernet-interfaces.interface.qos.threshold-profile</t>
  </si>
  <si>
    <t>aruba-interface-ethernet:ethernet-interfaces.interface.qos.threshold-profile</t>
  </si>
  <si>
    <t>lldp.profile.tlv.dot1.link-aggregation</t>
  </si>
  <si>
    <t>aruba-lldp:lldp.profile.tlv.dot1.link-aggregation</t>
  </si>
  <si>
    <t>mgmt-interfaces.profile.lldp-trap</t>
  </si>
  <si>
    <t>aruba-interface-management:mgmt-interfaces.profile.lldp-trap</t>
  </si>
  <si>
    <t>lldp_trap; profile.lldp_trap</t>
  </si>
  <si>
    <t>portchannels.interface.aaa-lag.authentication-lag.auth-mode</t>
  </si>
  <si>
    <t>aruba-interface-portchannel:portchannels.interface.aaa-lag.authentication-lag.auth-mode</t>
  </si>
  <si>
    <t>aaa_lag.authentication_lag.auth_mode; interface.aaa_lag.authentication_lag.auth_mode</t>
  </si>
  <si>
    <t>portchannels.interface.aaa-lag.security-violation.action</t>
  </si>
  <si>
    <t>aruba-interface-portchannel:portchannels.interface.aaa-lag.security-violation.action</t>
  </si>
  <si>
    <t>aaa_lag.security_violation.action; interface.aaa_lag.security_violation.action</t>
  </si>
  <si>
    <t>portchannels.interface.aaa-lag.security-violation.recovery-timer</t>
  </si>
  <si>
    <t>aruba-interface-portchannel:portchannels.interface.aaa-lag.security-violation.recovery-timer</t>
  </si>
  <si>
    <t>aaa_lag.security_violation.recovery_timer; interface.aaa_lag.security_violation.recovery_timer</t>
  </si>
  <si>
    <t>portchannels.interface.aaa-lag.security-violation.shutdown-recovery-enable</t>
  </si>
  <si>
    <t>aruba-interface-portchannel:portchannels.interface.aaa-lag.security-violation.shutdown-recovery-enable</t>
  </si>
  <si>
    <t>aaa_lag.security_violation.shutdown_recovery_enable; interface.aaa_lag.security_violation.shutdown_recovery_enable</t>
  </si>
  <si>
    <t>portchannels.interface.igmp-snooping-lag.blocked-vlan</t>
  </si>
  <si>
    <t>aruba-interface-portchannel:portchannels.interface.igmp-snooping-lag.blocked-vlan</t>
  </si>
  <si>
    <t>portchannels.interface.policy.ipv6-access-list-in</t>
  </si>
  <si>
    <t>aruba-interface-portchannel:portchannels.interface.policy.ipv6-access-list-in</t>
  </si>
  <si>
    <t>portchannels.interface.qos.icmp-rate-limit.packet-rate</t>
  </si>
  <si>
    <t>aruba-interface-portchannel:portchannels.interface.qos.icmp-rate-limit.packet-rate</t>
  </si>
  <si>
    <t>portchannels.interface.stp.mstp.instance-id</t>
  </si>
  <si>
    <t>aruba-interface-portchannel:portchannels.interface.stp.mstp.instance-id</t>
  </si>
  <si>
    <t>sub-interfaces.interface.ip.mtu</t>
  </si>
  <si>
    <t>aruba-interface-subinterface:sub-interfaces.interface.ip.mtu</t>
  </si>
  <si>
    <t>sub-interfaces.interface.ipv4-relay.server.ip</t>
  </si>
  <si>
    <t>aruba-interface-subinterface:sub-interfaces.interface.ipv4-relay.server.ip</t>
  </si>
  <si>
    <t>sub-interfaces.interface.ipv4-relay.server.ip-vrf</t>
  </si>
  <si>
    <t>aruba-interface-subinterface:sub-interfaces.interface.ipv4-relay.server.ip-vrf</t>
  </si>
  <si>
    <t>sub-interfaces.interface.ipv4-relay.server.vrf</t>
  </si>
  <si>
    <t>aruba-interface-subinterface:sub-interfaces.interface.ipv4-relay.server.vrf</t>
  </si>
  <si>
    <t>vlan-interfaces.interface.arp.process-grat</t>
  </si>
  <si>
    <t>aruba-interface-vlan:vlan-interfaces.interface.arp.process-grat</t>
  </si>
  <si>
    <t>vlan-interfaces.interface.igmp.querier-wait-time</t>
  </si>
  <si>
    <t>aruba-interface-vlan:vlan-interfaces.interface.igmp.querier-wait-time</t>
  </si>
  <si>
    <t>vlan-interfaces.interface.ipv6-neighbor-discovery.dad-attempts</t>
  </si>
  <si>
    <t>aruba-interface-vlan:vlan-interfaces.interface.ipv6-neighbor-discovery.dad-attempts</t>
  </si>
  <si>
    <t>vlan-interfaces.interface.ipv6-neighbor-discovery.router-advertisement.dns-server.lifetime</t>
  </si>
  <si>
    <t>aruba-interface-vlan:vlan-interfaces.interface.ipv6-neighbor-discovery.router-advertisement.dns-server.lifetime</t>
  </si>
  <si>
    <t>ip-source-interfaces.profile.ip-source.lag</t>
  </si>
  <si>
    <t>aruba-ip-source-interface:ip-source-interfaces.profile.ip-source.lag</t>
  </si>
  <si>
    <t>ip_source.lag; profile.ip_source.lag</t>
  </si>
  <si>
    <t>lldp.profile.tlv.basic.system-name</t>
  </si>
  <si>
    <t>aruba-lldp:lldp.profile.tlv.basic.system-name</t>
  </si>
  <si>
    <t>loopback-interfaces.interface.ipv6-config.addresses.address</t>
  </si>
  <si>
    <t>aruba-interface-loopback:loopback-interfaces.interface.ipv6-config.addresses.address</t>
  </si>
  <si>
    <t>interface.ipv6_config.addresses.address; ipv6_config.addresses.address</t>
  </si>
  <si>
    <t>loopback-interfaces.interface.ipv6-config.addresses.prefix-len</t>
  </si>
  <si>
    <t>aruba-interface-loopback:loopback-interfaces.interface.ipv6-config.addresses.prefix-len</t>
  </si>
  <si>
    <t>interface.ipv6_config.addresses.prefix_len; ipv6_config.addresses.prefix_len</t>
  </si>
  <si>
    <t>erps.profile.ring.port0-portchannel</t>
  </si>
  <si>
    <t>aruba-erps:erps.profile.ring.port0-portchannel</t>
  </si>
  <si>
    <t>aruba-ip-routing</t>
  </si>
  <si>
    <t>ip-routing.profile.name</t>
  </si>
  <si>
    <t>aruba-ip-routing:ip-routing.profile.name</t>
  </si>
  <si>
    <t>ntp.profile.authentication-profile.key-value</t>
  </si>
  <si>
    <t>aruba-ntp:ntp.profile.authentication-profile.key-value</t>
  </si>
  <si>
    <t>certificate-rcp.ta-profile.ocsp.disable-nonce</t>
  </si>
  <si>
    <t>aruba-certificate-rcp:certificate-rcp.ta-profile.ocsp.disable-nonce</t>
  </si>
  <si>
    <t>ospfv2.profile.routers.areas.lag-interfaces.cost</t>
  </si>
  <si>
    <t>aruba-ospfv2:ospfv2.profile.routers.areas.lag-interfaces.cost</t>
  </si>
  <si>
    <t>profile.routers.areas.lag_interfaces.cost; routers.areas.lag_interfaces.cost</t>
  </si>
  <si>
    <t>ospfv2.profile.routers.areas.sub-interfaces.passive</t>
  </si>
  <si>
    <t>aruba-ospfv2:ospfv2.profile.routers.areas.sub-interfaces.passive</t>
  </si>
  <si>
    <t>profile.routers.areas.ether_interfaces.passive; profile.routers.areas.lag_interfaces.passive; profile.routers.areas.loopback_interfaces.passive; profile.routers.areas.svi_interfaces.passive; routers.areas.ether_interfaces.passive; routers.areas.lag_interfaces.passive; routers.areas.loopback_interfaces.passive; routers.areas.svi_interfaces.passive</t>
  </si>
  <si>
    <t>ospfv2.profile.routers.distance.route-type</t>
  </si>
  <si>
    <t>aruba-ospfv2:ospfv2.profile.routers.distance.route-type</t>
  </si>
  <si>
    <t>ospfv3.profile.routers.areas.svi-interfaces.passive</t>
  </si>
  <si>
    <t>aruba-ospfv3:ospfv3.profile.routers.areas.svi-interfaces.passive</t>
  </si>
  <si>
    <t>ospfv3.profile.routers.passive-interface-default</t>
  </si>
  <si>
    <t>aruba-ospfv3:ospfv3.profile.routers.passive-interface-default</t>
  </si>
  <si>
    <t>pim-router.profile.router.anycast-rp-source-directly-connected</t>
  </si>
  <si>
    <t>aruba-pim:pim-router.profile.router.anycast-rp-source-directly-connected</t>
  </si>
  <si>
    <t>router.anycast_rp_source_directly_connected</t>
  </si>
  <si>
    <t>pim-router.profile.router.rpf-override.nexthop-address</t>
  </si>
  <si>
    <t>aruba-pim:pim-router.profile.router.rpf-override.nexthop-address</t>
  </si>
  <si>
    <t>pim-router.profile.router.rpf-override.source-prefix</t>
  </si>
  <si>
    <t>aruba-pim:pim-router.profile.router.rpf-override.source-prefix</t>
  </si>
  <si>
    <t>pim-router.profile.router.state-refresh</t>
  </si>
  <si>
    <t>aruba-pim:pim-router.profile.router.state-refresh</t>
  </si>
  <si>
    <t>router.state_refresh</t>
  </si>
  <si>
    <t>pim-router.profile.router.static-rps.override-enable</t>
  </si>
  <si>
    <t>aruba-pim:pim-router.profile.router.static-rps.override-enable</t>
  </si>
  <si>
    <t>router.static_rps.override_enable</t>
  </si>
  <si>
    <t>policies.policy.security-policy.policy-rule.condition.transport-fields.tcp-flags</t>
  </si>
  <si>
    <t>aruba-policy:policies.policy.security-policy.policy-rule.condition.transport-fields.tcp-flags</t>
  </si>
  <si>
    <t>policy.security_policy.policy_rule.condition.transport_fields.tcp_flags; security_policy.policy_rule.condition.transport_fields.tcp_flags</t>
  </si>
  <si>
    <t>dsm.dsm-instance.ipfix</t>
  </si>
  <si>
    <t>aruba-dsm:dsm.dsm-instance.ipfix</t>
  </si>
  <si>
    <t>bgp.profile.router.route-reflector-cluster-id</t>
  </si>
  <si>
    <t>aruba-bgp:bgp.profile.router.route-reflector-cluster-id</t>
  </si>
  <si>
    <t>ipsla.profile.source-sessions.vrf</t>
  </si>
  <si>
    <t>aruba-ipsla:ipsla.profile.source-sessions.vrf</t>
  </si>
  <si>
    <t>smartlink.profile.group.control-vlan</t>
  </si>
  <si>
    <t>aruba-smartlink:smartlink.profile.group.control-vlan</t>
  </si>
  <si>
    <t>vlan-interfaces.interface.vsx.shutdown-on-split</t>
  </si>
  <si>
    <t>aruba-interface-vlan:vlan-interfaces.interface.vsx.shutdown-on-split</t>
  </si>
  <si>
    <t>qos-schedules.profile.strict.max-bandwidth-percent</t>
  </si>
  <si>
    <t>aruba-qos-schedule:qos-schedules.profile.strict.max-bandwidth-percent</t>
  </si>
  <si>
    <t>snmp.profile.notification-receiver.notification-type</t>
  </si>
  <si>
    <t>aruba-snmp:snmp.profile.notification-receiver.notification-type</t>
  </si>
  <si>
    <t>vsx-config.vsx.linkup-delay-timer-exclude</t>
  </si>
  <si>
    <t>aruba-vsx-pair:vsx-config.vsx.linkup-delay-timer-exclude</t>
  </si>
  <si>
    <t>dsm.dsm-instance.workload-migration</t>
  </si>
  <si>
    <t>aruba-dsm:dsm.dsm-instance.workload-migration</t>
  </si>
  <si>
    <t>ipsla.profile.source-sessions.destination-hostname</t>
  </si>
  <si>
    <t>aruba-ipsla:ipsla.profile.source-sessions.destination-hostname</t>
  </si>
  <si>
    <t>sw-port-profiles.profile.lag.qos-lag.broadcast-rate-limit.percentage</t>
  </si>
  <si>
    <t>aruba-sw-port-profile:sw-port-profiles.profile.lag.qos-lag.broadcast-rate-limit.percentage</t>
  </si>
  <si>
    <t>profile.qos.broadcast_rate_limit.percentage; qos.broadcast_rate_limit.percentage</t>
  </si>
  <si>
    <t>ipsla.profile.source-sessions.destination-port</t>
  </si>
  <si>
    <t>aruba-ipsla:ipsla.profile.source-sessions.destination-port</t>
  </si>
  <si>
    <t>qos-global.profile.pool.headroom-size</t>
  </si>
  <si>
    <t>aruba-qos-global:qos-global.profile.pool.headroom-size</t>
  </si>
  <si>
    <t>qos-global.profile.pool.index</t>
  </si>
  <si>
    <t>aruba-qos-global:qos-global.profile.pool.index</t>
  </si>
  <si>
    <t>qos-global.profile.pool.size</t>
  </si>
  <si>
    <t>aruba-qos-global:qos-global.profile.pool.size</t>
  </si>
  <si>
    <t>qos-global.profile.pool.type</t>
  </si>
  <si>
    <t>aruba-qos-global:qos-global.profile.pool.type</t>
  </si>
  <si>
    <t>rip.router.ether-interfaces.address-family</t>
  </si>
  <si>
    <t>aruba-rip:rip.router.ether-interfaces.address-family</t>
  </si>
  <si>
    <t>rip.router.ether-interfaces.interface-name</t>
  </si>
  <si>
    <t>aruba-rip:rip.router.ether-interfaces.interface-name</t>
  </si>
  <si>
    <t>rip.router.ether-interfaces.interface-name-address-family</t>
  </si>
  <si>
    <t>aruba-rip:rip.router.ether-interfaces.interface-name-address-family</t>
  </si>
  <si>
    <t>rip.router.ether-interfaces.ip-address</t>
  </si>
  <si>
    <t>aruba-rip:rip.router.ether-interfaces.ip-address</t>
  </si>
  <si>
    <t>tracking-object.vrrp.interface.ethernet</t>
  </si>
  <si>
    <t>aruba-track-object:tracking-object.vrrp.interface.ethernet</t>
  </si>
  <si>
    <t>flow-tracking.profile.tcp-ageout</t>
  </si>
  <si>
    <t>aruba-flow-tracking:flow-tracking.profile.tcp-ageout</t>
  </si>
  <si>
    <t>ipfix-flow-exporter.exporters.hostname</t>
  </si>
  <si>
    <t>aruba-ipfix-flow-exporter:ipfix-flow-exporter.exporters.hostname</t>
  </si>
  <si>
    <t>job-scheduler.schedule.job.enable</t>
  </si>
  <si>
    <t>aruba-job-scheduler:job-scheduler.schedule.job.enable</t>
  </si>
  <si>
    <t>lldp.profile.neighbor-last-update-enable</t>
  </si>
  <si>
    <t>aruba-lldp:lldp.profile.neighbor-last-update-enable</t>
  </si>
  <si>
    <t>aruba-multicast</t>
  </si>
  <si>
    <t>multicast-global.profile.name</t>
  </si>
  <si>
    <t>aruba-multicast:multicast-global.profile.name</t>
  </si>
  <si>
    <t>containers.instance.image-location-url</t>
  </si>
  <si>
    <t>aruba-container:containers.instance.image-location-url</t>
  </si>
  <si>
    <t>containers.instance.image-location-vrf</t>
  </si>
  <si>
    <t>aruba-container:containers.instance.image-location-vrf</t>
  </si>
  <si>
    <t>device-certificates.device-certificate.subject-alt-name-ip</t>
  </si>
  <si>
    <t>aruba-device-certificate:device-certificates.device-certificate.subject-alt-name-ip</t>
  </si>
  <si>
    <t>aruba-ip-lockdown-interface</t>
  </si>
  <si>
    <t>ip-source-lockdown-interface.profile.ip-source-lockdown.ipv4</t>
  </si>
  <si>
    <t>aruba-ip-lockdown-interface:ip-source-lockdown-interface.profile.ip-source-lockdown.ipv4</t>
  </si>
  <si>
    <t>ip-source-lockdown-interface.profile.name</t>
  </si>
  <si>
    <t>aruba-ip-lockdown-interface:ip-source-lockdown-interface.profile.name</t>
  </si>
  <si>
    <t>ipfix-flow-record.records.collect.egress-interface</t>
  </si>
  <si>
    <t>aruba-ipfix-flow-record:ipfix-flow-record.records.collect.egress-interface</t>
  </si>
  <si>
    <t>qos-thresholds.profile.queue.ecn-entry.thresh-units</t>
  </si>
  <si>
    <t>aruba-qos-threshold-profile:qos-thresholds.profile.queue.ecn-entry.thresh-units</t>
  </si>
  <si>
    <t>qos-thresholds.profile.queue.ecn-entry.threshold</t>
  </si>
  <si>
    <t>aruba-qos-threshold-profile:qos-thresholds.profile.queue.ecn-entry.threshold</t>
  </si>
  <si>
    <t>qos-thresholds.profile.queue.wred-resp.entry.color</t>
  </si>
  <si>
    <t>aruba-qos-threshold-profile:qos-thresholds.profile.queue.wred-resp.entry.color</t>
  </si>
  <si>
    <t>qos-thresholds.profile.queue.wred-resp.entry.max-threshold-percent</t>
  </si>
  <si>
    <t>aruba-qos-threshold-profile:qos-thresholds.profile.queue.wred-resp.entry.max-threshold-percent</t>
  </si>
  <si>
    <t>qos-thresholds.profile.queue.wred-resp.entry.min-threshold-percent</t>
  </si>
  <si>
    <t>aruba-qos-threshold-profile:qos-thresholds.profile.queue.wred-resp.entry.min-threshold-percent</t>
  </si>
  <si>
    <t>sw-port-profiles.profile.dynamic-arp-inspection.trust</t>
  </si>
  <si>
    <t>aruba-sw-port-profile:sw-port-profiles.profile.dynamic-arp-inspection.trust</t>
  </si>
  <si>
    <t>dynamic_arp_inspection.trust; profile.dynamic_arp_inspection.trust</t>
  </si>
  <si>
    <t>route-maps.route-map.route-map-entry.match-vni</t>
  </si>
  <si>
    <t>aruba-routemap:route-maps.route-map.route-map-entry.match-vni</t>
  </si>
  <si>
    <t>route_map.route_map_entry.match_vni; route_map_entry.match_vni</t>
  </si>
  <si>
    <t>route-maps.route-map.route-map-entry.set-weight</t>
  </si>
  <si>
    <t>aruba-routemap:route-maps.route-map.route-map-entry.set-weight</t>
  </si>
  <si>
    <t>route_map.route_map_entry.set_weight; route_map_entry.set_weight</t>
  </si>
  <si>
    <t>static-route.profile.ipv4.use-forwarding-address</t>
  </si>
  <si>
    <t>aruba-static-route:static-route.profile.ipv4.use-forwarding-address</t>
  </si>
  <si>
    <t>sw-port-profiles.profile.pim-sparse.source-address-any</t>
  </si>
  <si>
    <t>aruba-sw-port-profile:sw-port-profiles.profile.pim-sparse.source-address-any</t>
  </si>
  <si>
    <t>sw-port-profiles.profile.qos.multicast-rate-limit.packet-rate</t>
  </si>
  <si>
    <t>aruba-sw-port-profile:sw-port-profiles.profile.qos.multicast-rate-limit.packet-rate</t>
  </si>
  <si>
    <t>profile.qos.multicast_rate_limit.packet_rate; qos.multicast_rate_limit.packet_rate</t>
  </si>
  <si>
    <t>sw-port-profiles.profile.stp.link-type</t>
  </si>
  <si>
    <t>aruba-sw-port-profile:sw-port-profiles.profile.stp.link-type</t>
  </si>
  <si>
    <t>switch-system.profile.aaa.client-move</t>
  </si>
  <si>
    <t>aruba-switch-system:switch-system.profile.aaa.client-move</t>
  </si>
  <si>
    <t>layer2-vlan-range.dynamic-arp-inspection.enable</t>
  </si>
  <si>
    <t>aruba-vlan-range:layer2-vlan-range.dynamic-arp-inspection.enable</t>
  </si>
  <si>
    <t>vrrp.profile.virtual-router.bfd</t>
  </si>
  <si>
    <t>aruba-vrrp-interface:vrrp.profile.virtual-router.bfd</t>
  </si>
  <si>
    <t>profile.virtual_router.bfd; virtual_router.bfd</t>
  </si>
  <si>
    <t>dot1xauth.profile.canned-eap-success-enable</t>
  </si>
  <si>
    <t>aruba-aaa-dot1xauth:dot1xauth.profile.canned-eap-success-enable</t>
  </si>
  <si>
    <t>canned_eap_success_enable</t>
  </si>
  <si>
    <t>auth-server-global-config.profile.single-connection-mode</t>
  </si>
  <si>
    <t>aruba-auth-server-global:auth-server-global-config.profile.single-connection-mode</t>
  </si>
  <si>
    <t>server-groups.server-group.attribute-profile.framed-ip-address.request-type</t>
  </si>
  <si>
    <t>aruba-auth-server-group:server-groups.server-group.attribute-profile.framed-ip-address.request-type</t>
  </si>
  <si>
    <t>attribute_profile.framed_ip_address.request_type; server_group.attribute_profile.framed_ip_address.request_type</t>
  </si>
  <si>
    <t>bgp.profile.router.global-afi-safi.global-ipv4-unicast.aggregate-address.as-set</t>
  </si>
  <si>
    <t>aruba-bgp:bgp.profile.router.global-afi-safi.global-ipv4-unicast.aggregate-address.as-set</t>
  </si>
  <si>
    <t>profile.router.global_afi_safi.global_ipv4_unicast.aggregate_address.as_set; router.global_afi_safi.global_ipv4_unicast.aggregate_address.as_set</t>
  </si>
  <si>
    <t>bgp.profile.router.global-afi-safi.global-ipv6-unicast.redistribute.route-map</t>
  </si>
  <si>
    <t>aruba-bgp:bgp.profile.router.global-afi-safi.global-ipv6-unicast.redistribute.route-map</t>
  </si>
  <si>
    <t>profile.router.global_afi_safi.global_ipv6_unicast.redistribute.route_map; router.global_afi_safi.global_ipv6_unicast.redistribute.route_map</t>
  </si>
  <si>
    <t>bgp.profile.router.global-afi-safi.global-l2vpn-evpn.redistribute.ospfv2-id</t>
  </si>
  <si>
    <t>aruba-bgp:bgp.profile.router.global-afi-safi.global-l2vpn-evpn.redistribute.ospfv2-id</t>
  </si>
  <si>
    <t>bgp.profile.router.neighbor.afi-safi.ipv4-unicast.default-originate.route-map</t>
  </si>
  <si>
    <t>aruba-bgp:bgp.profile.router.neighbor.afi-safi.ipv4-unicast.default-originate.route-map</t>
  </si>
  <si>
    <t>profile.router.global_afi_safi.global_ipv4_unicast.bgp_dampening.route_map; profile.router.global_afi_safi.global_ipv4_unicast.network.route_map; profile.router.global_afi_safi.global_ipv4_unicast.redistribute.route_map; profile.router.global_afi_safi.global_ipv6_unicast.bgp_dampening.route_map; profile.router.global_afi_safi.global_ipv6_unicast.network.route_map; profile.router.global_afi_safi.global_ipv6_unicast.redistribute.route_map; profile.router.neighbor.afi_safi.ipv4_unicast.apply_route_map.route_map; profile.router.neighbor.afi_safi.ipv6_unicast.apply_route_map.route_map; profile.router.neighbor.afi_safi.l2vpn_evpn.apply_route_map.route_map; profile.router.peer_group.afi_safi.ipv4_unicast.apply_route_map.route_map; profile.router.peer_group.afi_safi.ipv6_unicast.apply_route_map.route_map; profile.router.peer_group.afi_safi.l2vpn_evpn.apply_route_map.route_map; router.global_afi_safi.global_ipv4_unicast.bgp_dampening.route_map; router.global_afi_safi.global_ipv4_unicast.network.route_map; router.global_afi_safi.global_ipv4_unicast.redistribute.route_map; router.global_afi_safi.global_ipv6_unicast.bgp_dampening.route_map; router.global_afi_safi.global_ipv6_unicast.network.route_map; router.global_afi_safi.global_ipv6_unicast.redistribute.route_map; router.neighbor.afi_safi.ipv4_unicast.apply_route_map.route_map; router.neighbor.afi_safi.ipv6_unicast.apply_route_map.route_map; router.neighbor.afi_safi.l2vpn_evpn.apply_route_map.route_map; router.peer_group.afi_safi.ipv4_unicast.apply_route_map.route_map; router.peer_group.afi_safi.ipv6_unicast.apply_route_map.route_map; router.peer_group.afi_safi.l2vpn_evpn.apply_route_map.route_map</t>
  </si>
  <si>
    <t>bgp.profile.router.neighbor.afi-safi.ipv4-unicast.max-prefix-options.threshold</t>
  </si>
  <si>
    <t>aruba-bgp:bgp.profile.router.neighbor.afi-safi.ipv4-unicast.max-prefix-options.threshold</t>
  </si>
  <si>
    <t>bgp.profile.router.neighbor.afi-safi.ipv4-unicast.minimum-advertisement-interval</t>
  </si>
  <si>
    <t>aruba-bgp:bgp.profile.router.neighbor.afi-safi.ipv4-unicast.minimum-advertisement-interval</t>
  </si>
  <si>
    <t>profile.router.neighbor.afi_safi.ipv4_unicast.minimum_advertisement_interval; router.neighbor.afi_safi.ipv4_unicast.minimum_advertisement_interval</t>
  </si>
  <si>
    <t>bgp.profile.router.neighbor.afi-safi.ipv6-unicast.max-prefix-options.action</t>
  </si>
  <si>
    <t>aruba-bgp:bgp.profile.router.neighbor.afi-safi.ipv6-unicast.max-prefix-options.action</t>
  </si>
  <si>
    <t>bgp.profile.router.neighbor.afi-safi.ipv6-unicast.max-prefix-options.limit</t>
  </si>
  <si>
    <t>aruba-bgp:bgp.profile.router.neighbor.afi-safi.ipv6-unicast.max-prefix-options.limit</t>
  </si>
  <si>
    <t>profile.router.neighbor.afi_safi.ipv6_unicast.max_prefix_options.limit; router.neighbor.afi_safi.ipv6_unicast.max_prefix_options.limit</t>
  </si>
  <si>
    <t>bgp.profile.router.neighbor.afi-safi.l2vpn-evpn.default-originate.default-originate-enable</t>
  </si>
  <si>
    <t>aruba-bgp:bgp.profile.router.neighbor.afi-safi.l2vpn-evpn.default-originate.default-originate-enable</t>
  </si>
  <si>
    <t>profile.router.neighbor.afi_safi.ipv4_unicast.default_originate.default_originate_enable; profile.router.neighbor.afi_safi.ipv6_unicast.default_originate.default_originate_enable; profile.router.peer_group.afi_safi.ipv4_unicast.default_originate.default_originate_enable; profile.router.peer_group.afi_safi.ipv6_unicast.default_originate.default_originate_enable; router.neighbor.afi_safi.ipv4_unicast.default_originate.default_originate_enable; router.neighbor.afi_safi.ipv6_unicast.default_originate.default_originate_enable; router.peer_group.afi_safi.ipv4_unicast.default_originate.default_originate_enable; router.peer_group.afi_safi.ipv6_unicast.default_originate.default_originate_enable</t>
  </si>
  <si>
    <t>bgp.profile.router.neighbor.graceful-shutdown.local-preference</t>
  </si>
  <si>
    <t>aruba-bgp:bgp.profile.router.neighbor.graceful-shutdown.local-preference</t>
  </si>
  <si>
    <t>bgp.profile.router.neighbor.graceful-shutdown.timer</t>
  </si>
  <si>
    <t>aruba-bgp:bgp.profile.router.neighbor.graceful-shutdown.timer</t>
  </si>
  <si>
    <t>bgp.profile.router.neighbor.remove-private-as</t>
  </si>
  <si>
    <t>aruba-bgp:bgp.profile.router.neighbor.remove-private-as</t>
  </si>
  <si>
    <t>bgp.profile.router.peer-group.graceful-shutdown.local-preference</t>
  </si>
  <si>
    <t>aruba-bgp:bgp.profile.router.peer-group.graceful-shutdown.local-preference</t>
  </si>
  <si>
    <t>bgp.profile.router.peer-group.graceful-shutdown.timer</t>
  </si>
  <si>
    <t>aruba-bgp:bgp.profile.router.peer-group.graceful-shutdown.timer</t>
  </si>
  <si>
    <t>bgp.profile.router.peer-group.timers.connect-retry</t>
  </si>
  <si>
    <t>aruba-bgp:bgp.profile.router.peer-group.timers.connect-retry</t>
  </si>
  <si>
    <t>profile.router.peer_group.timers.connect_retry; router.peer_group.timers.connect_retry</t>
  </si>
  <si>
    <t>est-profiles.profile.password</t>
  </si>
  <si>
    <t>aruba-est:est-profiles.profile.password</t>
  </si>
  <si>
    <t>password; profile.password</t>
  </si>
  <si>
    <t>evpn.profile.evpn-global.vlan-aware-bundle.bundle-name</t>
  </si>
  <si>
    <t>aruba-evpn:evpn.profile.evpn-global.vlan-aware-bundle.bundle-name</t>
  </si>
  <si>
    <t>evpn_global.vlan_aware_bundle.bundle_name; profile.evpn_global.vlan_aware_bundle.bundle_name</t>
  </si>
  <si>
    <t>evpn.profile.evpn-global.vlan-aware-bundle.export-route-targets</t>
  </si>
  <si>
    <t>aruba-evpn:evpn.profile.evpn-global.vlan-aware-bundle.export-route-targets</t>
  </si>
  <si>
    <t>evpn_global.vlan_aware_bundle.export_route_targets; profile.evpn_global.vlan_aware_bundle.export_route_targets</t>
  </si>
  <si>
    <t>evpn.profile.evpn-global.vlan-aware-bundle.import-route-targets</t>
  </si>
  <si>
    <t>aruba-evpn:evpn.profile.evpn-global.vlan-aware-bundle.import-route-targets</t>
  </si>
  <si>
    <t>evpn_global.vlan_aware_bundle.import_route_targets; profile.evpn_global.vlan_aware_bundle.import_route_targets</t>
  </si>
  <si>
    <t>evpn.profile.evpn-global.vlan-aware-bundle.route-distinguisher</t>
  </si>
  <si>
    <t>aruba-evpn:evpn.profile.evpn-global.vlan-aware-bundle.route-distinguisher</t>
  </si>
  <si>
    <t>evpn_global.vlan_aware_bundle.route_distinguisher; profile.evpn_global.vlan_aware_bundle.route_distinguisher</t>
  </si>
  <si>
    <t>evpn.profile.evpn-global.vlan-aware-bundle.vlan-ethernet-tag.vlan</t>
  </si>
  <si>
    <t>aruba-evpn:evpn.profile.evpn-global.vlan-aware-bundle.vlan-ethernet-tag.vlan</t>
  </si>
  <si>
    <t>evpn_global.vlan_aware_bundle.vlan_ethernet_tag.vlan; profile.evpn_global.vlan_aware_bundle.vlan_ethernet_tag.vlan</t>
  </si>
  <si>
    <t>fault-monitor.profile.excessive-alignment-errors.threshold</t>
  </si>
  <si>
    <t>aruba-fault-monitor:fault-monitor.profile.excessive-alignment-errors.threshold</t>
  </si>
  <si>
    <t>ethernet-interfaces.interface.igmp.querier-enable</t>
  </si>
  <si>
    <t>aruba-interface-ethernet:ethernet-interfaces.interface.igmp.querier-enable</t>
  </si>
  <si>
    <t>ethernet-interfaces.interface.ipv4.secondary-ip</t>
  </si>
  <si>
    <t>aruba-interface-ethernet:ethernet-interfaces.interface.ipv4.secondary-ip</t>
  </si>
  <si>
    <t>ethernet-interfaces.interface.ipv6-neighbor-discovery.router-advertisement.enable</t>
  </si>
  <si>
    <t>aruba-interface-ethernet:ethernet-interfaces.interface.ipv6-neighbor-discovery.router-advertisement.enable</t>
  </si>
  <si>
    <t>ethernet-interfaces.interface.lldp.tlv.elin-addr</t>
  </si>
  <si>
    <t>aruba-interface-ethernet:ethernet-interfaces.interface.lldp.tlv.elin-addr</t>
  </si>
  <si>
    <t>ethernet-interfaces.interface.llfc-flow-control.llfc-pool-id</t>
  </si>
  <si>
    <t>aruba-interface-ethernet:ethernet-interfaces.interface.llfc-flow-control.llfc-pool-id</t>
  </si>
  <si>
    <t>ethernet-interfaces.interface.loop-protect.trap</t>
  </si>
  <si>
    <t>aruba-interface-ethernet:ethernet-interfaces.interface.loop-protect.trap</t>
  </si>
  <si>
    <t>ethernet-interfaces.interface.mld.enable</t>
  </si>
  <si>
    <t>aruba-interface-ethernet:ethernet-interfaces.interface.mld.enable</t>
  </si>
  <si>
    <t>ethernet-interfaces.interface.mvrp.registration</t>
  </si>
  <si>
    <t>aruba-interface-ethernet:ethernet-interfaces.interface.mvrp.registration</t>
  </si>
  <si>
    <t>ethernet-interfaces.interface.pim6-sparse.enable</t>
  </si>
  <si>
    <t>aruba-interface-ethernet:ethernet-interfaces.interface.pim6-sparse.enable</t>
  </si>
  <si>
    <t>interface.pim6_sparse.enable; pim6_sparse.enable</t>
  </si>
  <si>
    <t>ethernet-interfaces.interface.policy.ipv6-access-list-out</t>
  </si>
  <si>
    <t>aruba-interface-ethernet:ethernet-interfaces.interface.policy.ipv6-access-list-out</t>
  </si>
  <si>
    <t>ethernet-interfaces.interface.ptp.vlan</t>
  </si>
  <si>
    <t>aruba-interface-ethernet:ethernet-interfaces.interface.ptp.vlan</t>
  </si>
  <si>
    <t>ethernet-interfaces.interface.stp.mstp.priority</t>
  </si>
  <si>
    <t>aruba-interface-ethernet:ethernet-interfaces.interface.stp.mstp.priority</t>
  </si>
  <si>
    <t>ethernet-interfaces.interface.stp.rpvst.priority</t>
  </si>
  <si>
    <t>aruba-interface-ethernet:ethernet-interfaces.interface.stp.rpvst.priority</t>
  </si>
  <si>
    <t>loopback-interfaces.interface.enable-default-link-local</t>
  </si>
  <si>
    <t>aruba-interface-loopback:loopback-interfaces.interface.enable-default-link-local</t>
  </si>
  <si>
    <t>loopback-interfaces.interface.pim6-sparse.enable</t>
  </si>
  <si>
    <t>aruba-interface-loopback:loopback-interfaces.interface.pim6-sparse.enable</t>
  </si>
  <si>
    <t>loopback-interfaces.interface.secondary-ip</t>
  </si>
  <si>
    <t>aruba-interface-loopback:loopback-interfaces.interface.secondary-ip</t>
  </si>
  <si>
    <t>interface.secondary_ip</t>
  </si>
  <si>
    <t>mgmt-interfaces.profile.default-gateway-ipv6</t>
  </si>
  <si>
    <t>aruba-interface-management:mgmt-interfaces.profile.default-gateway-ipv6</t>
  </si>
  <si>
    <t>default_gateway_ipv6; profile.default_gateway_ipv6</t>
  </si>
  <si>
    <t>portchannels.interface.qos.icmp-rate-limit.percentage</t>
  </si>
  <si>
    <t>aruba-interface-portchannel:portchannels.interface.qos.icmp-rate-limit.percentage</t>
  </si>
  <si>
    <t>portchannels.interface.stp.mstp.priority</t>
  </si>
  <si>
    <t>aruba-interface-portchannel:portchannels.interface.stp.mstp.priority</t>
  </si>
  <si>
    <t>tunnel.interface.l3-counters</t>
  </si>
  <si>
    <t>aruba-interface-tunnel:tunnel.interface.l3-counters</t>
  </si>
  <si>
    <t>vlan-interfaces.interface.ip-neighbor-flood-enable</t>
  </si>
  <si>
    <t>aruba-interface-vlan:vlan-interfaces.interface.ip-neighbor-flood-enable</t>
  </si>
  <si>
    <t>vlan-interfaces.interface.ipv4-router-discovery.enable</t>
  </si>
  <si>
    <t>aruba-interface-vlan:vlan-interfaces.interface.ipv4-router-discovery.enable</t>
  </si>
  <si>
    <t>vlan-interfaces.interface.ipv4-tcp-mss</t>
  </si>
  <si>
    <t>aruba-interface-vlan:vlan-interfaces.interface.ipv4-tcp-mss</t>
  </si>
  <si>
    <t>vlan-interfaces.interface.ipv6-neighbor-discovery.router-advertisement.max-interval</t>
  </si>
  <si>
    <t>aruba-interface-vlan:vlan-interfaces.interface.ipv6-neighbor-discovery.router-advertisement.max-interval</t>
  </si>
  <si>
    <t>vlan-interfaces.interface.ipv6-neighbor-discovery.router-advertisement.min-interval</t>
  </si>
  <si>
    <t>aruba-interface-vlan:vlan-interfaces.interface.ipv6-neighbor-discovery.router-advertisement.min-interval</t>
  </si>
  <si>
    <t>vlan-interfaces.interface.ipv6-neighbor-discovery.router-advertisement.prefixes.prefix-option.preferred-lifetime</t>
  </si>
  <si>
    <t>aruba-interface-vlan:vlan-interfaces.interface.ipv6-neighbor-discovery.router-advertisement.prefixes.prefix-option.preferred-lifetime</t>
  </si>
  <si>
    <t>vlan-interfaces.interface.ipv6-neighbor-discovery.router-advertisement.prefixes.prefix-option.valid-lifetime</t>
  </si>
  <si>
    <t>aruba-interface-vlan:vlan-interfaces.interface.ipv6-neighbor-discovery.router-advertisement.prefixes.prefix-option.valid-lifetime</t>
  </si>
  <si>
    <t>vlan-interfaces.interface.ipv6.link-local</t>
  </si>
  <si>
    <t>aruba-interface-vlan:vlan-interfaces.interface.ipv6.link-local</t>
  </si>
  <si>
    <t>vlan-interfaces.interface.pim-dense.source-address</t>
  </si>
  <si>
    <t>aruba-interface-vlan:vlan-interfaces.interface.pim-dense.source-address</t>
  </si>
  <si>
    <t>vlan-interfaces.interface.pim6-sparse.enable</t>
  </si>
  <si>
    <t>aruba-interface-vlan:vlan-interfaces.interface.pim6-sparse.enable</t>
  </si>
  <si>
    <t>vlan-interfaces.interface.policy.ipv6-access-list-out</t>
  </si>
  <si>
    <t>aruba-interface-vlan:vlan-interfaces.interface.policy.ipv6-access-list-out</t>
  </si>
  <si>
    <t>vlan-interfaces.interface.vrrp.dual-active-forwarding</t>
  </si>
  <si>
    <t>aruba-interface-vlan:vlan-interfaces.interface.vrrp.dual-active-forwarding</t>
  </si>
  <si>
    <t>ip-source-interfaces.profile.ip-source.ipv6</t>
  </si>
  <si>
    <t>aruba-ip-source-interface:ip-source-interfaces.profile.ip-source.ipv6</t>
  </si>
  <si>
    <t>ip_source.ipv6; profile.ip_source.ipv6</t>
  </si>
  <si>
    <t>nd-snooping.profile.ra-guard-policy.match-list.access-list</t>
  </si>
  <si>
    <t>aruba-nd-snooping:nd-snooping.profile.ra-guard-policy.match-list.access-list</t>
  </si>
  <si>
    <t>rmon-alarms.profile.rmon.interval</t>
  </si>
  <si>
    <t>aruba-rmon-alarm:rmon-alarms.profile.rmon.interval</t>
  </si>
  <si>
    <t>logging.profile.remote-syslog.rate-limit.interval</t>
  </si>
  <si>
    <t>aruba-logging:logging.profile.remote-syslog.rate-limit.interval</t>
  </si>
  <si>
    <t>mgmd-global.profile.mld.filter-unknown-multicast</t>
  </si>
  <si>
    <t>aruba-mgmd:mgmd-global.profile.mld.filter-unknown-multicast</t>
  </si>
  <si>
    <t>mld.filter_unknown_multicast; profile.mld.filter_unknown_multicast</t>
  </si>
  <si>
    <t>ospfv3.profile.routers.areas.loopback-interfaces.loopback-id</t>
  </si>
  <si>
    <t>aruba-ospfv3:ospfv3.profile.routers.areas.loopback-interfaces.loopback-id</t>
  </si>
  <si>
    <t>msdp.profile.router.peer.loopback-tcp-connection-source</t>
  </si>
  <si>
    <t>aruba-msdp:msdp.profile.router.peer.loopback-tcp-connection-source</t>
  </si>
  <si>
    <t>profile.router.peer.loopback_tcp_connection_source; router.peer.loopback_tcp_connection_source</t>
  </si>
  <si>
    <t>aruba-multicast-static-route</t>
  </si>
  <si>
    <t>multicast-static-route.profile.ipv4.group-address</t>
  </si>
  <si>
    <t>aruba-multicast-static-route:multicast-static-route.profile.ipv4.group-address</t>
  </si>
  <si>
    <t>multicast-static-route.profile.ipv4.outgoing-interfaces</t>
  </si>
  <si>
    <t>aruba-multicast-static-route:multicast-static-route.profile.ipv4.outgoing-interfaces</t>
  </si>
  <si>
    <t>ipv4.outgoing_interfaces; profile.ipv4.outgoing_interfaces</t>
  </si>
  <si>
    <t>multicast-static-route.profile.ipv4.source-address</t>
  </si>
  <si>
    <t>aruba-multicast-static-route:multicast-static-route.profile.ipv4.source-address</t>
  </si>
  <si>
    <t>multicast-static-route.profile.ipv4.upstream-interface</t>
  </si>
  <si>
    <t>aruba-multicast-static-route:multicast-static-route.profile.ipv4.upstream-interface</t>
  </si>
  <si>
    <t>multicast-static-route.profile.ipv4.vrf</t>
  </si>
  <si>
    <t>aruba-multicast-static-route:multicast-static-route.profile.ipv4.vrf</t>
  </si>
  <si>
    <t>multicast-static-route.profile.ipv4.vrf-source-address-group-address-upstream-interface</t>
  </si>
  <si>
    <t>aruba-multicast-static-route:multicast-static-route.profile.ipv4.vrf-source-address-group-address-upstream-interface</t>
  </si>
  <si>
    <t>ipv4.vrf_source_address_group_address_upstream_interface; profile.ipv4.vrf_source_address_group_address_upstream_interface</t>
  </si>
  <si>
    <t>multicast-static-route.profile.name</t>
  </si>
  <si>
    <t>aruba-multicast-static-route:multicast-static-route.profile.name</t>
  </si>
  <si>
    <t>bgp.profile.router.peer-group.local-as-mode</t>
  </si>
  <si>
    <t>aruba-bgp:bgp.profile.router.peer-group.local-as-mode</t>
  </si>
  <si>
    <t>ip-routing.profile.ip-ecmp-params.ip-ecmp-hash-params.enable-lb-src-port</t>
  </si>
  <si>
    <t>aruba-ip-routing:ip-routing.profile.ip-ecmp-params.ip-ecmp-hash-params.enable-lb-src-port</t>
  </si>
  <si>
    <t>portchannels.interface.policy.mac-access-list-in</t>
  </si>
  <si>
    <t>aruba-interface-portchannel:portchannels.interface.policy.mac-access-list-in</t>
  </si>
  <si>
    <t>advanced-intelligent-forwarding.profile.fib-optimization-exclude-nexthop-ipv4</t>
  </si>
  <si>
    <t>aruba-advanced-intelligent-forwarding:advanced-intelligent-forwarding.profile.fib-optimization-exclude-nexthop-ipv4</t>
  </si>
  <si>
    <t>bgp.profile.router.neighbor.afi-safi.l2vpn-evpn.allow-own-as</t>
  </si>
  <si>
    <t>aruba-bgp:bgp.profile.router.neighbor.afi-safi.l2vpn-evpn.allow-own-as</t>
  </si>
  <si>
    <t>profile.router.neighbor.afi_safi.l2vpn_evpn.allow_own_as; router.neighbor.afi_safi.l2vpn_evpn.allow_own_as</t>
  </si>
  <si>
    <t>erps.profile.ring.wtr-interval</t>
  </si>
  <si>
    <t>aruba-erps:erps.profile.ring.wtr-interval</t>
  </si>
  <si>
    <t>ospfv2.profile.routers.areas.ether-interfaces.keychain-key</t>
  </si>
  <si>
    <t>aruba-ospfv2:ospfv2.profile.routers.areas.ether-interfaces.keychain-key</t>
  </si>
  <si>
    <t>ospfv2.profile.routers.areas.ether-interfaces.priority</t>
  </si>
  <si>
    <t>aruba-ospfv2:ospfv2.profile.routers.areas.ether-interfaces.priority</t>
  </si>
  <si>
    <t>profile.routers.areas.ether_interfaces.priority; routers.areas.ether_interfaces.priority</t>
  </si>
  <si>
    <t>ospfv2.profile.routers.areas.lag-interfaces.md-cipherpassword</t>
  </si>
  <si>
    <t>aruba-ospfv2:ospfv2.profile.routers.areas.lag-interfaces.md-cipherpassword</t>
  </si>
  <si>
    <t>ospfv2.profile.routers.areas.lag-interfaces.md-key-id</t>
  </si>
  <si>
    <t>aruba-ospfv2:ospfv2.profile.routers.areas.lag-interfaces.md-key-id</t>
  </si>
  <si>
    <t>profile.routers.areas.lag_interfaces.md_key_id; routers.areas.lag_interfaces.md_key_id</t>
  </si>
  <si>
    <t>ospfv2.profile.routers.areas.lag-interfaces.md-password-type</t>
  </si>
  <si>
    <t>aruba-ospfv2:ospfv2.profile.routers.areas.lag-interfaces.md-password-type</t>
  </si>
  <si>
    <t>profile.routers.areas.lag_interfaces.md_password_type; routers.areas.lag_interfaces.md_password_type</t>
  </si>
  <si>
    <t>sub-interfaces.interface.pim-sparse.enable</t>
  </si>
  <si>
    <t>aruba-interface-subinterface:sub-interfaces.interface.pim-sparse.enable</t>
  </si>
  <si>
    <t>ospfv2.profile.routers.backbone-stub-default-route</t>
  </si>
  <si>
    <t>aruba-ospfv2:ospfv2.profile.routers.backbone-stub-default-route</t>
  </si>
  <si>
    <t>ospfv2.profile.routers.default-information-origin.metric</t>
  </si>
  <si>
    <t>aruba-ospfv2:ospfv2.profile.routers.default-information-origin.metric</t>
  </si>
  <si>
    <t>ospfv2.profile.routers.distance.all</t>
  </si>
  <si>
    <t>aruba-ospfv2:ospfv2.profile.routers.distance.all</t>
  </si>
  <si>
    <t>ospfv2.profile.routers.protocol-disable</t>
  </si>
  <si>
    <t>aruba-ospfv2:ospfv2.profile.routers.protocol-disable</t>
  </si>
  <si>
    <t>profile.routers.protocol_disable; routers.protocol_disable</t>
  </si>
  <si>
    <t>ospfv2.profile.routers.timers.spf-throttle.hold-time</t>
  </si>
  <si>
    <t>aruba-ospfv2:ospfv2.profile.routers.timers.spf-throttle.hold-time</t>
  </si>
  <si>
    <t>ospfv2.profile.routers.timers.spf-throttle.max-wait-time</t>
  </si>
  <si>
    <t>aruba-ospfv2:ospfv2.profile.routers.timers.spf-throttle.max-wait-time</t>
  </si>
  <si>
    <t>ospfv2.profile.routers.timers.spf-throttle.start-time</t>
  </si>
  <si>
    <t>aruba-ospfv2:ospfv2.profile.routers.timers.spf-throttle.start-time</t>
  </si>
  <si>
    <t>ospfv2.profile.routers.timers.timer-id</t>
  </si>
  <si>
    <t>aruba-ospfv2:ospfv2.profile.routers.timers.timer-id</t>
  </si>
  <si>
    <t>ospfv3.profile.routers.areas.ether-interfaces.interface-name</t>
  </si>
  <si>
    <t>aruba-ospfv3:ospfv3.profile.routers.areas.ether-interfaces.interface-name</t>
  </si>
  <si>
    <t>ospfv3.profile.routers.areas.svi-interfaces.network</t>
  </si>
  <si>
    <t>aruba-ospfv3:ospfv3.profile.routers.areas.svi-interfaces.network</t>
  </si>
  <si>
    <t>ospfv3.profile.routers.router-id</t>
  </si>
  <si>
    <t>aruba-ospfv3:ospfv3.profile.routers.router-id</t>
  </si>
  <si>
    <t>pim-router.profile.router.bfd-all-interfaces-enable</t>
  </si>
  <si>
    <t>aruba-pim:pim-router.profile.router.bfd-all-interfaces-enable</t>
  </si>
  <si>
    <t>router.bfd_all_interfaces_enable</t>
  </si>
  <si>
    <t>pim-router.profile.router.candidate-bsr.hash-mask-length</t>
  </si>
  <si>
    <t>aruba-pim:pim-router.profile.router.candidate-bsr.hash-mask-length</t>
  </si>
  <si>
    <t>router.candidate_bsr.hash_mask_length</t>
  </si>
  <si>
    <t>pim-router.profile.router.candidate-rp-v6.priority</t>
  </si>
  <si>
    <t>aruba-pim:pim-router.profile.router.candidate-rp-v6.priority</t>
  </si>
  <si>
    <t>router.candidate_rp_v6.priority</t>
  </si>
  <si>
    <t>pim-router.profile.router.register-source-port.interface-type</t>
  </si>
  <si>
    <t>aruba-pim:pim-router.profile.router.register-source-port.interface-type</t>
  </si>
  <si>
    <t>router.candidate_bsr.interface_type; router.candidate_bsr_v6.interface_type; router.candidate_rp.interface_type; router.candidate_rp_v6.interface_type</t>
  </si>
  <si>
    <t>pim-router.profile.router.register-source-port.interface-vlan</t>
  </si>
  <si>
    <t>aruba-pim:pim-router.profile.router.register-source-port.interface-vlan</t>
  </si>
  <si>
    <t>router.candidate_bsr.interface_vlan; router.candidate_bsr_v6.interface_vlan; router.candidate_rp.interface_vlan; router.candidate_rp_v6.interface_vlan</t>
  </si>
  <si>
    <t>pim-router.profile.router.rp-group-policies.group-policy</t>
  </si>
  <si>
    <t>aruba-pim:pim-router.profile.router.rp-group-policies.group-policy</t>
  </si>
  <si>
    <t>router.rp_group_policies.group_policy</t>
  </si>
  <si>
    <t>pim-router.profile.router.rp-group-policies.rp-address</t>
  </si>
  <si>
    <t>aruba-pim:pim-router.profile.router.rp-group-policies.rp-address</t>
  </si>
  <si>
    <t>router.rp_group_policies.rp_address</t>
  </si>
  <si>
    <t>policies.policy.security-policy.policy-rule.condition.ip-header.fragment</t>
  </si>
  <si>
    <t>aruba-policy:policies.policy.security-policy.policy-rule.condition.ip-header.fragment</t>
  </si>
  <si>
    <t>policy.security_policy.policy_rule.condition.ip_header.fragment; security_policy.policy_rule.condition.ip_header.fragment</t>
  </si>
  <si>
    <t>ufd.profile.sessions.links-to-monitor.lag-ports</t>
  </si>
  <si>
    <t>aruba-ufd:ufd.profile.sessions.links-to-monitor.lag-ports</t>
  </si>
  <si>
    <t>bgp.profile.router.neighbor.afi-safi.ipv4-unicast.next-hop-unchanged</t>
  </si>
  <si>
    <t>aruba-bgp:bgp.profile.router.neighbor.afi-safi.ipv4-unicast.next-hop-unchanged</t>
  </si>
  <si>
    <t>profile.router.neighbor.afi_safi.l2vpn_evpn.next_hop_unchanged; profile.router.peer_group.afi_safi.l2vpn_evpn.next_hop_unchanged; router.neighbor.afi_safi.l2vpn_evpn.next_hop_unchanged; router.peer_group.afi_safi.l2vpn_evpn.next_hop_unchanged</t>
  </si>
  <si>
    <t>aruba-qos-pool</t>
  </si>
  <si>
    <t>qos-pools.profile.name</t>
  </si>
  <si>
    <t>aruba-qos-pool:qos-pools.profile.name</t>
  </si>
  <si>
    <t>qos-pools.profile.pool.headroom-size</t>
  </si>
  <si>
    <t>aruba-qos-pool:qos-pools.profile.pool.headroom-size</t>
  </si>
  <si>
    <t>qos-pools.profile.pool.index</t>
  </si>
  <si>
    <t>aruba-qos-pool:qos-pools.profile.pool.index</t>
  </si>
  <si>
    <t>qos-pools.profile.pool.priority</t>
  </si>
  <si>
    <t>aruba-qos-pool:qos-pools.profile.pool.priority</t>
  </si>
  <si>
    <t>qos-pools.profile.pool.size</t>
  </si>
  <si>
    <t>aruba-qos-pool:qos-pools.profile.pool.size</t>
  </si>
  <si>
    <t>qos-pools.profile.pool.type</t>
  </si>
  <si>
    <t>aruba-qos-pool:qos-pools.profile.pool.type</t>
  </si>
  <si>
    <t>vxlan-tunnel.profile.description</t>
  </si>
  <si>
    <t>aruba-interface-vxlan-tunnel:vxlan-tunnel.profile.description</t>
  </si>
  <si>
    <t>logging.profile.notification-threshold.security-log</t>
  </si>
  <si>
    <t>aruba-logging:logging.profile.notification-threshold.security-log</t>
  </si>
  <si>
    <t>qos-thresholds.profile.queue.ecn.threshold-percent</t>
  </si>
  <si>
    <t>aruba-qos-threshold-profile:qos-thresholds.profile.queue.ecn.threshold-percent</t>
  </si>
  <si>
    <t>ethernet-interfaces.interface.link-clock-narrow-tolerance</t>
  </si>
  <si>
    <t>aruba-interface-ethernet:ethernet-interfaces.interface.link-clock-narrow-tolerance</t>
  </si>
  <si>
    <t>mka.policy.eapol-destination-mac</t>
  </si>
  <si>
    <t>aruba-mka:mka.policy.eapol-destination-mac</t>
  </si>
  <si>
    <t>msdp.profile.router.peer.svi-tcp-connection-source</t>
  </si>
  <si>
    <t>aruba-msdp:msdp.profile.router.peer.svi-tcp-connection-source</t>
  </si>
  <si>
    <t>profile.router.peer.svi_tcp_connection_source; router.peer.svi_tcp_connection_source</t>
  </si>
  <si>
    <t>rip.profile.router.timers.garbage-collection</t>
  </si>
  <si>
    <t>aruba-rip:rip.profile.router.timers.garbage-collection</t>
  </si>
  <si>
    <t>rip.profile.router.timers.timeout</t>
  </si>
  <si>
    <t>aruba-rip:rip.profile.router.timers.timeout</t>
  </si>
  <si>
    <t>rip.profile.router.timers.update</t>
  </si>
  <si>
    <t>aruba-rip:rip.profile.router.timers.update</t>
  </si>
  <si>
    <t>sw-port-profiles.profile.lag.qos-lag.multicast-rate-limit.percentage</t>
  </si>
  <si>
    <t>aruba-sw-port-profile:sw-port-profiles.profile.lag.qos-lag.multicast-rate-limit.percentage</t>
  </si>
  <si>
    <t>profile.qos.multicast_rate_limit.percentage; qos.multicast_rate_limit.percentage</t>
  </si>
  <si>
    <t>qos-thresholds.profile.queue.wred-resp-entry.color</t>
  </si>
  <si>
    <t>aruba-qos-threshold-profile:qos-thresholds.profile.queue.wred-resp-entry.color</t>
  </si>
  <si>
    <t>qos-thresholds.profile.queue.wred-resp-entry.max-threshold</t>
  </si>
  <si>
    <t>aruba-qos-threshold-profile:qos-thresholds.profile.queue.wred-resp-entry.max-threshold</t>
  </si>
  <si>
    <t>qos-thresholds.profile.queue.wred-resp-entry.min-threshold</t>
  </si>
  <si>
    <t>aruba-qos-threshold-profile:qos-thresholds.profile.queue.wred-resp-entry.min-threshold</t>
  </si>
  <si>
    <t>qos-thresholds.profile.queue.wred-resp-entry.thresh-units</t>
  </si>
  <si>
    <t>aruba-qos-threshold-profile:qos-thresholds.profile.queue.wred-resp-entry.thresh-units</t>
  </si>
  <si>
    <t>portchannels.interface.stp.rpvst.vlan-id</t>
  </si>
  <si>
    <t>aruba-interface-portchannel:portchannels.interface.stp.rpvst.vlan-id</t>
  </si>
  <si>
    <t>sub-interfaces.interface.vrrp.vrrp-profile-apply</t>
  </si>
  <si>
    <t>aruba-interface-subinterface:sub-interfaces.interface.vrrp.vrrp-profile-apply</t>
  </si>
  <si>
    <t>pim-router.profile.router.candidate-bsr.bsm-interval</t>
  </si>
  <si>
    <t>aruba-pim:pim-router.profile.router.candidate-bsr.bsm-interval</t>
  </si>
  <si>
    <t>router.candidate_bsr.bsm_interval</t>
  </si>
  <si>
    <t>qos-global.profile.pool.priority</t>
  </si>
  <si>
    <t>aruba-qos-global:qos-global.profile.pool.priority</t>
  </si>
  <si>
    <t>rip.router.enable</t>
  </si>
  <si>
    <t>aruba-rip:rip.router.enable</t>
  </si>
  <si>
    <t>portchannels.interface.qos.dscp</t>
  </si>
  <si>
    <t>aruba-interface-portchannel:portchannels.interface.qos.dscp</t>
  </si>
  <si>
    <t>sub-interfaces.interface.ipv6.addresses.address</t>
  </si>
  <si>
    <t>aruba-interface-subinterface:sub-interfaces.interface.ipv6.addresses.address</t>
  </si>
  <si>
    <t>vlan-interfaces.interface.pim-sparse.hello-interval</t>
  </si>
  <si>
    <t>aruba-interface-vlan:vlan-interfaces.interface.pim-sparse.hello-interval</t>
  </si>
  <si>
    <t>vlan-interfaces.interface.pim-sparse.source-address</t>
  </si>
  <si>
    <t>aruba-interface-vlan:vlan-interfaces.interface.pim-sparse.source-address</t>
  </si>
  <si>
    <t>job-scheduler.schedule.hours</t>
  </si>
  <si>
    <t>aruba-job-scheduler:job-scheduler.schedule.hours</t>
  </si>
  <si>
    <t>macsec.policy.confidentiality-offset</t>
  </si>
  <si>
    <t>aruba-macsec:macsec.policy.confidentiality-offset</t>
  </si>
  <si>
    <t>rip.profile.router.redistribute.ospf-id</t>
  </si>
  <si>
    <t>aruba-rip:rip.profile.router.redistribute.ospf-id</t>
  </si>
  <si>
    <t>rip.router.redistribute.ospf-id</t>
  </si>
  <si>
    <t>aruba-rip:rip.router.redistribute.ospf-id</t>
  </si>
  <si>
    <t>route-maps.route-map.route-map-entry.match-source-protocol</t>
  </si>
  <si>
    <t>aruba-routemap:route-maps.route-map.route-map-entry.match-source-protocol</t>
  </si>
  <si>
    <t>route_map.route_map_entry.match_source_protocol; route_map_entry.match_source_protocol</t>
  </si>
  <si>
    <t>static-route.profile.ipv4.interface.lag</t>
  </si>
  <si>
    <t>aruba-static-route:static-route.profile.ipv4.interface.lag</t>
  </si>
  <si>
    <t>ipv4.interface.lag; profile.ipv4.interface.lag</t>
  </si>
  <si>
    <t>captive-portal.profile.url-hash-key-format</t>
  </si>
  <si>
    <t>aruba-aaa-captive-portal:captive-portal.profile.url-hash-key-format</t>
  </si>
  <si>
    <t>certificate-rcp.ta-profile.ocsp.primary-url</t>
  </si>
  <si>
    <t>aruba-certificate-rcp:certificate-rcp.ta-profile.ocsp.primary-url</t>
  </si>
  <si>
    <t>aruba-container-network</t>
  </si>
  <si>
    <t>container-networks.profile.name</t>
  </si>
  <si>
    <t>aruba-container-network:container-networks.profile.name</t>
  </si>
  <si>
    <t>route-maps.route-map.route-map-entry.match-external-route-type</t>
  </si>
  <si>
    <t>aruba-routemap:route-maps.route-map.route-map-entry.match-external-route-type</t>
  </si>
  <si>
    <t>route_map.route_map_entry.match_external_route_type; route_map_entry.match_external_route_type</t>
  </si>
  <si>
    <t>route-maps.route-map.route-map-entry.match-ipv4-nexthop.ipv4-nexthop-address</t>
  </si>
  <si>
    <t>aruba-routemap:route-maps.route-map.route-map-entry.match-ipv4-nexthop.ipv4-nexthop-address</t>
  </si>
  <si>
    <t>route_map.route_map_entry.match_ipv4_nexthop.ipv4_nexthop_address; route_map_entry.match_ipv4_nexthop.ipv4_nexthop_address</t>
  </si>
  <si>
    <t>container-networks.profile.name-vrf</t>
  </si>
  <si>
    <t>aruba-container-network:container-networks.profile.name-vrf</t>
  </si>
  <si>
    <t>container-networks.profile.vrf</t>
  </si>
  <si>
    <t>aruba-container-network:container-networks.profile.vrf</t>
  </si>
  <si>
    <t>flow-tracking.profile.tracked-protocol.protocol-name</t>
  </si>
  <si>
    <t>aruba-flow-tracking:flow-tracking.profile.tracked-protocol.protocol-name</t>
  </si>
  <si>
    <t>route-maps.route-map.route-map-entry.set-as-path.as-exclude</t>
  </si>
  <si>
    <t>aruba-routemap:route-maps.route-map.route-map-entry.set-as-path.as-exclude</t>
  </si>
  <si>
    <t>route_map.route_map_entry.set_as_path.as_exclude; route_map_entry.set_as_path.as_exclude</t>
  </si>
  <si>
    <t>flow-tracking.profile.tracked-protocol.track-icmp</t>
  </si>
  <si>
    <t>aruba-flow-tracking:flow-tracking.profile.tracked-protocol.track-icmp</t>
  </si>
  <si>
    <t>portchannels.interface.qos.egress-rate</t>
  </si>
  <si>
    <t>aruba-interface-portchannel:portchannels.interface.qos.egress-rate</t>
  </si>
  <si>
    <t>portchannels.interface.qos.max-rate-units</t>
  </si>
  <si>
    <t>aruba-interface-portchannel:portchannels.interface.qos.max-rate-units</t>
  </si>
  <si>
    <t>ipfix-flow-record.records.collect.egress-vlan</t>
  </si>
  <si>
    <t>aruba-ipfix-flow-record:ipfix-flow-record.records.collect.egress-vlan</t>
  </si>
  <si>
    <t>local-management.profile.nae.cli-authorization</t>
  </si>
  <si>
    <t>aruba-local-management:local-management.profile.nae.cli-authorization</t>
  </si>
  <si>
    <t>ospfv2.profile.routers.areas.svi-interfaces.md-password</t>
  </si>
  <si>
    <t>aruba-ospfv2:ospfv2.profile.routers.areas.svi-interfaces.md-password</t>
  </si>
  <si>
    <t>profile.routers.areas.svi_interfaces.md_password; routers.areas.svi_interfaces.md_password</t>
  </si>
  <si>
    <t>rip.profile.router.loopback-interfaces.address-family</t>
  </si>
  <si>
    <t>aruba-rip:rip.profile.router.loopback-interfaces.address-family</t>
  </si>
  <si>
    <t>rip.profile.router.loopback-interfaces.ip-address</t>
  </si>
  <si>
    <t>aruba-rip:rip.profile.router.loopback-interfaces.ip-address</t>
  </si>
  <si>
    <t>rip.profile.router.loopback-interfaces.loopback-id</t>
  </si>
  <si>
    <t>aruba-rip:rip.profile.router.loopback-interfaces.loopback-id</t>
  </si>
  <si>
    <t>rip.profile.router.loopback-interfaces.loopback-id-address-family</t>
  </si>
  <si>
    <t>aruba-rip:rip.profile.router.loopback-interfaces.loopback-id-address-family</t>
  </si>
  <si>
    <t>sw-port-profiles.profile.lag.qos-lag.broadcast-rate-limit.packet-rate</t>
  </si>
  <si>
    <t>aruba-sw-port-profile:sw-port-profiles.profile.lag.qos-lag.broadcast-rate-limit.packet-rate</t>
  </si>
  <si>
    <t>sw-port-profiles.profile.lag.qos-lag.multicast-rate-limit.packet-rate</t>
  </si>
  <si>
    <t>aruba-sw-port-profile:sw-port-profiles.profile.lag.qos-lag.multicast-rate-limit.packet-rate</t>
  </si>
  <si>
    <t>sw-port-profiles.profile.lag.qos-lag.unknown-unicast-rate-limit.rate-type</t>
  </si>
  <si>
    <t>aruba-sw-port-profile:sw-port-profiles.profile.lag.qos-lag.unknown-unicast-rate-limit.rate-type</t>
  </si>
  <si>
    <t>smartlink.profile.recv-control-vlans</t>
  </si>
  <si>
    <t>aruba-smartlink:smartlink.profile.recv-control-vlans</t>
  </si>
  <si>
    <t>static-route.profile.ipv6.source-interface.source-interface-type</t>
  </si>
  <si>
    <t>aruba-static-route:static-route.profile.ipv6.source-interface.source-interface-type</t>
  </si>
  <si>
    <t>static-route.profile.ipv6.source-interface.svi</t>
  </si>
  <si>
    <t>aruba-static-route:static-route.profile.ipv6.source-interface.svi</t>
  </si>
  <si>
    <t>ipv4.interface.svi; ipv6.interface.svi; profile.ipv4.interface.svi; profile.ipv6.interface.svi</t>
  </si>
  <si>
    <t>sw-port-profiles.profile.energy-efficient</t>
  </si>
  <si>
    <t>aruba-sw-port-profile:sw-port-profiles.profile.energy-efficient</t>
  </si>
  <si>
    <t>sw-port-profiles.profile.igmp.query-max-response-time</t>
  </si>
  <si>
    <t>aruba-sw-port-profile:sw-port-profiles.profile.igmp.query-max-response-time</t>
  </si>
  <si>
    <t>sw-port-profiles.profile.ipfix-flow-monitor-in.ipv4-monitor</t>
  </si>
  <si>
    <t>aruba-sw-port-profile:sw-port-profiles.profile.ipfix-flow-monitor-in.ipv4-monitor</t>
  </si>
  <si>
    <t>sw-port-profiles.profile.ipv4-relay.bootp-gateway</t>
  </si>
  <si>
    <t>aruba-sw-port-profile:sw-port-profiles.profile.ipv4-relay.bootp-gateway</t>
  </si>
  <si>
    <t>sw-port-profiles.profile.llfc-flow-control.llfc-pool-id</t>
  </si>
  <si>
    <t>aruba-sw-port-profile:sw-port-profiles.profile.llfc-flow-control.llfc-pool-id</t>
  </si>
  <si>
    <t>sw-port-profiles.profile.mld.enable</t>
  </si>
  <si>
    <t>aruba-sw-port-profile:sw-port-profiles.profile.mld.enable</t>
  </si>
  <si>
    <t>sw-port-profiles.profile.pim-dense.enable</t>
  </si>
  <si>
    <t>aruba-sw-port-profile:sw-port-profiles.profile.pim-dense.enable</t>
  </si>
  <si>
    <t>sw-port-profiles.profile.pim-sparse.dr-priority</t>
  </si>
  <si>
    <t>aruba-sw-port-profile:sw-port-profiles.profile.pim-sparse.dr-priority</t>
  </si>
  <si>
    <t>sw-port-profiles.profile.pim-sparse.hello-interval</t>
  </si>
  <si>
    <t>aruba-sw-port-profile:sw-port-profiles.profile.pim-sparse.hello-interval</t>
  </si>
  <si>
    <t>sw-port-profiles.profile.poe.allocation-method</t>
  </si>
  <si>
    <t>aruba-sw-port-profile:sw-port-profiles.profile.poe.allocation-method</t>
  </si>
  <si>
    <t>poe.allocation_method; profile.poe.allocation_method</t>
  </si>
  <si>
    <t>sw-port-profiles.profile.poe.power-pairs</t>
  </si>
  <si>
    <t>aruba-sw-port-profile:sw-port-profiles.profile.poe.power-pairs</t>
  </si>
  <si>
    <t>sw-port-profiles.profile.qos.icmp-rate-limit.rate-type</t>
  </si>
  <si>
    <t>aruba-sw-port-profile:sw-port-profiles.profile.qos.icmp-rate-limit.rate-type</t>
  </si>
  <si>
    <t>profile.qos.icmp_rate_limit.rate_type; qos.icmp_rate_limit.rate_type</t>
  </si>
  <si>
    <t>switch-system.profile.unsupported-transceiver-logging</t>
  </si>
  <si>
    <t>aruba-switch-system:switch-system.profile.unsupported-transceiver-logging</t>
  </si>
  <si>
    <t>traffic-insight.instance.monitor.single-value-filter.parameter</t>
  </si>
  <si>
    <t>aruba-traffic-insight:traffic-insight.instance.monitor.single-value-filter.parameter</t>
  </si>
  <si>
    <t>layer2-vlan-range.destination-guard.enable</t>
  </si>
  <si>
    <t>aruba-vlan-range:layer2-vlan-range.destination-guard.enable</t>
  </si>
  <si>
    <t>layer2-vlan.l2-vlan.destination-guard.enable</t>
  </si>
  <si>
    <t>aruba-vlan:layer2-vlan.l2-vlan.destination-guard.enable</t>
  </si>
  <si>
    <t>vrfs.vrf.l3vpn-only</t>
  </si>
  <si>
    <t>aruba-vrf:vrfs.vrf.l3vpn-only</t>
  </si>
  <si>
    <t>l3vpn_only; vrf.l3vpn_only</t>
  </si>
  <si>
    <t>aaa-profile.profile.authentication.bpdu-auth.mac-type</t>
  </si>
  <si>
    <t>aruba-aaa-profile:aaa-profile.profile.authentication.bpdu-auth.mac-type</t>
  </si>
  <si>
    <t>authentication.bpdu_auth.mac_type; profile.authentication.bpdu_auth.mac_type</t>
  </si>
  <si>
    <t>aaa-profile.profile.authorization.cached-critical-role-enable</t>
  </si>
  <si>
    <t>aruba-aaa-profile:aaa-profile.profile.authorization.cached-critical-role-enable</t>
  </si>
  <si>
    <t>arc.profile.limit-exceed-action</t>
  </si>
  <si>
    <t>aruba-app-recog-control:arc.profile.limit-exceed-action</t>
  </si>
  <si>
    <t>limit_exceed_action; profile.limit_exceed_action</t>
  </si>
  <si>
    <t>auth-servers.auth-server.radsec-port</t>
  </si>
  <si>
    <t>aruba-auth-server:auth-servers.auth-server.radsec-port</t>
  </si>
  <si>
    <t>auth_server.radsec_port; radsec_port</t>
  </si>
  <si>
    <t>auth-servers.auth-server.tls-initial-connection-timeout</t>
  </si>
  <si>
    <t>aruba-auth-server:auth-servers.auth-server.tls-initial-connection-timeout</t>
  </si>
  <si>
    <t>bgp.profile.router.as-notation</t>
  </si>
  <si>
    <t>aruba-bgp:bgp.profile.router.as-notation</t>
  </si>
  <si>
    <t>profile.router.as_notation; router.as_notation</t>
  </si>
  <si>
    <t>bgp.profile.router.neighbor.afi-safi.ipv4-unicast.add-paths.direction</t>
  </si>
  <si>
    <t>aruba-bgp:bgp.profile.router.neighbor.afi-safi.ipv4-unicast.add-paths.direction</t>
  </si>
  <si>
    <t>profile.router.neighbor.afi_safi.ipv4_unicast.add_paths.direction; router.neighbor.afi_safi.ipv4_unicast.add_paths.direction</t>
  </si>
  <si>
    <t>bgp.profile.router.neighbor.afi-safi.ipv4-unicast.max-prefix-options.restart-time</t>
  </si>
  <si>
    <t>aruba-bgp:bgp.profile.router.neighbor.afi-safi.ipv4-unicast.max-prefix-options.restart-time</t>
  </si>
  <si>
    <t>bgp.profile.router.neighbor.afi-safi.ipv6-unicast.route-reflector-client</t>
  </si>
  <si>
    <t>aruba-bgp:bgp.profile.router.neighbor.afi-safi.ipv6-unicast.route-reflector-client</t>
  </si>
  <si>
    <t>profile.router.neighbor.afi_safi.ipv6_unicast.route_reflector_client; router.neighbor.afi_safi.ipv6_unicast.route_reflector_client</t>
  </si>
  <si>
    <t>bgp.profile.router.neighbor.afi-safi.l2vpn-evpn.max-prefix-options.action</t>
  </si>
  <si>
    <t>aruba-bgp:bgp.profile.router.neighbor.afi-safi.l2vpn-evpn.max-prefix-options.action</t>
  </si>
  <si>
    <t>bgp.profile.router.neighbor.afi-safi.l2vpn-evpn.max-prefix-options.limit</t>
  </si>
  <si>
    <t>aruba-bgp:bgp.profile.router.neighbor.afi-safi.l2vpn-evpn.max-prefix-options.limit</t>
  </si>
  <si>
    <t>profile.router.neighbor.afi_safi.ipv4_unicast.max_prefix_options.limit; profile.router.neighbor.afi_safi.ipv6_unicast.max_prefix_options.limit; profile.router.peer_group.afi_safi.ipv4_unicast.max_prefix_options.limit; profile.router.peer_group.afi_safi.ipv6_unicast.max_prefix_options.limit; router.neighbor.afi_safi.ipv4_unicast.max_prefix_options.limit; router.neighbor.afi_safi.ipv6_unicast.max_prefix_options.limit; router.peer_group.afi_safi.ipv4_unicast.max_prefix_options.limit; router.peer_group.afi_safi.ipv6_unicast.max_prefix_options.limit</t>
  </si>
  <si>
    <t>bgp.profile.router.neighbor.transport.passive</t>
  </si>
  <si>
    <t>aruba-bgp:bgp.profile.router.neighbor.transport.passive</t>
  </si>
  <si>
    <t>bgp.profile.router.peer-group.afi-safi.ipv4-unicast.max-prefix-options.action</t>
  </si>
  <si>
    <t>aruba-bgp:bgp.profile.router.peer-group.afi-safi.ipv4-unicast.max-prefix-options.action</t>
  </si>
  <si>
    <t>bgp.profile.router.peer-group.afi-safi.ipv4-unicast.max-prefix-options.limit</t>
  </si>
  <si>
    <t>aruba-bgp:bgp.profile.router.peer-group.afi-safi.ipv4-unicast.max-prefix-options.limit</t>
  </si>
  <si>
    <t>profile.router.peer_group.afi_safi.ipv4_unicast.max_prefix_options.limit; router.peer_group.afi_safi.ipv4_unicast.max_prefix_options.limit</t>
  </si>
  <si>
    <t>bgp.profile.router.peer-group.afi-safi.ipv4-unicast.minimum-advertisement-interval</t>
  </si>
  <si>
    <t>aruba-bgp:bgp.profile.router.peer-group.afi-safi.ipv4-unicast.minimum-advertisement-interval</t>
  </si>
  <si>
    <t>profile.router.peer_group.afi_safi.ipv4_unicast.minimum_advertisement_interval; router.peer_group.afi_safi.ipv4_unicast.minimum_advertisement_interval</t>
  </si>
  <si>
    <t>bgp.profile.router.peer-group.afi-safi.ipv6-unicast.apply-route-map.direction</t>
  </si>
  <si>
    <t>aruba-bgp:bgp.profile.router.peer-group.afi-safi.ipv6-unicast.apply-route-map.direction</t>
  </si>
  <si>
    <t>profile.router.peer_group.afi_safi.ipv6_unicast.apply_route_map.direction; router.peer_group.afi_safi.ipv6_unicast.apply_route_map.direction</t>
  </si>
  <si>
    <t>bgp.profile.router.peer-group.afi-safi.ipv6-unicast.apply-route-map.route-map</t>
  </si>
  <si>
    <t>aruba-bgp:bgp.profile.router.peer-group.afi-safi.ipv6-unicast.apply-route-map.route-map</t>
  </si>
  <si>
    <t>profile.router.peer_group.afi_safi.ipv6_unicast.apply_route_map.route_map; router.peer_group.afi_safi.ipv6_unicast.apply_route_map.route_map</t>
  </si>
  <si>
    <t>bgp.profile.router.peer-group.afi-safi.ipv6-unicast.inbound-soft-reconfiguration</t>
  </si>
  <si>
    <t>aruba-bgp:bgp.profile.router.peer-group.afi-safi.ipv6-unicast.inbound-soft-reconfiguration</t>
  </si>
  <si>
    <t>profile.router.peer_group.afi_safi.ipv6_unicast.inbound_soft_reconfiguration; router.peer_group.afi_safi.ipv6_unicast.inbound_soft_reconfiguration</t>
  </si>
  <si>
    <t>bgp.profile.router.peer-group.afi-safi.ipv6-unicast.send-community.send-community-enable</t>
  </si>
  <si>
    <t>aruba-bgp:bgp.profile.router.peer-group.afi-safi.ipv6-unicast.send-community.send-community-enable</t>
  </si>
  <si>
    <t>profile.router.peer_group.afi_safi.ipv6_unicast.send_community.send_community_enable; router.peer_group.afi_safi.ipv6_unicast.send_community.send_community_enable</t>
  </si>
  <si>
    <t>bgp.profile.router.peer-group.afi-safi.ipv6-unicast.send-community.type</t>
  </si>
  <si>
    <t>aruba-bgp:bgp.profile.router.peer-group.afi-safi.ipv6-unicast.send-community.type</t>
  </si>
  <si>
    <t>profile.router.peer_group.afi_safi.ipv6_unicast.send_community.type; router.peer_group.afi_safi.ipv6_unicast.send_community.type</t>
  </si>
  <si>
    <t>bgp.profile.router.peer-group.afi-safi.l2vpn-evpn.next-hop-self</t>
  </si>
  <si>
    <t>aruba-bgp:bgp.profile.router.peer-group.afi-safi.l2vpn-evpn.next-hop-self</t>
  </si>
  <si>
    <t>profile.router.peer_group.afi_safi.l2vpn_evpn.next_hop_self; router.peer_group.afi_safi.l2vpn_evpn.next_hop_self</t>
  </si>
  <si>
    <t>dns.profile.resolver.priority.ip</t>
  </si>
  <si>
    <t>aruba-dns:dns.profile.resolver.priority.ip</t>
  </si>
  <si>
    <t>dns.profile.resolver.priority.priority</t>
  </si>
  <si>
    <t>aruba-dns:dns.profile.resolver.priority.priority</t>
  </si>
  <si>
    <t>external-storage.profile.store.vrf</t>
  </si>
  <si>
    <t>aruba-external-storage:external-storage.profile.store.vrf</t>
  </si>
  <si>
    <t>ethernet-interfaces.interface.aaa.authorization.cached-critical-role-enable</t>
  </si>
  <si>
    <t>aruba-interface-ethernet:ethernet-interfaces.interface.aaa.authorization.cached-critical-role-enable</t>
  </si>
  <si>
    <t>ethernet-interfaces.interface.arp.neighbor.address</t>
  </si>
  <si>
    <t>aruba-interface-ethernet:ethernet-interfaces.interface.arp.neighbor.address</t>
  </si>
  <si>
    <t>ethernet-interfaces.interface.arp.neighbor.mac-address</t>
  </si>
  <si>
    <t>aruba-interface-ethernet:ethernet-interfaces.interface.arp.neighbor.mac-address</t>
  </si>
  <si>
    <t>ethernet-interfaces.interface.dhcpv6-snooping.max-bindings</t>
  </si>
  <si>
    <t>aruba-interface-ethernet:ethernet-interfaces.interface.dhcpv6-snooping.max-bindings</t>
  </si>
  <si>
    <t>dhcpv6_snooping.max_bindings; interface.dhcpv6_snooping.max_bindings</t>
  </si>
  <si>
    <t>ethernet-interfaces.interface.igmp.strict-version</t>
  </si>
  <si>
    <t>aruba-interface-ethernet:ethernet-interfaces.interface.igmp.strict-version</t>
  </si>
  <si>
    <t>ethernet-interfaces.interface.ip-unnumbered-interface-loopback</t>
  </si>
  <si>
    <t>aruba-interface-ethernet:ethernet-interfaces.interface.ip-unnumbered-interface-loopback</t>
  </si>
  <si>
    <t>ethernet-interfaces.interface.ipv6-neighbor-discovery.router-advertisement.default-prefix.advertise</t>
  </si>
  <si>
    <t>aruba-interface-ethernet:ethernet-interfaces.interface.ipv6-neighbor-discovery.router-advertisement.default-prefix.advertise</t>
  </si>
  <si>
    <t>ethernet-interfaces.interface.ipv6-neighbor-discovery.router-advertisement.default-prefix.default</t>
  </si>
  <si>
    <t>aruba-interface-ethernet:ethernet-interfaces.interface.ipv6-neighbor-discovery.router-advertisement.default-prefix.default</t>
  </si>
  <si>
    <t>ethernet-interfaces.interface.lldp.tlv.management-tlv-ipv4-addr</t>
  </si>
  <si>
    <t>aruba-interface-ethernet:ethernet-interfaces.interface.lldp.tlv.management-tlv-ipv4-addr</t>
  </si>
  <si>
    <t>ethernet-interfaces.interface.loop-protect.transmit-interval</t>
  </si>
  <si>
    <t>aruba-interface-ethernet:ethernet-interfaces.interface.loop-protect.transmit-interval</t>
  </si>
  <si>
    <t>interface.lldp.transmit_interval; lldp.transmit_interval</t>
  </si>
  <si>
    <t>ethernet-interfaces.interface.mld-snooping-eth.forward-vlan</t>
  </si>
  <si>
    <t>aruba-interface-ethernet:ethernet-interfaces.interface.mld-snooping-eth.forward-vlan</t>
  </si>
  <si>
    <t>ethernet-interfaces.interface.mvrp.join-timer</t>
  </si>
  <si>
    <t>aruba-interface-ethernet:ethernet-interfaces.interface.mvrp.join-timer</t>
  </si>
  <si>
    <t>ethernet-interfaces.interface.mvrp.leaveall-timer</t>
  </si>
  <si>
    <t>aruba-interface-ethernet:ethernet-interfaces.interface.mvrp.leaveall-timer</t>
  </si>
  <si>
    <t>ethernet-interfaces.interface.mvrp.periodic-timer</t>
  </si>
  <si>
    <t>aruba-interface-ethernet:ethernet-interfaces.interface.mvrp.periodic-timer</t>
  </si>
  <si>
    <t>ethernet-interfaces.interface.nd-snooping.max-bindings</t>
  </si>
  <si>
    <t>aruba-interface-ethernet:ethernet-interfaces.interface.nd-snooping.max-bindings</t>
  </si>
  <si>
    <t>dhcpv4_snooping.max_bindings; dhcpv6_snooping.max_bindings; interface.dhcpv4_snooping.max_bindings; interface.dhcpv6_snooping.max_bindings</t>
  </si>
  <si>
    <t>ethernet-interfaces.interface.nd-snooping.ra-guard-policy</t>
  </si>
  <si>
    <t>aruba-interface-ethernet:ethernet-interfaces.interface.nd-snooping.ra-guard-policy</t>
  </si>
  <si>
    <t>ethernet-interfaces.interface.pfc-watchdog</t>
  </si>
  <si>
    <t>aruba-interface-ethernet:ethernet-interfaces.interface.pfc-watchdog</t>
  </si>
  <si>
    <t>ethernet-interfaces.interface.pim-sparse.bsr-boundary</t>
  </si>
  <si>
    <t>aruba-interface-ethernet:ethernet-interfaces.interface.pim-sparse.bsr-boundary</t>
  </si>
  <si>
    <t>ethernet-interfaces.interface.pim-sparse.datapath-auto-include</t>
  </si>
  <si>
    <t>aruba-interface-ethernet:ethernet-interfaces.interface.pim-sparse.datapath-auto-include</t>
  </si>
  <si>
    <t>ethernet-interfaces.interface.pim-sparse.source-address</t>
  </si>
  <si>
    <t>aruba-interface-ethernet:ethernet-interfaces.interface.pim-sparse.source-address</t>
  </si>
  <si>
    <t>ethernet-interfaces.interface.policy.mac-access-list-out</t>
  </si>
  <si>
    <t>aruba-interface-ethernet:ethernet-interfaces.interface.policy.mac-access-list-out</t>
  </si>
  <si>
    <t>ethernet-interfaces.interface.qos.burst</t>
  </si>
  <si>
    <t>aruba-interface-ethernet:ethernet-interfaces.interface.qos.burst</t>
  </si>
  <si>
    <t>ethernet-interfaces.interface.udp-broadcast-forwarder-server.servers.ip</t>
  </si>
  <si>
    <t>aruba-interface-ethernet:ethernet-interfaces.interface.udp-broadcast-forwarder-server.servers.ip</t>
  </si>
  <si>
    <t>ethernet-interfaces.interface.udp-broadcast-forwarder-server.servers.port</t>
  </si>
  <si>
    <t>aruba-interface-ethernet:ethernet-interfaces.interface.udp-broadcast-forwarder-server.servers.port</t>
  </si>
  <si>
    <t>portchannels.interface.arp.timeout</t>
  </si>
  <si>
    <t>aruba-interface-portchannel:portchannels.interface.arp.timeout</t>
  </si>
  <si>
    <t>portchannels.interface.bfd.detect-multiplier</t>
  </si>
  <si>
    <t>aruba-interface-portchannel:portchannels.interface.bfd.detect-multiplier</t>
  </si>
  <si>
    <t>portchannels.interface.bfd.min-rx-interval</t>
  </si>
  <si>
    <t>aruba-interface-portchannel:portchannels.interface.bfd.min-rx-interval</t>
  </si>
  <si>
    <t>portchannels.interface.bfd.min-tx-interval</t>
  </si>
  <si>
    <t>aruba-interface-portchannel:portchannels.interface.bfd.min-tx-interval</t>
  </si>
  <si>
    <t>portchannels.interface.mvrp.enable</t>
  </si>
  <si>
    <t>aruba-interface-portchannel:portchannels.interface.mvrp.enable</t>
  </si>
  <si>
    <t>portchannels.interface.mvrp.forbidden-vlan-list</t>
  </si>
  <si>
    <t>aruba-interface-portchannel:portchannels.interface.mvrp.forbidden-vlan-list</t>
  </si>
  <si>
    <t>portchannels.interface.mvrp.registration</t>
  </si>
  <si>
    <t>aruba-interface-portchannel:portchannels.interface.mvrp.registration</t>
  </si>
  <si>
    <t>portchannels.interface.nd-snooping.max-bindings</t>
  </si>
  <si>
    <t>aruba-interface-portchannel:portchannels.interface.nd-snooping.max-bindings</t>
  </si>
  <si>
    <t>portchannels.interface.portfilter.eth-ports</t>
  </si>
  <si>
    <t>aruba-interface-portchannel:portchannels.interface.portfilter.eth-ports</t>
  </si>
  <si>
    <t>portchannels.interface.portfilter.lag-ports</t>
  </si>
  <si>
    <t>aruba-interface-portchannel:portchannels.interface.portfilter.lag-ports</t>
  </si>
  <si>
    <t>portchannels.interface.qos.threshold-profile</t>
  </si>
  <si>
    <t>aruba-interface-portchannel:portchannels.interface.qos.threshold-profile</t>
  </si>
  <si>
    <t>portchannels.interface.stp.mstp.cost</t>
  </si>
  <si>
    <t>aruba-interface-portchannel:portchannels.interface.stp.mstp.cost</t>
  </si>
  <si>
    <t>portchannels.interface.vrrp.vrrp-profile-apply</t>
  </si>
  <si>
    <t>aruba-interface-portchannel:portchannels.interface.vrrp.vrrp-profile-apply</t>
  </si>
  <si>
    <t>sub-interfaces.interface.ipv4.secondary-ip</t>
  </si>
  <si>
    <t>aruba-interface-subinterface:sub-interfaces.interface.ipv4.secondary-ip</t>
  </si>
  <si>
    <t>sub-interfaces.interface.policy.ipv4-access-list-out</t>
  </si>
  <si>
    <t>aruba-interface-subinterface:sub-interfaces.interface.policy.ipv4-access-list-out</t>
  </si>
  <si>
    <t>tunnel.interface.gre.pim4-sparse.enable</t>
  </si>
  <si>
    <t>aruba-interface-tunnel:tunnel.interface.gre.pim4-sparse.enable</t>
  </si>
  <si>
    <t>vlan-interfaces.interface.active-gateway.extended-mac-address-v4</t>
  </si>
  <si>
    <t>aruba-interface-vlan:vlan-interfaces.interface.active-gateway.extended-mac-address-v4</t>
  </si>
  <si>
    <t>vlan-interfaces.interface.ipv4-router-discovery.ra-type</t>
  </si>
  <si>
    <t>aruba-interface-vlan:vlan-interfaces.interface.ipv4-router-discovery.ra-type</t>
  </si>
  <si>
    <t>vlan-interfaces.interface.ipv6-neighbor-discovery.router-advertisement.lifetime</t>
  </si>
  <si>
    <t>aruba-interface-vlan:vlan-interfaces.interface.ipv6-neighbor-discovery.router-advertisement.lifetime</t>
  </si>
  <si>
    <t>vlan-interfaces.interface.ipv6-neighbor-discovery.router-advertisement.prefixes.prefix-option.autoconfig</t>
  </si>
  <si>
    <t>aruba-interface-vlan:vlan-interfaces.interface.ipv6-neighbor-discovery.router-advertisement.prefixes.prefix-option.autoconfig</t>
  </si>
  <si>
    <t>vlan-interfaces.interface.mld.version</t>
  </si>
  <si>
    <t>aruba-interface-vlan:vlan-interfaces.interface.mld.version</t>
  </si>
  <si>
    <t>interface.mld.version; mld.version</t>
  </si>
  <si>
    <t>vlan-interfaces.interface.pim-sparse.bsr-boundary</t>
  </si>
  <si>
    <t>aruba-interface-vlan:vlan-interfaces.interface.pim-sparse.bsr-boundary</t>
  </si>
  <si>
    <t>vlan-interfaces.interface.policy.ipv6-access-list-in</t>
  </si>
  <si>
    <t>aruba-interface-vlan:vlan-interfaces.interface.policy.ipv6-access-list-in</t>
  </si>
  <si>
    <t>ufd.profile.sessions.links-to-disable.lag-ports</t>
  </si>
  <si>
    <t>aruba-ufd:ufd.profile.sessions.links-to-disable.lag-ports</t>
  </si>
  <si>
    <t>ip-routing.profile.ip-prefix-priority-params.ip-prefix-priority</t>
  </si>
  <si>
    <t>aruba-ip-routing:ip-routing.profile.ip-prefix-priority-params.ip-prefix-priority</t>
  </si>
  <si>
    <t>keychains.keychain.keys.auth-key-info.auth-key</t>
  </si>
  <si>
    <t>aruba-keychain:keychains.keychain.keys.auth-key-info.auth-key</t>
  </si>
  <si>
    <t>stp.profile.transmit-hold-count</t>
  </si>
  <si>
    <t>aruba-stp:stp.profile.transmit-hold-count</t>
  </si>
  <si>
    <t>profile.transmit_hold_count; transmit_hold_count</t>
  </si>
  <si>
    <t>local-management.profile.webservers.mgmt-auth</t>
  </si>
  <si>
    <t>aruba-local-management:local-management.profile.webservers.mgmt-auth</t>
  </si>
  <si>
    <t>nd-snooping-interface.profile.nd-snooping.ra-guard-policy</t>
  </si>
  <si>
    <t>aruba-nd-snooping-interface:nd-snooping-interface.profile.nd-snooping.ra-guard-policy</t>
  </si>
  <si>
    <t>management-user-groups.user-group.inherit-group</t>
  </si>
  <si>
    <t>aruba-management-user-group:management-user-groups.user-group.inherit-group</t>
  </si>
  <si>
    <t>inherit_group; user_group.inherit_group</t>
  </si>
  <si>
    <t>mka.policy.cak-info.cak</t>
  </si>
  <si>
    <t>aruba-mka:mka.policy.cak-info.cak</t>
  </si>
  <si>
    <t>bgp.profile.router.peer-group.remove-private-as</t>
  </si>
  <si>
    <t>aruba-bgp:bgp.profile.router.peer-group.remove-private-as</t>
  </si>
  <si>
    <t>nae-lite.profile.conditions.count</t>
  </si>
  <si>
    <t>aruba-nae-lite:nae-lite.profile.conditions.count</t>
  </si>
  <si>
    <t>qos-global.profile.cos-map.name</t>
  </si>
  <si>
    <t>aruba-qos-global:qos-global.profile.cos-map.name</t>
  </si>
  <si>
    <t>erps.profile.ring.meg-level</t>
  </si>
  <si>
    <t>aruba-erps:erps.profile.ring.meg-level</t>
  </si>
  <si>
    <t>ospfv2.profile.routers.areas.ether-interfaces.ciphertext-password</t>
  </si>
  <si>
    <t>aruba-ospfv2:ospfv2.profile.routers.areas.ether-interfaces.ciphertext-password</t>
  </si>
  <si>
    <t>ospfv2.profile.routers.areas.ether-interfaces.password-type</t>
  </si>
  <si>
    <t>aruba-ospfv2:ospfv2.profile.routers.areas.ether-interfaces.password-type</t>
  </si>
  <si>
    <t>profile.routers.areas.ether_interfaces.password_type; routers.areas.ether_interfaces.password_type</t>
  </si>
  <si>
    <t>ospfv2.profile.routers.areas.ether-interfaces.retransmit-interval</t>
  </si>
  <si>
    <t>aruba-ospfv2:ospfv2.profile.routers.areas.ether-interfaces.retransmit-interval</t>
  </si>
  <si>
    <t>ospfv2.profile.routers.areas.lag-interfaces.authentication</t>
  </si>
  <si>
    <t>aruba-ospfv2:ospfv2.profile.routers.areas.lag-interfaces.authentication</t>
  </si>
  <si>
    <t>profile.routers.areas.lag_interfaces.authentication; routers.areas.lag_interfaces.authentication</t>
  </si>
  <si>
    <t>ospfv2.profile.routers.areas.sub-interfaces.authentication</t>
  </si>
  <si>
    <t>aruba-ospfv2:ospfv2.profile.routers.areas.sub-interfaces.authentication</t>
  </si>
  <si>
    <t>profile.routers.areas.ether_interfaces.authentication; profile.routers.areas.lag_interfaces.authentication; profile.routers.areas.loopback_interfaces.authentication; profile.routers.areas.svi_interfaces.authentication; routers.areas.ether_interfaces.authentication; routers.areas.lag_interfaces.authentication; routers.areas.loopback_interfaces.authentication; routers.areas.svi_interfaces.authentication</t>
  </si>
  <si>
    <t>ospfv2.profile.routers.areas.sub-interfaces.cost</t>
  </si>
  <si>
    <t>aruba-ospfv2:ospfv2.profile.routers.areas.sub-interfaces.cost</t>
  </si>
  <si>
    <t>profile.routers.areas.ether_interfaces.cost; profile.routers.areas.lag_interfaces.cost; profile.routers.areas.loopback_interfaces.cost; profile.routers.areas.svi_interfaces.cost; routers.areas.ether_interfaces.cost; routers.areas.lag_interfaces.cost; routers.areas.loopback_interfaces.cost; routers.areas.svi_interfaces.cost</t>
  </si>
  <si>
    <t>ospfv2.profile.routers.areas.sub-interfaces.dead-interval</t>
  </si>
  <si>
    <t>aruba-ospfv2:ospfv2.profile.routers.areas.sub-interfaces.dead-interval</t>
  </si>
  <si>
    <t>ospfv2.profile.routers.areas.sub-interfaces.hello-interval</t>
  </si>
  <si>
    <t>aruba-ospfv2:ospfv2.profile.routers.areas.sub-interfaces.hello-interval</t>
  </si>
  <si>
    <t>ospfv2.profile.routers.areas.sub-interfaces.md-cipherpassword</t>
  </si>
  <si>
    <t>aruba-ospfv2:ospfv2.profile.routers.areas.sub-interfaces.md-cipherpassword</t>
  </si>
  <si>
    <t>ospfv2.profile.routers.areas.sub-interfaces.md-key-id</t>
  </si>
  <si>
    <t>aruba-ospfv2:ospfv2.profile.routers.areas.sub-interfaces.md-key-id</t>
  </si>
  <si>
    <t>profile.routers.areas.ether_interfaces.md_key_id; profile.routers.areas.lag_interfaces.md_key_id; profile.routers.areas.loopback_interfaces.md_key_id; profile.routers.areas.svi_interfaces.md_key_id; routers.areas.ether_interfaces.md_key_id; routers.areas.lag_interfaces.md_key_id; routers.areas.loopback_interfaces.md_key_id; routers.areas.svi_interfaces.md_key_id</t>
  </si>
  <si>
    <t>ospfv2.profile.routers.areas.sub-interfaces.md-password-type</t>
  </si>
  <si>
    <t>aruba-ospfv2:ospfv2.profile.routers.areas.sub-interfaces.md-password-type</t>
  </si>
  <si>
    <t>profile.routers.areas.ether_interfaces.md_password_type; profile.routers.areas.lag_interfaces.md_password_type; profile.routers.areas.loopback_interfaces.md_password_type; profile.routers.areas.svi_interfaces.md_password_type; routers.areas.ether_interfaces.md_password_type; routers.areas.lag_interfaces.md_password_type; routers.areas.loopback_interfaces.md_password_type; routers.areas.svi_interfaces.md_password_type</t>
  </si>
  <si>
    <t>ospfv2.profile.routers.areas.svi-interfaces.retransmit-interval</t>
  </si>
  <si>
    <t>aruba-ospfv2:ospfv2.profile.routers.areas.svi-interfaces.retransmit-interval</t>
  </si>
  <si>
    <t>ospfv2.profile.routers.distance.external</t>
  </si>
  <si>
    <t>aruba-ospfv2:ospfv2.profile.routers.distance.external</t>
  </si>
  <si>
    <t>ospfv2.profile.routers.distance.inter-area</t>
  </si>
  <si>
    <t>aruba-ospfv2:ospfv2.profile.routers.distance.inter-area</t>
  </si>
  <si>
    <t>ospfv2.profile.routers.distance.intra-area</t>
  </si>
  <si>
    <t>aruba-ospfv2:ospfv2.profile.routers.distance.intra-area</t>
  </si>
  <si>
    <t>ospfv2.profile.routers.graceful-restart-cfg.ignore-lost-interface</t>
  </si>
  <si>
    <t>aruba-ospfv2:ospfv2.profile.routers.graceful-restart-cfg.ignore-lost-interface</t>
  </si>
  <si>
    <t>ospfv2.profile.routers.timers.lsa-arrival</t>
  </si>
  <si>
    <t>aruba-ospfv2:ospfv2.profile.routers.timers.lsa-arrival</t>
  </si>
  <si>
    <t>ospfv2.profile.routers.timers.lsa-throttle.hold-time</t>
  </si>
  <si>
    <t>aruba-ospfv2:ospfv2.profile.routers.timers.lsa-throttle.hold-time</t>
  </si>
  <si>
    <t>ospfv2.profile.routers.timers.lsa-throttle.max-wait-time</t>
  </si>
  <si>
    <t>aruba-ospfv2:ospfv2.profile.routers.timers.lsa-throttle.max-wait-time</t>
  </si>
  <si>
    <t>ospfv2.profile.routers.timers.lsa-throttle.start-time</t>
  </si>
  <si>
    <t>aruba-ospfv2:ospfv2.profile.routers.timers.lsa-throttle.start-time</t>
  </si>
  <si>
    <t>ospfv3.profile.routers.areas.ether-interfaces.network</t>
  </si>
  <si>
    <t>aruba-ospfv3:ospfv3.profile.routers.areas.ether-interfaces.network</t>
  </si>
  <si>
    <t>ospfv3.profile.routers.max-metric.router-lsa</t>
  </si>
  <si>
    <t>aruba-ospfv3:ospfv3.profile.routers.max-metric.router-lsa</t>
  </si>
  <si>
    <t>ip-routing.profile.ip-ecmp-params.ip-ecmp-hash-params.enable-lb-src-ip</t>
  </si>
  <si>
    <t>aruba-ip-routing:ip-routing.profile.ip-ecmp-params.ip-ecmp-hash-params.enable-lb-src-ip</t>
  </si>
  <si>
    <t>pim-router.profile.router.redistribute-static</t>
  </si>
  <si>
    <t>aruba-pim:pim-router.profile.router.redistribute-static</t>
  </si>
  <si>
    <t>router.redistribute_static</t>
  </si>
  <si>
    <t>pim-router.profile.router.register-policy</t>
  </si>
  <si>
    <t>aruba-pim:pim-router.profile.router.register-policy</t>
  </si>
  <si>
    <t>router.register_policy</t>
  </si>
  <si>
    <t>pim-router.profile.router.static-rp-policy.override-enable</t>
  </si>
  <si>
    <t>aruba-pim:pim-router.profile.router.static-rp-policy.override-enable</t>
  </si>
  <si>
    <t>router.static_rp_policy.override_enable</t>
  </si>
  <si>
    <t>ospfv2.profile.routers.areas.sub-interfaces.bfd</t>
  </si>
  <si>
    <t>aruba-ospfv2:ospfv2.profile.routers.areas.sub-interfaces.bfd</t>
  </si>
  <si>
    <t>profile.routers.areas.ether_interfaces.bfd; profile.routers.areas.lag_interfaces.bfd; profile.routers.areas.loopback_interfaces.bfd; profile.routers.areas.svi_interfaces.bfd; profile.routers.bfd; routers.areas.ether_interfaces.bfd; routers.areas.lag_interfaces.bfd; routers.areas.loopback_interfaces.bfd; routers.areas.svi_interfaces.bfd; routers.bfd</t>
  </si>
  <si>
    <t>ip-icmp-tcp.profile.ip-icmp.throttle</t>
  </si>
  <si>
    <t>aruba-ip-icmp-tcp:ip-icmp-tcp.profile.ip-icmp.throttle</t>
  </si>
  <si>
    <t>erps.profile.ring.guard-interval</t>
  </si>
  <si>
    <t>aruba-erps:erps.profile.ring.guard-interval</t>
  </si>
  <si>
    <t>erps.profile.ring.hold-off-interval</t>
  </si>
  <si>
    <t>aruba-erps:erps.profile.ring.hold-off-interval</t>
  </si>
  <si>
    <t>erps.profile.ring.transmission-interval</t>
  </si>
  <si>
    <t>aruba-erps:erps.profile.ring.transmission-interval</t>
  </si>
  <si>
    <t>vxlan-tunnel.profile.loop-protect-vlans</t>
  </si>
  <si>
    <t>aruba-interface-vxlan-tunnel:vxlan-tunnel.profile.loop-protect-vlans</t>
  </si>
  <si>
    <t>loop_protect_vlans; profile.loop_protect_vlans</t>
  </si>
  <si>
    <t>vxlan.profile.loop-protect-vlans</t>
  </si>
  <si>
    <t>aruba-interface-vxlan:vxlan.profile.loop-protect-vlans</t>
  </si>
  <si>
    <t>vlan-interfaces.interface.ipv6-neighbor-discovery.router-advertisement.prefixes.prefix-option.advertise</t>
  </si>
  <si>
    <t>aruba-interface-vlan:vlan-interfaces.interface.ipv6-neighbor-discovery.router-advertisement.prefixes.prefix-option.advertise</t>
  </si>
  <si>
    <t>ip-routing.profile.ip-ecmp-params.ip-ecmp-hash-params.enable-lb-dst-port</t>
  </si>
  <si>
    <t>aruba-ip-routing:ip-routing.profile.ip-ecmp-params.ip-ecmp-hash-params.enable-lb-dst-port</t>
  </si>
  <si>
    <t>ospfv3.profile.routers.graceful-restart-cfg.restart-interval</t>
  </si>
  <si>
    <t>aruba-ospfv3:ospfv3.profile.routers.graceful-restart-cfg.restart-interval</t>
  </si>
  <si>
    <t>logging.profile.notification-threshold.auth-log</t>
  </si>
  <si>
    <t>aruba-logging:logging.profile.notification-threshold.auth-log</t>
  </si>
  <si>
    <t>logging.profile.notification-threshold.commands-log</t>
  </si>
  <si>
    <t>aruba-logging:logging.profile.notification-threshold.commands-log</t>
  </si>
  <si>
    <t>logging.profile.notification-threshold.https-server-log</t>
  </si>
  <si>
    <t>aruba-logging:logging.profile.notification-threshold.https-server-log</t>
  </si>
  <si>
    <t>sw-port-profiles.profile.lag.qos-lag.schedule-profile</t>
  </si>
  <si>
    <t>aruba-sw-port-profile:sw-port-profiles.profile.lag.qos-lag.schedule-profile</t>
  </si>
  <si>
    <t>vxlan.profile.loop-protect</t>
  </si>
  <si>
    <t>aruba-interface-vxlan:vxlan.profile.loop-protect</t>
  </si>
  <si>
    <t>ospfv2.profile.routers.areas.ether-interfaces.authentication-key-id</t>
  </si>
  <si>
    <t>aruba-ospfv2:ospfv2.profile.routers.areas.ether-interfaces.authentication-key-id</t>
  </si>
  <si>
    <t>profile.routers.areas.ether_interfaces.authentication_key_id; routers.areas.ether_interfaces.authentication_key_id</t>
  </si>
  <si>
    <t>ospfv2.profile.routers.areas.ether-interfaces.sha-cipher-password</t>
  </si>
  <si>
    <t>aruba-ospfv2:ospfv2.profile.routers.areas.ether-interfaces.sha-cipher-password</t>
  </si>
  <si>
    <t>ospfv2.profile.routers.areas.ether-interfaces.sha-password-type</t>
  </si>
  <si>
    <t>aruba-ospfv2:ospfv2.profile.routers.areas.ether-interfaces.sha-password-type</t>
  </si>
  <si>
    <t>profile.routers.areas.ether_interfaces.sha_password_type; routers.areas.ether_interfaces.sha_password_type</t>
  </si>
  <si>
    <t>ospfv3.profile.routers.bfd-enable</t>
  </si>
  <si>
    <t>aruba-ospfv3:ospfv3.profile.routers.bfd-enable</t>
  </si>
  <si>
    <t>profile.routers.bfd_enable; routers.bfd_enable</t>
  </si>
  <si>
    <t>rip.profile.router.maximum-paths</t>
  </si>
  <si>
    <t>aruba-rip:rip.profile.router.maximum-paths</t>
  </si>
  <si>
    <t>sw-port-profiles.profile.mvrp.enable</t>
  </si>
  <si>
    <t>aruba-sw-port-profile:sw-port-profiles.profile.mvrp.enable</t>
  </si>
  <si>
    <t>auth-server-global-config.profile.dynamic-authorization-port</t>
  </si>
  <si>
    <t>aruba-auth-server-global:auth-server-global-config.profile.dynamic-authorization-port</t>
  </si>
  <si>
    <t>dynamic_authorization_port; profile.dynamic_authorization_port</t>
  </si>
  <si>
    <t>bgp.profile.router.peer-group.enabled</t>
  </si>
  <si>
    <t>aruba-bgp:bgp.profile.router.peer-group.enabled</t>
  </si>
  <si>
    <t>profile.router.peer_group.enabled; router.peer_group.enabled</t>
  </si>
  <si>
    <t>erps.profile.ring.sub-ring</t>
  </si>
  <si>
    <t>aruba-erps:erps.profile.ring.sub-ring</t>
  </si>
  <si>
    <t>vlan-interfaces.interface.igmp.router-alert-check</t>
  </si>
  <si>
    <t>aruba-interface-vlan:vlan-interfaces.interface.igmp.router-alert-check</t>
  </si>
  <si>
    <t>ipsla.profile.source-sessions.source.port</t>
  </si>
  <si>
    <t>aruba-ipsla:ipsla.profile.source-sessions.source.port</t>
  </si>
  <si>
    <t>macsec.policy.bypass-list</t>
  </si>
  <si>
    <t>aruba-macsec:macsec.policy.bypass-list</t>
  </si>
  <si>
    <t>macsec.policy.clear-tag-mode</t>
  </si>
  <si>
    <t>aruba-macsec:macsec.policy.clear-tag-mode</t>
  </si>
  <si>
    <t>mka.policy.eapol-dot1q-tagged</t>
  </si>
  <si>
    <t>aruba-mka:mka.policy.eapol-dot1q-tagged</t>
  </si>
  <si>
    <t>static-route.profile.ipv4.interface.tunnel</t>
  </si>
  <si>
    <t>aruba-static-route:static-route.profile.ipv4.interface.tunnel</t>
  </si>
  <si>
    <t>route-maps.route-map.route-map-entry.match-community-list.exact-match</t>
  </si>
  <si>
    <t>aruba-routemap:route-maps.route-map.route-map-entry.match-community-list.exact-match</t>
  </si>
  <si>
    <t>route-maps.route-map.route-map-entry.match-ethernet-interface</t>
  </si>
  <si>
    <t>aruba-routemap:route-maps.route-map.route-map-entry.match-ethernet-interface</t>
  </si>
  <si>
    <t>route-maps.route-map.route-map-entry.match-origin</t>
  </si>
  <si>
    <t>aruba-routemap:route-maps.route-map.route-map-entry.match-origin</t>
  </si>
  <si>
    <t>route_map.route_map_entry.match_origin; route_map_entry.match_origin</t>
  </si>
  <si>
    <t>route-maps.route-map.route-map-entry.set-extended-community.route-target</t>
  </si>
  <si>
    <t>aruba-routemap:route-maps.route-map.route-map-entry.set-extended-community.route-target</t>
  </si>
  <si>
    <t>route_map.route_map_entry.set_extended_community.route_target; route_map_entry.set_extended_community.route_target</t>
  </si>
  <si>
    <t>bgp.profile.router.peer-group.afi-safi.ipv4-unicast.default-originate.default-originate-enable</t>
  </si>
  <si>
    <t>aruba-bgp:bgp.profile.router.peer-group.afi-safi.ipv4-unicast.default-originate.default-originate-enable</t>
  </si>
  <si>
    <t>profile.router.peer_group.afi_safi.ipv4_unicast.default_originate.default_originate_enable; router.peer_group.afi_safi.ipv4_unicast.default_originate.default_originate_enable</t>
  </si>
  <si>
    <t>erps.profile.ring.parent-ring</t>
  </si>
  <si>
    <t>aruba-erps:erps.profile.ring.parent-ring</t>
  </si>
  <si>
    <t>ethernet-interfaces.interface.ip-source-lockdown.ipv6</t>
  </si>
  <si>
    <t>aruba-interface-ethernet:ethernet-interfaces.interface.ip-source-lockdown.ipv6</t>
  </si>
  <si>
    <t>interface.ip_source_lockdown.ipv6; ip_source_lockdown.ipv6</t>
  </si>
  <si>
    <t>ethernet-interfaces.interface.ipv6-neighbor-discovery.dad-attempts</t>
  </si>
  <si>
    <t>aruba-interface-ethernet:ethernet-interfaces.interface.ipv6-neighbor-discovery.dad-attempts</t>
  </si>
  <si>
    <t>ethernet-interfaces.interface.ipv6-neighbor-discovery.router-advertisement.preference</t>
  </si>
  <si>
    <t>aruba-interface-ethernet:ethernet-interfaces.interface.ipv6-neighbor-discovery.router-advertisement.preference</t>
  </si>
  <si>
    <t>ethernet-interfaces.interface.lldp.tlv.civic-addr.ca-pair.ca-type</t>
  </si>
  <si>
    <t>aruba-interface-ethernet:ethernet-interfaces.interface.lldp.tlv.civic-addr.ca-pair.ca-type</t>
  </si>
  <si>
    <t>ethernet-interfaces.interface.lldp.tlv.civic-addr.ca-pair.ca-value</t>
  </si>
  <si>
    <t>aruba-interface-ethernet:ethernet-interfaces.interface.lldp.tlv.civic-addr.ca-pair.ca-value</t>
  </si>
  <si>
    <t>ethernet-interfaces.interface.lldp.tlv.civic-addr.country-code</t>
  </si>
  <si>
    <t>aruba-interface-ethernet:ethernet-interfaces.interface.lldp.tlv.civic-addr.country-code</t>
  </si>
  <si>
    <t>ethernet-interfaces.interface.lldp.tlv.civic-addr.what</t>
  </si>
  <si>
    <t>aruba-interface-ethernet:ethernet-interfaces.interface.lldp.tlv.civic-addr.what</t>
  </si>
  <si>
    <t>ethernet-interfaces.interface.lldp.tlv.dot3tlv.mfs</t>
  </si>
  <si>
    <t>aruba-interface-ethernet:ethernet-interfaces.interface.lldp.tlv.dot3tlv.mfs</t>
  </si>
  <si>
    <t>loopback-interfaces.interface.ipv4-config.addl-ipv4.addl-address</t>
  </si>
  <si>
    <t>aruba-interface-loopback:loopback-interfaces.interface.ipv4-config.addl-ipv4.addl-address</t>
  </si>
  <si>
    <t>interface.ipv4_config.addl_ipv4.addl_address; ipv4_config.addl_ipv4.addl_address</t>
  </si>
  <si>
    <t>loopback-interfaces.interface.ipv4-config.addl-ipv4.addl-prefix-len</t>
  </si>
  <si>
    <t>aruba-interface-loopback:loopback-interfaces.interface.ipv4-config.addl-ipv4.addl-prefix-len</t>
  </si>
  <si>
    <t>interface.ipv4_config.addl_ipv4.addl_prefix_len; ipv4_config.addl_ipv4.addl_prefix_len</t>
  </si>
  <si>
    <t>portchannels.interface.igmp.enable</t>
  </si>
  <si>
    <t>aruba-interface-portchannel:portchannels.interface.igmp.enable</t>
  </si>
  <si>
    <t>portchannels.interface.stp.rpvst.cost</t>
  </si>
  <si>
    <t>aruba-interface-portchannel:portchannels.interface.stp.rpvst.cost</t>
  </si>
  <si>
    <t>portchannels.interface.stp.rpvst.priority</t>
  </si>
  <si>
    <t>aruba-interface-portchannel:portchannels.interface.stp.rpvst.priority</t>
  </si>
  <si>
    <t>vlan-interfaces.interface.pim-sparse.hello-delay</t>
  </si>
  <si>
    <t>aruba-interface-vlan:vlan-interfaces.interface.pim-sparse.hello-delay</t>
  </si>
  <si>
    <t>vxlan-tunnel.profile.mac-notify-traps</t>
  </si>
  <si>
    <t>aruba-interface-vxlan-tunnel:vxlan-tunnel.profile.mac-notify-traps</t>
  </si>
  <si>
    <t>mac_notify_traps; profile.mac_notify_traps</t>
  </si>
  <si>
    <t>vxlan.profile.mac-notify-traps</t>
  </si>
  <si>
    <t>aruba-interface-vxlan:vxlan.profile.mac-notify-traps</t>
  </si>
  <si>
    <t>ipsla.profile.source-sessions.source.interface-ethernet</t>
  </si>
  <si>
    <t>aruba-ipsla:ipsla.profile.source-sessions.source.interface-ethernet</t>
  </si>
  <si>
    <t>keychains.keychain.keys.recv-id</t>
  </si>
  <si>
    <t>aruba-keychain:keychains.keychain.keys.recv-id</t>
  </si>
  <si>
    <t>keychains.keychain.keys.send-id</t>
  </si>
  <si>
    <t>aruba-keychain:keychains.keychain.keys.send-id</t>
  </si>
  <si>
    <t>static-route.profile.ipv6.reject</t>
  </si>
  <si>
    <t>aruba-static-route:static-route.profile.ipv6.reject</t>
  </si>
  <si>
    <t>macsec.policy.replay-protect-enable</t>
  </si>
  <si>
    <t>aruba-macsec:macsec.policy.replay-protect-enable</t>
  </si>
  <si>
    <t>stp.profile.rpvst.hello-time</t>
  </si>
  <si>
    <t>aruba-stp:stp.profile.rpvst.hello-time</t>
  </si>
  <si>
    <t>profile.rpvst.hello_time; rpvst.hello_time</t>
  </si>
  <si>
    <t>multicast-global.profile.l3vni-source-ipv4</t>
  </si>
  <si>
    <t>aruba-multicast:multicast-global.profile.l3vni-source-ipv4</t>
  </si>
  <si>
    <t>l3vni_source_ipv4; profile.l3vni_source_ipv4</t>
  </si>
  <si>
    <t>pim-router.profile.router.candidate-rp.holdtime</t>
  </si>
  <si>
    <t>aruba-pim:pim-router.profile.router.candidate-rp.holdtime</t>
  </si>
  <si>
    <t>router.candidate_rp.holdtime</t>
  </si>
  <si>
    <t>qos-schedules.profile.sched-entries.burst</t>
  </si>
  <si>
    <t>aruba-qos-schedule:qos-schedules.profile.sched-entries.burst</t>
  </si>
  <si>
    <t>qos-thresholds.profile.queue.ecn.max-threshold-kbytes</t>
  </si>
  <si>
    <t>aruba-qos-threshold-profile:qos-thresholds.profile.queue.ecn.max-threshold-kbytes</t>
  </si>
  <si>
    <t>qos-thresholds.profile.queue.ecn.min-threshold-kbytes</t>
  </si>
  <si>
    <t>aruba-qos-threshold-profile:qos-thresholds.profile.queue.ecn.min-threshold-kbytes</t>
  </si>
  <si>
    <t>qos-thresholds.profile.queue.ecn.threshold-kbytes</t>
  </si>
  <si>
    <t>aruba-qos-threshold-profile:qos-thresholds.profile.queue.ecn.threshold-kbytes</t>
  </si>
  <si>
    <t>rip.profile.router.distance</t>
  </si>
  <si>
    <t>aruba-rip:rip.profile.router.distance</t>
  </si>
  <si>
    <t>sw-port-profiles.profile.igmp-snooping-eth.fast-leave-vlan</t>
  </si>
  <si>
    <t>aruba-sw-port-profile:sw-port-profiles.profile.igmp-snooping-eth.fast-leave-vlan</t>
  </si>
  <si>
    <t>sw-port-profiles.profile.igmp-snooping-eth.forced-fast-leave-vlan</t>
  </si>
  <si>
    <t>aruba-sw-port-profile:sw-port-profiles.profile.igmp-snooping-eth.forced-fast-leave-vlan</t>
  </si>
  <si>
    <t>route-maps.route-map.route-map-entry.match-ipv4-nexthop.ipv4-nexthop-prefix-list</t>
  </si>
  <si>
    <t>aruba-routemap:route-maps.route-map.route-map-entry.match-ipv4-nexthop.ipv4-nexthop-prefix-list</t>
  </si>
  <si>
    <t>route_map.route_map_entry.match_ipv4_nexthop.ipv4_nexthop_prefix_list; route_map_entry.match_ipv4_nexthop.ipv4_nexthop_prefix_list</t>
  </si>
  <si>
    <t>sw-port-profiles.profile.igmp.last-member-query-interval</t>
  </si>
  <si>
    <t>aruba-sw-port-profile:sw-port-profiles.profile.igmp.last-member-query-interval</t>
  </si>
  <si>
    <t>sw-port-profiles.profile.igmp.robustness</t>
  </si>
  <si>
    <t>aruba-sw-port-profile:sw-port-profiles.profile.igmp.robustness</t>
  </si>
  <si>
    <t>sw-port-profiles.profile.ipv6-relay.ucast-server</t>
  </si>
  <si>
    <t>aruba-sw-port-profile:sw-port-profiles.profile.ipv6-relay.ucast-server</t>
  </si>
  <si>
    <t>static-route.profile.ipv6.interface.nexthop-interface-type</t>
  </si>
  <si>
    <t>aruba-static-route:static-route.profile.ipv6.interface.nexthop-interface-type</t>
  </si>
  <si>
    <t>ipv6.interface.nexthop_interface_type; profile.ipv6.interface.nexthop_interface_type</t>
  </si>
  <si>
    <t>static-route.profile.ipv6.interface.sub-interface</t>
  </si>
  <si>
    <t>aruba-static-route:static-route.profile.ipv6.interface.sub-interface</t>
  </si>
  <si>
    <t>vrfs.vrf.afi-safi-configs.export-route-map</t>
  </si>
  <si>
    <t>aruba-vrf:vrfs.vrf.afi-safi-configs.export-route-map</t>
  </si>
  <si>
    <t>afi_safi_configs.export_route_map; vrf.afi_safi_configs.export_route_map</t>
  </si>
  <si>
    <t>vrfs.vrf.l3-route-vrf.recursive-lookup-ipv4</t>
  </si>
  <si>
    <t>aruba-vrf:vrfs.vrf.l3-route-vrf.recursive-lookup-ipv4</t>
  </si>
  <si>
    <t>captive-portal.profile.url-hash-key-ciphertext-value</t>
  </si>
  <si>
    <t>aruba-aaa-captive-portal:captive-portal.profile.url-hash-key-ciphertext-value</t>
  </si>
  <si>
    <t>captive-portal.profile.url-hash-key-value</t>
  </si>
  <si>
    <t>aruba-aaa-captive-portal:captive-portal.profile.url-hash-key-value</t>
  </si>
  <si>
    <t>profile.url_hash_key_value; url_hash_key_value</t>
  </si>
  <si>
    <t>bgp.profile.router.neighbor.transport.local-lag-interface</t>
  </si>
  <si>
    <t>aruba-bgp:bgp.profile.router.neighbor.transport.local-lag-interface</t>
  </si>
  <si>
    <t>profile.router.neighbor.transport.local_lag_interface; router.neighbor.transport.local_lag_interface</t>
  </si>
  <si>
    <t>certificate-rcp.ta-profile.ocsp.secondary-url</t>
  </si>
  <si>
    <t>aruba-certificate-rcp:certificate-rcp.ta-profile.ocsp.secondary-url</t>
  </si>
  <si>
    <t>container-networks.profile.port-mapping.tcp.container-port</t>
  </si>
  <si>
    <t>aruba-container-network:container-networks.profile.port-mapping.tcp.container-port</t>
  </si>
  <si>
    <t>container-networks.profile.port-mapping.tcp.host-port</t>
  </si>
  <si>
    <t>aruba-container-network:container-networks.profile.port-mapping.tcp.host-port</t>
  </si>
  <si>
    <t>container-networks.profile.preferred</t>
  </si>
  <si>
    <t>aruba-container-network:container-networks.profile.preferred</t>
  </si>
  <si>
    <t>containers.instance.allow-unsigned-image</t>
  </si>
  <si>
    <t>aruba-container:containers.instance.allow-unsigned-image</t>
  </si>
  <si>
    <t>containers.instance.enable</t>
  </si>
  <si>
    <t>aruba-container:containers.instance.enable</t>
  </si>
  <si>
    <t>containers.instance.encrypted-environment-variables.encrypted-env-type</t>
  </si>
  <si>
    <t>aruba-container:containers.instance.encrypted-environment-variables.encrypted-env-type</t>
  </si>
  <si>
    <t>containers.instance.encrypted-environment-variables.value-ciphertext</t>
  </si>
  <si>
    <t>aruba-container:containers.instance.encrypted-environment-variables.value-ciphertext</t>
  </si>
  <si>
    <t>containers.instance.encrypted-environment-variables.variable</t>
  </si>
  <si>
    <t>aruba-container:containers.instance.encrypted-environment-variables.variable</t>
  </si>
  <si>
    <t>containers.instance.environment-variables.value</t>
  </si>
  <si>
    <t>aruba-container:containers.instance.environment-variables.value</t>
  </si>
  <si>
    <t>containers.instance.environment-variables.variable</t>
  </si>
  <si>
    <t>aruba-container:containers.instance.environment-variables.variable</t>
  </si>
  <si>
    <t>containers.instance.runtime-constraints.cpu</t>
  </si>
  <si>
    <t>aruba-container:containers.instance.runtime-constraints.cpu</t>
  </si>
  <si>
    <t>containers.instance.runtime-constraints.memory</t>
  </si>
  <si>
    <t>aruba-container:containers.instance.runtime-constraints.memory</t>
  </si>
  <si>
    <t>containers.instance.vrfs</t>
  </si>
  <si>
    <t>aruba-container:containers.instance.vrfs</t>
  </si>
  <si>
    <t>dhcp-pool.profile.ipv4-pool.bootfile-name</t>
  </si>
  <si>
    <t>aruba-dhcp-pool:dhcp-pool.profile.ipv4-pool.bootfile-name</t>
  </si>
  <si>
    <t>ipv4_pool.bootfile_name; profile.ipv4_pool.bootfile_name</t>
  </si>
  <si>
    <t>dhcp-pool.profile.ipv4-pool.tftp-server-name</t>
  </si>
  <si>
    <t>aruba-dhcp-pool:dhcp-pool.profile.ipv4-pool.tftp-server-name</t>
  </si>
  <si>
    <t>ipv4_pool.tftp_server_name; profile.ipv4_pool.tftp_server_name</t>
  </si>
  <si>
    <t>dsm.dsm-instance.uplink-to-uplink</t>
  </si>
  <si>
    <t>aruba-dsm:dsm.dsm-instance.uplink-to-uplink</t>
  </si>
  <si>
    <t>evpn.profile.evpn-global.vlan-aware-bundle.redistribute-host-route</t>
  </si>
  <si>
    <t>aruba-evpn:evpn.profile.evpn-global.vlan-aware-bundle.redistribute-host-route</t>
  </si>
  <si>
    <t>evpn_global.vlan_aware_bundle.redistribute_host_route; profile.evpn_global.vlan_aware_bundle.redistribute_host_route</t>
  </si>
  <si>
    <t>sw-port-profiles.profile.pfc-watchdog</t>
  </si>
  <si>
    <t>aruba-sw-port-profile:sw-port-profiles.profile.pfc-watchdog</t>
  </si>
  <si>
    <t>sw-port-profiles.profile.pim-sparse.bfd-enable</t>
  </si>
  <si>
    <t>aruba-sw-port-profile:sw-port-profiles.profile.pim-sparse.bfd-enable</t>
  </si>
  <si>
    <t>sw-port-profiles.profile.pim-sparse.hello-delay</t>
  </si>
  <si>
    <t>aruba-sw-port-profile:sw-port-profiles.profile.pim-sparse.hello-delay</t>
  </si>
  <si>
    <t>sw-port-profiles.profile.poe.pd-class-override</t>
  </si>
  <si>
    <t>aruba-sw-port-profile:sw-port-profiles.profile.poe.pd-class-override</t>
  </si>
  <si>
    <t>evpn.profile.evpn-global.vlan-aware-bundle.vlan-ethernet-tag.ethernet-tag</t>
  </si>
  <si>
    <t>aruba-evpn:evpn.profile.evpn-global.vlan-aware-bundle.vlan-ethernet-tag.ethernet-tag</t>
  </si>
  <si>
    <t>evpn_global.vlan_aware_bundle.vlan_ethernet_tag.ethernet_tag; profile.evpn_global.vlan_aware_bundle.vlan_ethernet_tag.ethernet_tag</t>
  </si>
  <si>
    <t>sw-port-profiles.profile.qos.icmp-rate-limit.bit-rate</t>
  </si>
  <si>
    <t>aruba-sw-port-profile:sw-port-profiles.profile.qos.icmp-rate-limit.bit-rate</t>
  </si>
  <si>
    <t>profile.qos.icmp_rate_limit.bit_rate; qos.icmp_rate_limit.bit_rate</t>
  </si>
  <si>
    <t>sw-port-profiles.profile.qos.unknown-unicast-rate-limit.packet-rate</t>
  </si>
  <si>
    <t>aruba-sw-port-profile:sw-port-profiles.profile.qos.unknown-unicast-rate-limit.packet-rate</t>
  </si>
  <si>
    <t>profile.qos.unknown_unicast_rate_limit.packet_rate; qos.unknown_unicast_rate_limit.packet_rate</t>
  </si>
  <si>
    <t>sw-port-profiles.profile.stp.mstp.instance-id</t>
  </si>
  <si>
    <t>aruba-sw-port-profile:sw-port-profiles.profile.stp.mstp.instance-id</t>
  </si>
  <si>
    <t>sw-port-profiles.profile.stp.mstp.priority</t>
  </si>
  <si>
    <t>aruba-sw-port-profile:sw-port-profiles.profile.stp.mstp.priority</t>
  </si>
  <si>
    <t>poe.priority; profile.poe.priority; profile.stp.priority; stp.priority</t>
  </si>
  <si>
    <t>ethernet-interfaces.interface.aaa.authentication.dot1x-auth.macsec.enable</t>
  </si>
  <si>
    <t>aruba-interface-ethernet:ethernet-interfaces.interface.aaa.authentication.dot1x-auth.macsec.enable</t>
  </si>
  <si>
    <t>ethernet-interfaces.interface.cable-length</t>
  </si>
  <si>
    <t>aruba-interface-ethernet:ethernet-interfaces.interface.cable-length</t>
  </si>
  <si>
    <t>ethernet-interfaces.interface.ipfix-flow-monitor-in.ipv6-monitor</t>
  </si>
  <si>
    <t>aruba-interface-ethernet:ethernet-interfaces.interface.ipfix-flow-monitor-in.ipv6-monitor</t>
  </si>
  <si>
    <t>ethernet-interfaces.interface.lossless-buffer-based-priority-flow-control.thresholds.headroom</t>
  </si>
  <si>
    <t>aruba-interface-ethernet:ethernet-interfaces.interface.lossless-buffer-based-priority-flow-control.thresholds.headroom</t>
  </si>
  <si>
    <t>ethernet-interfaces.interface.lossless-buffer-based-priority-flow-control.thresholds.priority</t>
  </si>
  <si>
    <t>aruba-interface-ethernet:ethernet-interfaces.interface.lossless-buffer-based-priority-flow-control.thresholds.priority</t>
  </si>
  <si>
    <t>ethernet-interfaces.interface.lossless-buffer-based-priority-flow-control.thresholds.xon-delta</t>
  </si>
  <si>
    <t>aruba-interface-ethernet:ethernet-interfaces.interface.lossless-buffer-based-priority-flow-control.thresholds.xon-delta</t>
  </si>
  <si>
    <t>ethernet-interfaces.interface.mvrp.forbidden-vlan-list</t>
  </si>
  <si>
    <t>aruba-interface-ethernet:ethernet-interfaces.interface.mvrp.forbidden-vlan-list</t>
  </si>
  <si>
    <t>portchannels.interface.ipfix-flow-monitor-in.ipv6-monitor</t>
  </si>
  <si>
    <t>aruba-interface-portchannel:portchannels.interface.ipfix-flow-monitor-in.ipv6-monitor</t>
  </si>
  <si>
    <t>portchannels.interface.pim-dense.enable</t>
  </si>
  <si>
    <t>aruba-interface-portchannel:portchannels.interface.pim-dense.enable</t>
  </si>
  <si>
    <t>switch-system.profile.aaa.cached-critical-role.persistent-storage-enable</t>
  </si>
  <si>
    <t>aruba-switch-system:switch-system.profile.aaa.cached-critical-role.persistent-storage-enable</t>
  </si>
  <si>
    <t>aaa.cached_critical_role.persistent_storage_enable; profile.aaa.cached_critical_role.persistent_storage_enable</t>
  </si>
  <si>
    <t>portchannels.interface.pim6-dense.enable</t>
  </si>
  <si>
    <t>aruba-interface-portchannel:portchannels.interface.pim6-dense.enable</t>
  </si>
  <si>
    <t>interface.pim6_dense.enable; pim6_dense.enable</t>
  </si>
  <si>
    <t>portchannels.interface.qos.cos</t>
  </si>
  <si>
    <t>aruba-interface-portchannel:portchannels.interface.qos.cos</t>
  </si>
  <si>
    <t>sub-interfaces.interface.igmp.enable</t>
  </si>
  <si>
    <t>aruba-interface-subinterface:sub-interfaces.interface.igmp.enable</t>
  </si>
  <si>
    <t>vlan-interfaces.interface.ipv6-neighbor-discovery.router-advertisement.default-prefix.preferred-lifetime</t>
  </si>
  <si>
    <t>aruba-interface-vlan:vlan-interfaces.interface.ipv6-neighbor-discovery.router-advertisement.default-prefix.preferred-lifetime</t>
  </si>
  <si>
    <t>vlan-interfaces.interface.ipv6-neighbor-discovery.router-advertisement.default-prefix.valid-lifetime</t>
  </si>
  <si>
    <t>aruba-interface-vlan:vlan-interfaces.interface.ipv6-neighbor-discovery.router-advertisement.default-prefix.valid-lifetime</t>
  </si>
  <si>
    <t>vlan-interfaces.interface.ipv6-neighbor-discovery.router-advertisement.ra-routes.lifetime</t>
  </si>
  <si>
    <t>aruba-interface-vlan:vlan-interfaces.interface.ipv6-neighbor-discovery.router-advertisement.ra-routes.lifetime</t>
  </si>
  <si>
    <t>vlan-interfaces.interface.ipv6-neighbor-discovery.router-advertisement.ra-routes.route</t>
  </si>
  <si>
    <t>aruba-interface-vlan:vlan-interfaces.interface.ipv6-neighbor-discovery.router-advertisement.ra-routes.route</t>
  </si>
  <si>
    <t>ipfix-flow-record.records.collect.egress-queue</t>
  </si>
  <si>
    <t>aruba-ipfix-flow-record:ipfix-flow-record.records.collect.egress-queue</t>
  </si>
  <si>
    <t>ipsla.profile.responder-sessions.responder-name</t>
  </si>
  <si>
    <t>aruba-ipsla:ipsla.profile.responder-sessions.responder-name</t>
  </si>
  <si>
    <t>ipsla.profile.responder-sessions.responder-port</t>
  </si>
  <si>
    <t>aruba-ipsla:ipsla.profile.responder-sessions.responder-port</t>
  </si>
  <si>
    <t>ipsla.profile.responder-sessions.responder-source.interface-vlan</t>
  </si>
  <si>
    <t>aruba-ipsla:ipsla.profile.responder-sessions.responder-source.interface-vlan</t>
  </si>
  <si>
    <t>ipsla.profile.responder-sessions.responder-type</t>
  </si>
  <si>
    <t>aruba-ipsla:ipsla.profile.responder-sessions.responder-type</t>
  </si>
  <si>
    <t>ipsla.profile.source-sessions.http.request-type</t>
  </si>
  <si>
    <t>aruba-ipsla:ipsla.profile.source-sessions.http.request-type</t>
  </si>
  <si>
    <t>ipsla.profile.source-sessions.http.url</t>
  </si>
  <si>
    <t>aruba-ipsla:ipsla.profile.source-sessions.http.url</t>
  </si>
  <si>
    <t>lldp.profile.transmit-delay</t>
  </si>
  <si>
    <t>aruba-lldp:lldp.profile.transmit-delay</t>
  </si>
  <si>
    <t>local-management.profile.ssh-server-global-configs.file-transfer</t>
  </si>
  <si>
    <t>aruba-local-management:local-management.profile.ssh-server-global-configs.file-transfer</t>
  </si>
  <si>
    <t>traffic-insight.instance.monitor.single-value-filter.application-id</t>
  </si>
  <si>
    <t>aruba-traffic-insight:traffic-insight.instance.monitor.single-value-filter.application-id</t>
  </si>
  <si>
    <t>logging.profile.local-file.rotation.target</t>
  </si>
  <si>
    <t>aruba-logging:logging.profile.local-file.rotation.target</t>
  </si>
  <si>
    <t>macsec.policy.include-sci-enable</t>
  </si>
  <si>
    <t>aruba-macsec:macsec.policy.include-sci-enable</t>
  </si>
  <si>
    <t>mirror-endpoint.profile.endpoints.source.vrf</t>
  </si>
  <si>
    <t>aruba-mirror-endpoint:mirror-endpoint.profile.endpoints.source.vrf</t>
  </si>
  <si>
    <t>multicast-global.profile.multi-fabric-border-ipv4</t>
  </si>
  <si>
    <t>aruba-multicast:multicast-global.profile.multi-fabric-border-ipv4</t>
  </si>
  <si>
    <t>multi_fabric_border_ipv4; profile.multi_fabric_border_ipv4</t>
  </si>
  <si>
    <t>multicast-global.profile.multipath-hash-ipv4</t>
  </si>
  <si>
    <t>aruba-multicast:multicast-global.profile.multipath-hash-ipv4</t>
  </si>
  <si>
    <t>multipath_hash_ipv4; profile.multipath_hash_ipv4</t>
  </si>
  <si>
    <t>nae-lite.profile.conditions.facility</t>
  </si>
  <si>
    <t>aruba-nae-lite:nae-lite.profile.conditions.facility</t>
  </si>
  <si>
    <t>nae-lite.profile.conditions.operand</t>
  </si>
  <si>
    <t>aruba-nae-lite:nae-lite.profile.conditions.operand</t>
  </si>
  <si>
    <t>nae-lite.profile.conditions.operator</t>
  </si>
  <si>
    <t>aruba-nae-lite:nae-lite.profile.conditions.operator</t>
  </si>
  <si>
    <t>nae-lite.profile.conditions.set-monitor</t>
  </si>
  <si>
    <t>aruba-nae-lite:nae-lite.profile.conditions.set-monitor</t>
  </si>
  <si>
    <t>nae-lite.profile.conditions.severity</t>
  </si>
  <si>
    <t>aruba-nae-lite:nae-lite.profile.conditions.severity</t>
  </si>
  <si>
    <t>nae-lite.profile.disable</t>
  </si>
  <si>
    <t>aruba-nae-lite:nae-lite.profile.disable</t>
  </si>
  <si>
    <t>nae-lite.profile.monitors.dur-unit</t>
  </si>
  <si>
    <t>aruba-nae-lite:nae-lite.profile.monitors.dur-unit</t>
  </si>
  <si>
    <t>nae-lite.profile.monitors.duration</t>
  </si>
  <si>
    <t>aruba-nae-lite:nae-lite.profile.monitors.duration</t>
  </si>
  <si>
    <t>nae-lite.profile.monitors.group-by</t>
  </si>
  <si>
    <t>aruba-nae-lite:nae-lite.profile.monitors.group-by</t>
  </si>
  <si>
    <t>nae-lite.profile.monitors.monitor-name</t>
  </si>
  <si>
    <t>aruba-nae-lite:nae-lite.profile.monitors.monitor-name</t>
  </si>
  <si>
    <t>nae-lite.profile.monitors.vsf-member</t>
  </si>
  <si>
    <t>aruba-nae-lite:nae-lite.profile.monitors.vsf-member</t>
  </si>
  <si>
    <t>nd-snooping-interface.profile.nd-snooping.max-bindings</t>
  </si>
  <si>
    <t>aruba-nd-snooping-interface:nd-snooping-interface.profile.nd-snooping.max-bindings</t>
  </si>
  <si>
    <t>ospfv3.profile.routers.areas.sub-interfaces.network</t>
  </si>
  <si>
    <t>aruba-ospfv3:ospfv3.profile.routers.areas.sub-interfaces.network</t>
  </si>
  <si>
    <t>ospfv3.profile.routers.areas.sub-interfaces.sub-interface-name</t>
  </si>
  <si>
    <t>aruba-ospfv3:ospfv3.profile.routers.areas.sub-interfaces.sub-interface-name</t>
  </si>
  <si>
    <t>ospfv3.profile.routers.trap-enable</t>
  </si>
  <si>
    <t>aruba-ospfv3:ospfv3.profile.routers.trap-enable</t>
  </si>
  <si>
    <t>pim-router.profile.router.candidate-rp-v6.group-prefixes</t>
  </si>
  <si>
    <t>aruba-pim:pim-router.profile.router.candidate-rp-v6.group-prefixes</t>
  </si>
  <si>
    <t>router.candidate_rp_v6.group_prefixes</t>
  </si>
  <si>
    <t>pim-router.profile.router.candidate-rp-v6.interface-type</t>
  </si>
  <si>
    <t>aruba-pim:pim-router.profile.router.candidate-rp-v6.interface-type</t>
  </si>
  <si>
    <t>router.candidate_rp_v6.interface_type</t>
  </si>
  <si>
    <t>pim-router.profile.router.candidate-rp-v6.loopback</t>
  </si>
  <si>
    <t>aruba-pim:pim-router.profile.router.candidate-rp-v6.loopback</t>
  </si>
  <si>
    <t>router.candidate_rp_v6.loopback</t>
  </si>
  <si>
    <t>ptp.profile.protocol-profiles.domain</t>
  </si>
  <si>
    <t>aruba-ptp:ptp.profile.protocol-profiles.domain</t>
  </si>
  <si>
    <t>rip.profile.router.ether-interfaces.address-family</t>
  </si>
  <si>
    <t>aruba-rip:rip.profile.router.ether-interfaces.address-family</t>
  </si>
  <si>
    <t>rip.profile.router.ether-interfaces.interface-name</t>
  </si>
  <si>
    <t>aruba-rip:rip.profile.router.ether-interfaces.interface-name</t>
  </si>
  <si>
    <t>rip.profile.router.ether-interfaces.interface-name-address-family</t>
  </si>
  <si>
    <t>aruba-rip:rip.profile.router.ether-interfaces.interface-name-address-family</t>
  </si>
  <si>
    <t>rip.profile.router.ether-interfaces.ip-address</t>
  </si>
  <si>
    <t>aruba-rip:rip.profile.router.ether-interfaces.ip-address</t>
  </si>
  <si>
    <t>rip.router.distance</t>
  </si>
  <si>
    <t>aruba-rip:rip.router.distance</t>
  </si>
  <si>
    <t>route-maps.route-map.route-map-entry.match-metric</t>
  </si>
  <si>
    <t>aruba-routemap:route-maps.route-map.route-map-entry.match-metric</t>
  </si>
  <si>
    <t>route_map.route_map_entry.match_metric; route_map_entry.match_metric</t>
  </si>
  <si>
    <t>layer2-vlan.l2-vlan.mac-access-list-out</t>
  </si>
  <si>
    <t>aruba-vlan:layer2-vlan.l2-vlan.mac-access-list-out</t>
  </si>
  <si>
    <t>static-route.profile.ipv6.tag</t>
  </si>
  <si>
    <t>aruba-static-route:static-route.profile.ipv6.tag</t>
  </si>
  <si>
    <t>stp.profile.rpvst.max-age</t>
  </si>
  <si>
    <t>aruba-stp:stp.profile.rpvst.max-age</t>
  </si>
  <si>
    <t>profile.rpvst.max_age; rpvst.max_age</t>
  </si>
  <si>
    <t>sw-port-profiles.profile.cable-length</t>
  </si>
  <si>
    <t>aruba-sw-port-profile:sw-port-profiles.profile.cable-length</t>
  </si>
  <si>
    <t>sw-port-profiles.profile.dhcpv4-snooping.max-bindings</t>
  </si>
  <si>
    <t>aruba-sw-port-profile:sw-port-profiles.profile.dhcpv4-snooping.max-bindings</t>
  </si>
  <si>
    <t>dhcpv4_snooping.max_bindings; profile.dhcpv4_snooping.max_bindings</t>
  </si>
  <si>
    <t>sw-port-profiles.profile.dhcpv6-snooping.trust</t>
  </si>
  <si>
    <t>aruba-sw-port-profile:sw-port-profiles.profile.dhcpv6-snooping.trust</t>
  </si>
  <si>
    <t>dhcpv6_snooping.trust; profile.dhcpv6_snooping.trust</t>
  </si>
  <si>
    <t>sw-port-profiles.profile.igmp-snooping-eth.forward-vlan</t>
  </si>
  <si>
    <t>aruba-sw-port-profile:sw-port-profiles.profile.igmp-snooping-eth.forward-vlan</t>
  </si>
  <si>
    <t>sw-port-profiles.profile.lag.igmp-snooping-lag.forward-vlan</t>
  </si>
  <si>
    <t>aruba-sw-port-profile:sw-port-profiles.profile.lag.igmp-snooping-lag.forward-vlan</t>
  </si>
  <si>
    <t>sw-port-profiles.profile.lag.qos-lag.broadcast-rate-limit.bit-rate</t>
  </si>
  <si>
    <t>aruba-sw-port-profile:sw-port-profiles.profile.lag.qos-lag.broadcast-rate-limit.bit-rate</t>
  </si>
  <si>
    <t>sw-port-profiles.profile.lag.qos-lag.cos</t>
  </si>
  <si>
    <t>aruba-sw-port-profile:sw-port-profiles.profile.lag.qos-lag.cos</t>
  </si>
  <si>
    <t>profile.qos.cos; qos.cos</t>
  </si>
  <si>
    <t>sw-port-profiles.profile.lag.qos-lag.icmp-rate-limit.icmp-traffic-type</t>
  </si>
  <si>
    <t>aruba-sw-port-profile:sw-port-profiles.profile.lag.qos-lag.icmp-rate-limit.icmp-traffic-type</t>
  </si>
  <si>
    <t>sw-port-profiles.profile.lag.qos-lag.icmp-rate-limit.percentage</t>
  </si>
  <si>
    <t>aruba-sw-port-profile:sw-port-profiles.profile.lag.qos-lag.icmp-rate-limit.percentage</t>
  </si>
  <si>
    <t>profile.qos.icmp_rate_limit.percentage; qos.icmp_rate_limit.percentage</t>
  </si>
  <si>
    <t>sw-port-profiles.profile.lag.qos-lag.icmp-rate-limit.rate-type</t>
  </si>
  <si>
    <t>aruba-sw-port-profile:sw-port-profiles.profile.lag.qos-lag.icmp-rate-limit.rate-type</t>
  </si>
  <si>
    <t>sw-port-profiles.profile.lag.qos-lag.unknown-unicast-rate-limit.bit-rate</t>
  </si>
  <si>
    <t>aruba-sw-port-profile:sw-port-profiles.profile.lag.qos-lag.unknown-unicast-rate-limit.bit-rate</t>
  </si>
  <si>
    <t>sw-port-profiles.profile.lag.qos-lag.unknown-unicast-rate-limit.percentage</t>
  </si>
  <si>
    <t>aruba-sw-port-profile:sw-port-profiles.profile.lag.qos-lag.unknown-unicast-rate-limit.percentage</t>
  </si>
  <si>
    <t>profile.qos.unknown_unicast_rate_limit.percentage; qos.unknown_unicast_rate_limit.percentage</t>
  </si>
  <si>
    <t>sw-port-profiles.profile.lossless-buffer-based-priority-flow-control.thresholds.headroom</t>
  </si>
  <si>
    <t>aruba-sw-port-profile:sw-port-profiles.profile.lossless-buffer-based-priority-flow-control.thresholds.headroom</t>
  </si>
  <si>
    <t>sw-port-profiles.profile.lossless-buffer-based-priority-flow-control.thresholds.priority</t>
  </si>
  <si>
    <t>aruba-sw-port-profile:sw-port-profiles.profile.lossless-buffer-based-priority-flow-control.thresholds.priority</t>
  </si>
  <si>
    <t>sw-port-profiles.profile.lossless-buffer-based-priority-flow-control.thresholds.xon-delta</t>
  </si>
  <si>
    <t>aruba-sw-port-profile:sw-port-profiles.profile.lossless-buffer-based-priority-flow-control.thresholds.xon-delta</t>
  </si>
  <si>
    <t>sw-port-profiles.profile.qos.cos</t>
  </si>
  <si>
    <t>aruba-sw-port-profile:sw-port-profiles.profile.qos.cos</t>
  </si>
  <si>
    <t>switch-chassis.chassis.line-modules.power-priority</t>
  </si>
  <si>
    <t>aruba-switch-chassis:switch-chassis.chassis.line-modules.power-priority</t>
  </si>
  <si>
    <t>switch-system.profile.icmp.throttle</t>
  </si>
  <si>
    <t>aruba-switch-system:switch-system.profile.icmp.throttle</t>
  </si>
  <si>
    <t>traffic-insight.instance.monitor.single-value-filter.source-port</t>
  </si>
  <si>
    <t>aruba-traffic-insight:traffic-insight.instance.monitor.single-value-filter.source-port</t>
  </si>
  <si>
    <t>vrrp.profile.virtual-router.advertise-interval</t>
  </si>
  <si>
    <t>aruba-vrrp-interface:vrrp.profile.virtual-router.advertise-interval</t>
  </si>
  <si>
    <t>profile.virtual_router.advertise_interval; virtual_router.advertise_interval</t>
  </si>
  <si>
    <t>ospfv2.profile.routers.areas.default-metric</t>
  </si>
  <si>
    <t>aruba-ospfv2:ospfv2.profile.routers.areas.default-metric</t>
  </si>
  <si>
    <t>profile.routers.areas.default_metric; routers.areas.default_metric</t>
  </si>
  <si>
    <t>ospfv2.profile.routers.areas.lag-interfaces.ciphertext-password</t>
  </si>
  <si>
    <t>aruba-ospfv2:ospfv2.profile.routers.areas.lag-interfaces.ciphertext-password</t>
  </si>
  <si>
    <t>ospfv2.profile.routers.areas.lag-interfaces.password-type</t>
  </si>
  <si>
    <t>aruba-ospfv2:ospfv2.profile.routers.areas.lag-interfaces.password-type</t>
  </si>
  <si>
    <t>profile.routers.areas.lag_interfaces.password_type; routers.areas.lag_interfaces.password_type</t>
  </si>
  <si>
    <t>ospfv2.profile.routers.areas.lag-interfaces.priority</t>
  </si>
  <si>
    <t>aruba-ospfv2:ospfv2.profile.routers.areas.lag-interfaces.priority</t>
  </si>
  <si>
    <t>profile.routers.areas.lag_interfaces.priority; routers.areas.lag_interfaces.priority</t>
  </si>
  <si>
    <t>ospfv2.profile.routers.areas.loopback-interfaces.priority</t>
  </si>
  <si>
    <t>aruba-ospfv2:ospfv2.profile.routers.areas.loopback-interfaces.priority</t>
  </si>
  <si>
    <t>profile.routers.areas.loopback_interfaces.priority; routers.areas.loopback_interfaces.priority</t>
  </si>
  <si>
    <t>ospfv2.profile.routers.areas.sub-interfaces.priority</t>
  </si>
  <si>
    <t>aruba-ospfv2:ospfv2.profile.routers.areas.sub-interfaces.priority</t>
  </si>
  <si>
    <t>profile.routers.areas.ether_interfaces.priority; profile.routers.areas.lag_interfaces.priority; profile.routers.areas.loopback_interfaces.priority; profile.routers.areas.svi_interfaces.priority; routers.areas.ether_interfaces.priority; routers.areas.lag_interfaces.priority; routers.areas.loopback_interfaces.priority; routers.areas.svi_interfaces.priority</t>
  </si>
  <si>
    <t>ospfv2.profile.routers.areas.tunnel-interfaces.passive</t>
  </si>
  <si>
    <t>aruba-ospfv2:ospfv2.profile.routers.areas.tunnel-interfaces.passive</t>
  </si>
  <si>
    <t>ospfv2.profile.routers.areas.tunnel-interfaces.priority</t>
  </si>
  <si>
    <t>aruba-ospfv2:ospfv2.profile.routers.areas.tunnel-interfaces.priority</t>
  </si>
  <si>
    <t>ospfv2.profile.routers.areas.tunnel-interfaces.tunnel-id</t>
  </si>
  <si>
    <t>aruba-ospfv2:ospfv2.profile.routers.areas.tunnel-interfaces.tunnel-id</t>
  </si>
  <si>
    <t>ospfv2.profile.routers.default-information-origin.always-metric</t>
  </si>
  <si>
    <t>aruba-ospfv2:ospfv2.profile.routers.default-information-origin.always-metric</t>
  </si>
  <si>
    <t>ospfv2.profile.routers.graceful-restart-cfg.helper-strict-lsa-check</t>
  </si>
  <si>
    <t>aruba-ospfv2:ospfv2.profile.routers.graceful-restart-cfg.helper-strict-lsa-check</t>
  </si>
  <si>
    <t>ospfv2.profile.routers.redistribute-routes.ospf-id</t>
  </si>
  <si>
    <t>aruba-ospfv2:ospfv2.profile.routers.redistribute-routes.ospf-id</t>
  </si>
  <si>
    <t>profile.routers.redistribute_routes.ospf_id; routers.redistribute_routes.ospf_id</t>
  </si>
  <si>
    <t>ospfv2.profile.routers.rfc1583-compatibility</t>
  </si>
  <si>
    <t>aruba-ospfv2:ospfv2.profile.routers.rfc1583-compatibility</t>
  </si>
  <si>
    <t>ospfv3.profile.routers.areas.ether-interfaces.dead-interval</t>
  </si>
  <si>
    <t>aruba-ospfv3:ospfv3.profile.routers.areas.ether-interfaces.dead-interval</t>
  </si>
  <si>
    <t>ospfv3.profile.routers.areas.ether-interfaces.hello-interval</t>
  </si>
  <si>
    <t>aruba-ospfv3:ospfv3.profile.routers.areas.ether-interfaces.hello-interval</t>
  </si>
  <si>
    <t>ospfv3.profile.routers.areas.ether-interfaces.passive</t>
  </si>
  <si>
    <t>aruba-ospfv3:ospfv3.profile.routers.areas.ether-interfaces.passive</t>
  </si>
  <si>
    <t>ospfv3.profile.routers.areas.svi-interfaces.cost</t>
  </si>
  <si>
    <t>aruba-ospfv3:ospfv3.profile.routers.areas.svi-interfaces.cost</t>
  </si>
  <si>
    <t>ospfv3.profile.routers.areas.svi-interfaces.dead-interval</t>
  </si>
  <si>
    <t>aruba-ospfv3:ospfv3.profile.routers.areas.svi-interfaces.dead-interval</t>
  </si>
  <si>
    <t>ospfv3.profile.routers.areas.svi-interfaces.hello-interval</t>
  </si>
  <si>
    <t>aruba-ospfv3:ospfv3.profile.routers.areas.svi-interfaces.hello-interval</t>
  </si>
  <si>
    <t>ospfv3.profile.routers.areas.svi-interfaces.priority</t>
  </si>
  <si>
    <t>aruba-ospfv3:ospfv3.profile.routers.areas.svi-interfaces.priority</t>
  </si>
  <si>
    <t>ospfv3.profile.routers.max-metric.include-stub</t>
  </si>
  <si>
    <t>aruba-ospfv3:ospfv3.profile.routers.max-metric.include-stub</t>
  </si>
  <si>
    <t>ospfv3.profile.routers.max-metric.on-startup</t>
  </si>
  <si>
    <t>aruba-ospfv3:ospfv3.profile.routers.max-metric.on-startup</t>
  </si>
  <si>
    <t>ospfv3.profile.routers.protocol-disable</t>
  </si>
  <si>
    <t>aruba-ospfv3:ospfv3.profile.routers.protocol-disable</t>
  </si>
  <si>
    <t>aaa-profile.profile.authentication.bpdu-auth.cdp</t>
  </si>
  <si>
    <t>aruba-aaa-profile:aaa-profile.profile.authentication.bpdu-auth.cdp</t>
  </si>
  <si>
    <t>authentication.bpdu_auth.cdp; profile.authentication.bpdu_auth.cdp</t>
  </si>
  <si>
    <t>aaa-profile.profile.authentication.bpdu-auth.lldp</t>
  </si>
  <si>
    <t>aruba-aaa-profile:aaa-profile.profile.authentication.bpdu-auth.lldp</t>
  </si>
  <si>
    <t>authentication.bpdu_auth.lldp; profile.authentication.bpdu_auth.lldp</t>
  </si>
  <si>
    <t>advanced-intelligent-forwarding.profile.fib-optimization-ageout-time</t>
  </si>
  <si>
    <t>aruba-advanced-intelligent-forwarding:advanced-intelligent-forwarding.profile.fib-optimization-ageout-time</t>
  </si>
  <si>
    <t>auth-servers.auth-server.rfc5176-enforcement-mode</t>
  </si>
  <si>
    <t>aruba-auth-server:auth-servers.auth-server.rfc5176-enforcement-mode</t>
  </si>
  <si>
    <t>bgp.profile.router.global-afi-safi.global-ipv4-unicast.aggregate-address.attribute-map</t>
  </si>
  <si>
    <t>aruba-bgp:bgp.profile.router.global-afi-safi.global-ipv4-unicast.aggregate-address.attribute-map</t>
  </si>
  <si>
    <t>profile.router.global_afi_safi.global_ipv4_unicast.aggregate_address.attribute_map; router.global_afi_safi.global_ipv4_unicast.aggregate_address.attribute_map</t>
  </si>
  <si>
    <t>bgp.profile.router.global-afi-safi.global-ipv4-unicast.network.route-map</t>
  </si>
  <si>
    <t>aruba-bgp:bgp.profile.router.global-afi-safi.global-ipv4-unicast.network.route-map</t>
  </si>
  <si>
    <t>profile.router.global_afi_safi.global_ipv4_unicast.network.route_map; router.global_afi_safi.global_ipv4_unicast.network.route_map</t>
  </si>
  <si>
    <t>bgp.profile.router.global-afi-safi.global-ipv6-unicast.aggregate-address.address</t>
  </si>
  <si>
    <t>aruba-bgp:bgp.profile.router.global-afi-safi.global-ipv6-unicast.aggregate-address.address</t>
  </si>
  <si>
    <t>profile.router.global_afi_safi.global_ipv6_unicast.aggregate_address.address; router.global_afi_safi.global_ipv6_unicast.aggregate_address.address</t>
  </si>
  <si>
    <t>bgp.profile.router.global-afi-safi.global-ipv6-unicast.aggregate-address.attribute-map</t>
  </si>
  <si>
    <t>aruba-bgp:bgp.profile.router.global-afi-safi.global-ipv6-unicast.aggregate-address.attribute-map</t>
  </si>
  <si>
    <t>profile.router.global_afi_safi.global_ipv6_unicast.aggregate_address.attribute_map; router.global_afi_safi.global_ipv6_unicast.aggregate_address.attribute_map</t>
  </si>
  <si>
    <t>bgp.profile.router.global-afi-safi.global-ipv6-unicast.aggregate-address.summary-only</t>
  </si>
  <si>
    <t>aruba-bgp:bgp.profile.router.global-afi-safi.global-ipv6-unicast.aggregate-address.summary-only</t>
  </si>
  <si>
    <t>profile.router.global_afi_safi.global_ipv6_unicast.aggregate_address.summary_only; router.global_afi_safi.global_ipv6_unicast.aggregate_address.summary_only</t>
  </si>
  <si>
    <t>bgp.profile.router.global-afi-safi.global-ipv6-unicast.redistribute.ospfv2-id</t>
  </si>
  <si>
    <t>aruba-bgp:bgp.profile.router.global-afi-safi.global-ipv6-unicast.redistribute.ospfv2-id</t>
  </si>
  <si>
    <t>bgp.profile.router.global-afi-safi.global-l2vpn-evpn.aggregate-address.address</t>
  </si>
  <si>
    <t>aruba-bgp:bgp.profile.router.global-afi-safi.global-l2vpn-evpn.aggregate-address.address</t>
  </si>
  <si>
    <t>profile.router.global_afi_safi.global_ipv4_unicast.aggregate_address.address; profile.router.global_afi_safi.global_ipv6_unicast.aggregate_address.address; router.global_afi_safi.global_ipv4_unicast.aggregate_address.address; router.global_afi_safi.global_ipv6_unicast.aggregate_address.address</t>
  </si>
  <si>
    <t>bgp.profile.router.global-afi-safi.global-l2vpn-evpn.aggregate-address.summary-only</t>
  </si>
  <si>
    <t>aruba-bgp:bgp.profile.router.global-afi-safi.global-l2vpn-evpn.aggregate-address.summary-only</t>
  </si>
  <si>
    <t>profile.router.global_afi_safi.global_ipv4_unicast.aggregate_address.summary_only; profile.router.global_afi_safi.global_ipv6_unicast.aggregate_address.summary_only; router.global_afi_safi.global_ipv4_unicast.aggregate_address.summary_only; router.global_afi_safi.global_ipv6_unicast.aggregate_address.summary_only</t>
  </si>
  <si>
    <t>bgp.profile.router.neighbor.afi-safi.ipv6-unicast.allow-own-as</t>
  </si>
  <si>
    <t>aruba-bgp:bgp.profile.router.neighbor.afi-safi.ipv6-unicast.allow-own-as</t>
  </si>
  <si>
    <t>profile.router.neighbor.afi_safi.ipv6_unicast.allow_own_as; router.neighbor.afi_safi.ipv6_unicast.allow_own_as</t>
  </si>
  <si>
    <t>bgp.profile.router.neighbor.afi-safi.ipv6-unicast.minimum-advertisement-interval</t>
  </si>
  <si>
    <t>aruba-bgp:bgp.profile.router.neighbor.afi-safi.ipv6-unicast.minimum-advertisement-interval</t>
  </si>
  <si>
    <t>profile.router.neighbor.afi_safi.ipv6_unicast.minimum_advertisement_interval; router.neighbor.afi_safi.ipv6_unicast.minimum_advertisement_interval</t>
  </si>
  <si>
    <t>bgp.profile.router.neighbor.afi-safi.l2vpn-evpn.minimum-advertisement-interval</t>
  </si>
  <si>
    <t>aruba-bgp:bgp.profile.router.neighbor.afi-safi.l2vpn-evpn.minimum-advertisement-interval</t>
  </si>
  <si>
    <t>profile.router.neighbor.afi_safi.ipv4_unicast.minimum_advertisement_interval; profile.router.neighbor.afi_safi.ipv6_unicast.minimum_advertisement_interval; profile.router.peer_group.afi_safi.ipv4_unicast.minimum_advertisement_interval; profile.router.peer_group.afi_safi.ipv6_unicast.minimum_advertisement_interval; router.neighbor.afi_safi.ipv4_unicast.minimum_advertisement_interval; router.neighbor.afi_safi.ipv6_unicast.minimum_advertisement_interval; router.peer_group.afi_safi.ipv4_unicast.minimum_advertisement_interval; router.peer_group.afi_safi.ipv6_unicast.minimum_advertisement_interval</t>
  </si>
  <si>
    <t>bgp.profile.router.peer-group.afi-safi.ipv6-unicast.next-hop-self</t>
  </si>
  <si>
    <t>aruba-bgp:bgp.profile.router.peer-group.afi-safi.ipv6-unicast.next-hop-self</t>
  </si>
  <si>
    <t>profile.router.peer_group.afi_safi.ipv6_unicast.next_hop_self; router.peer_group.afi_safi.ipv6_unicast.next_hop_self</t>
  </si>
  <si>
    <t>bgp.profile.router.peer-group.afi-safi.ipv6-unicast.route-reflector-client</t>
  </si>
  <si>
    <t>aruba-bgp:bgp.profile.router.peer-group.afi-safi.ipv6-unicast.route-reflector-client</t>
  </si>
  <si>
    <t>profile.router.peer_group.afi_safi.ipv6_unicast.route_reflector_client; router.peer_group.afi_safi.ipv6_unicast.route_reflector_client</t>
  </si>
  <si>
    <t>bgp.profile.router.peer-group.afi-safi.l2vpn-evpn.allow-own-as</t>
  </si>
  <si>
    <t>aruba-bgp:bgp.profile.router.peer-group.afi-safi.l2vpn-evpn.allow-own-as</t>
  </si>
  <si>
    <t>profile.router.peer_group.afi_safi.l2vpn_evpn.allow_own_as; router.peer_group.afi_safi.l2vpn_evpn.allow_own_as</t>
  </si>
  <si>
    <t>bgp.profile.router.peer-group.afi-safi.l2vpn-evpn.inbound-soft-reconfiguration</t>
  </si>
  <si>
    <t>aruba-bgp:bgp.profile.router.peer-group.afi-safi.l2vpn-evpn.inbound-soft-reconfiguration</t>
  </si>
  <si>
    <t>bgp.profile.router.peer-group.weight</t>
  </si>
  <si>
    <t>aruba-bgp:bgp.profile.router.peer-group.weight</t>
  </si>
  <si>
    <t>profile.router.peer_group.weight; router.peer_group.weight</t>
  </si>
  <si>
    <t>devicefingerprinting-profile.profile.dhcp-options</t>
  </si>
  <si>
    <t>aruba-devicefingerprinting-profile:devicefingerprinting-profile.profile.dhcp-options</t>
  </si>
  <si>
    <t>evpn.profile.evpn-global.allow-imet-relay</t>
  </si>
  <si>
    <t>aruba-evpn:evpn.profile.evpn-global.allow-imet-relay</t>
  </si>
  <si>
    <t>evpn_global.allow_imet_relay; profile.evpn_global.allow_imet_relay</t>
  </si>
  <si>
    <t>portchannels.interface.aaa-lag.authentication-lag.bpdu-auth.mac-type</t>
  </si>
  <si>
    <t>aruba-interface-portchannel:portchannels.interface.aaa-lag.authentication-lag.bpdu-auth.mac-type</t>
  </si>
  <si>
    <t>aaa_lag.authentication_lag.bpdu_auth.mac_type; interface.aaa_lag.authentication_lag.bpdu_auth.mac_type</t>
  </si>
  <si>
    <t>portchannels.interface.client-limit-max</t>
  </si>
  <si>
    <t>aruba-interface-portchannel:portchannels.interface.client-limit-max</t>
  </si>
  <si>
    <t>portchannels.interface.pim-sparse.source-address-any</t>
  </si>
  <si>
    <t>aruba-interface-portchannel:portchannels.interface.pim-sparse.source-address-any</t>
  </si>
  <si>
    <t>portchannels.interface.policy.ipv6-access-list-out</t>
  </si>
  <si>
    <t>aruba-interface-portchannel:portchannels.interface.policy.ipv6-access-list-out</t>
  </si>
  <si>
    <t>sub-interfaces.interface.arp.timeout</t>
  </si>
  <si>
    <t>aruba-interface-subinterface:sub-interfaces.interface.arp.timeout</t>
  </si>
  <si>
    <t>sub-interfaces.interface.ip.l3-counters</t>
  </si>
  <si>
    <t>aruba-interface-subinterface:sub-interfaces.interface.ip.l3-counters</t>
  </si>
  <si>
    <t>sub-interfaces.interface.policy.ipv4-access-list-in</t>
  </si>
  <si>
    <t>aruba-interface-subinterface:sub-interfaces.interface.policy.ipv4-access-list-in</t>
  </si>
  <si>
    <t>tunnel.interface.ttl.value</t>
  </si>
  <si>
    <t>aruba-interface-tunnel:tunnel.interface.ttl.value</t>
  </si>
  <si>
    <t>vlan-interfaces.interface.mld.query-interval</t>
  </si>
  <si>
    <t>aruba-interface-vlan:vlan-interfaces.interface.mld.query-interval</t>
  </si>
  <si>
    <t>interface.mld.query_interval; mld.query_interval</t>
  </si>
  <si>
    <t>vlan-interfaces.interface.pim-sparse.datapath-auto-include</t>
  </si>
  <si>
    <t>aruba-interface-vlan:vlan-interfaces.interface.pim-sparse.datapath-auto-include</t>
  </si>
  <si>
    <t>vxlan-tunnel.profile.loop-protect</t>
  </si>
  <si>
    <t>aruba-interface-vxlan-tunnel:vxlan-tunnel.profile.loop-protect</t>
  </si>
  <si>
    <t>loop_protect; profile.loop_protect</t>
  </si>
  <si>
    <t>ip-source-lockdown-interface.profile.ip-source-lockdown.ipv6</t>
  </si>
  <si>
    <t>aruba-ip-lockdown-interface:ip-source-lockdown-interface.profile.ip-source-lockdown.ipv6</t>
  </si>
  <si>
    <t>msdp.profile.router.peer.description</t>
  </si>
  <si>
    <t>aruba-msdp:msdp.profile.router.peer.description</t>
  </si>
  <si>
    <t>profile.router.peer.description; router.peer.description</t>
  </si>
  <si>
    <t>nd-snooping.profile.mac-check</t>
  </si>
  <si>
    <t>aruba-nd-snooping:nd-snooping.profile.mac-check</t>
  </si>
  <si>
    <t>object-groups.group.vrf</t>
  </si>
  <si>
    <t>aruba-object-group:object-groups.group.vrf</t>
  </si>
  <si>
    <t>ospfv2.profile.routers.areas.ether-interfaces.md-password</t>
  </si>
  <si>
    <t>aruba-ospfv2:ospfv2.profile.routers.areas.ether-interfaces.md-password</t>
  </si>
  <si>
    <t>profile.routers.areas.ether_interfaces.md_password; routers.areas.ether_interfaces.md_password</t>
  </si>
  <si>
    <t>ospfv2.profile.routers.areas.lag-interfaces.authentication-key-id</t>
  </si>
  <si>
    <t>aruba-ospfv2:ospfv2.profile.routers.areas.lag-interfaces.authentication-key-id</t>
  </si>
  <si>
    <t>profile.routers.areas.lag_interfaces.authentication_key_id; routers.areas.lag_interfaces.authentication_key_id</t>
  </si>
  <si>
    <t>ospfv2.profile.routers.areas.lag-interfaces.bfd</t>
  </si>
  <si>
    <t>aruba-ospfv2:ospfv2.profile.routers.areas.lag-interfaces.bfd</t>
  </si>
  <si>
    <t>profile.routers.areas.lag_interfaces.bfd; routers.areas.lag_interfaces.bfd</t>
  </si>
  <si>
    <t>ospfv2.profile.routers.areas.lag-interfaces.keychain-key</t>
  </si>
  <si>
    <t>aruba-ospfv2:ospfv2.profile.routers.areas.lag-interfaces.keychain-key</t>
  </si>
  <si>
    <t>ospfv2.profile.routers.areas.lag-interfaces.sha-cipher-password</t>
  </si>
  <si>
    <t>aruba-ospfv2:ospfv2.profile.routers.areas.lag-interfaces.sha-cipher-password</t>
  </si>
  <si>
    <t>ospfv2.profile.routers.areas.lag-interfaces.sha-password-type</t>
  </si>
  <si>
    <t>aruba-ospfv2:ospfv2.profile.routers.areas.lag-interfaces.sha-password-type</t>
  </si>
  <si>
    <t>profile.routers.areas.lag_interfaces.sha_password_type; routers.areas.lag_interfaces.sha_password_type</t>
  </si>
  <si>
    <t>ospfv2.profile.routers.areas.sub-interfaces.authentication-key-id</t>
  </si>
  <si>
    <t>aruba-ospfv2:ospfv2.profile.routers.areas.sub-interfaces.authentication-key-id</t>
  </si>
  <si>
    <t>profile.routers.areas.ether_interfaces.authentication_key_id; profile.routers.areas.lag_interfaces.authentication_key_id; profile.routers.areas.loopback_interfaces.authentication_key_id; profile.routers.areas.svi_interfaces.authentication_key_id; routers.areas.ether_interfaces.authentication_key_id; routers.areas.lag_interfaces.authentication_key_id; routers.areas.loopback_interfaces.authentication_key_id; routers.areas.svi_interfaces.authentication_key_id</t>
  </si>
  <si>
    <t>ospfv2.profile.routers.areas.sub-interfaces.sha-cipher-password</t>
  </si>
  <si>
    <t>aruba-ospfv2:ospfv2.profile.routers.areas.sub-interfaces.sha-cipher-password</t>
  </si>
  <si>
    <t>ospfv2.profile.routers.areas.sub-interfaces.sha-password-type</t>
  </si>
  <si>
    <t>aruba-ospfv2:ospfv2.profile.routers.areas.sub-interfaces.sha-password-type</t>
  </si>
  <si>
    <t>profile.routers.areas.ether_interfaces.sha_password_type; profile.routers.areas.lag_interfaces.sha_password_type; profile.routers.areas.loopback_interfaces.sha_password_type; profile.routers.areas.svi_interfaces.sha_password_type; routers.areas.ether_interfaces.sha_password_type; routers.areas.lag_interfaces.sha_password_type; routers.areas.loopback_interfaces.sha_password_type; routers.areas.svi_interfaces.sha_password_type</t>
  </si>
  <si>
    <t>ospfv2.profile.routers.areas.svi-interfaces.transit-delay</t>
  </si>
  <si>
    <t>aruba-ospfv2:ospfv2.profile.routers.areas.svi-interfaces.transit-delay</t>
  </si>
  <si>
    <t>ospfv3.profile.routers.areas.area-type</t>
  </si>
  <si>
    <t>aruba-ospfv3:ospfv3.profile.routers.areas.area-type</t>
  </si>
  <si>
    <t>ospfv3.profile.routers.default-info-originate.always</t>
  </si>
  <si>
    <t>aruba-ospfv3:ospfv3.profile.routers.default-info-originate.always</t>
  </si>
  <si>
    <t>profile.routers.default_info_originate.always; routers.default_info_originate.always</t>
  </si>
  <si>
    <t>ospfv3.profile.routers.default-info-originate.originate</t>
  </si>
  <si>
    <t>aruba-ospfv3:ospfv3.profile.routers.default-info-originate.originate</t>
  </si>
  <si>
    <t>profile.routers.default_info_originate.originate; routers.default_info_originate.originate</t>
  </si>
  <si>
    <t>ospfv3.profile.routers.default-metric</t>
  </si>
  <si>
    <t>aruba-ospfv3:ospfv3.profile.routers.default-metric</t>
  </si>
  <si>
    <t>roles.role.object-group-ipv4</t>
  </si>
  <si>
    <t>aruba-role:roles.role.object-group-ipv4</t>
  </si>
  <si>
    <t>Low usage</t>
  </si>
  <si>
    <t>smartlink.profile.group.description</t>
  </si>
  <si>
    <t>aruba-smartlink:smartlink.profile.group.description</t>
  </si>
  <si>
    <t>smartlink.profile.group.primary-portchannel-port</t>
  </si>
  <si>
    <t>aruba-smartlink:smartlink.profile.group.primary-portchannel-port</t>
  </si>
  <si>
    <t>sw-port-profiles.profile.lag.qos-lag.icmp-rate-limit.bit-rate</t>
  </si>
  <si>
    <t>aruba-sw-port-profile:sw-port-profiles.profile.lag.qos-lag.icmp-rate-limit.bit-rate</t>
  </si>
  <si>
    <t>sw-port-profiles.profile.lag.qos-lag.multicast-rate-limit.bit-rate</t>
  </si>
  <si>
    <t>aruba-sw-port-profile:sw-port-profiles.profile.lag.qos-lag.multicast-rate-limit.bit-rate</t>
  </si>
  <si>
    <t>sw-port-profiles.profile.lag.qos-lag.unknown-unicast-rate-limit.packet-rate</t>
  </si>
  <si>
    <t>aruba-sw-port-profile:sw-port-profiles.profile.lag.qos-lag.unknown-unicast-rate-limit.packet-rate</t>
  </si>
  <si>
    <t>sw-port-profiles.profile.vsx.shutdown-on-split</t>
  </si>
  <si>
    <t>aruba-sw-port-profile:sw-port-profiles.profile.vsx.shutdown-on-split</t>
  </si>
  <si>
    <t>layer2-vlan-range.dhcpv6-snooping.allow-bindings-on-trusted-ports</t>
  </si>
  <si>
    <t>aruba-vlan-range:layer2-vlan-range.dhcpv6-snooping.allow-bindings-on-trusted-ports</t>
  </si>
  <si>
    <t>layer2-vlan.l2-vlan.dhcpv6-snooping.allow-bindings-on-trusted-ports</t>
  </si>
  <si>
    <t>aruba-vlan:layer2-vlan.l2-vlan.dhcpv6-snooping.allow-bindings-on-trusted-ports</t>
  </si>
  <si>
    <t>layer2-vlan.l2-vlan.ipv6-access-list-out</t>
  </si>
  <si>
    <t>aruba-vlan:layer2-vlan.l2-vlan.ipv6-access-list-out</t>
  </si>
  <si>
    <t>potential_new_customers</t>
  </si>
  <si>
    <t>Adopted customers</t>
  </si>
  <si>
    <t>Percentage Progress</t>
  </si>
  <si>
    <t>current adoption</t>
  </si>
  <si>
    <t>aruba-gw-port-profile:gw-port-profiles.profile.profile-name</t>
  </si>
  <si>
    <t>aruba-gw-port-profile:gw-port-profiles.profile.switchport.access-vlan</t>
  </si>
  <si>
    <t>aruba-gw-port-profile:gw-port-profiles.profile.switchport.interface-mode</t>
  </si>
  <si>
    <t>aruba-gw-port-profile:gw-port-profiles.profile.switchport.native-vlan</t>
  </si>
  <si>
    <t>aruba-gw-port-profile:gw-port-profiles.profile.switchport.trunk-vlan-ranges</t>
  </si>
  <si>
    <t>aruba-interface-management:mgmt-interfaces.domain-name</t>
  </si>
  <si>
    <t>aruba-ospfv2:ospfv2.routers.areas.area-id</t>
  </si>
  <si>
    <t>aruba-ospfv2:ospfv2.routers.areas.svi-interfaces.dead-interval</t>
  </si>
  <si>
    <t>aruba-ospfv2:ospfv2.routers.areas.svi-interfaces.hello-interval</t>
  </si>
  <si>
    <t>aruba-ospfv2:ospfv2.routers.areas.svi-interfaces.svi-id</t>
  </si>
  <si>
    <t>aruba-ospfv2:ospfv2.routers.instance-tag</t>
  </si>
  <si>
    <t>aruba-ospfv2:ospfv2.routers.instance-tag-vrf</t>
  </si>
  <si>
    <t>aruba-ospfv2:ospfv2.routers.vrf</t>
  </si>
  <si>
    <t>Yang Name</t>
  </si>
  <si>
    <t>Leaf Count</t>
  </si>
  <si>
    <t>aruba-aspath-list.yang</t>
  </si>
  <si>
    <t>aruba-auth-server.yang</t>
  </si>
  <si>
    <t>aruba-switch-chassis.yang</t>
  </si>
  <si>
    <t>aruba-vlan-range.yang</t>
  </si>
  <si>
    <t>aruba-community-list.yang</t>
  </si>
  <si>
    <t>aruba-device-certificate.yang</t>
  </si>
  <si>
    <t>aruba-ipfix-flow-exporter.yang</t>
  </si>
  <si>
    <t>aruba-object-group.yang</t>
  </si>
  <si>
    <t>aruba-nexthop-group.yang</t>
  </si>
  <si>
    <t>aruba-lacp.yang</t>
  </si>
  <si>
    <t>aruba-system-info.yang</t>
  </si>
  <si>
    <t>aruba-hardware-module-profile.yang</t>
  </si>
  <si>
    <t>aruba-traffic-insight.yang</t>
  </si>
  <si>
    <t>aruba-interface-ethernet.yang</t>
  </si>
  <si>
    <t>aruba-interface-loopback.yang</t>
  </si>
  <si>
    <t>aruba-interface-vlan.yang</t>
  </si>
  <si>
    <t>aruba-interface-subinterface.yang</t>
  </si>
  <si>
    <t>aruba-interface-tunnel.yang</t>
  </si>
  <si>
    <t>aruba-interface-portchannel.yang</t>
  </si>
  <si>
    <t>aruba-interface-management.yang</t>
  </si>
  <si>
    <t>aruba-keychain.yang</t>
  </si>
  <si>
    <t>aruba-vlan.yang</t>
  </si>
  <si>
    <t>aruba-ipfix-flow-monitor.yang</t>
  </si>
  <si>
    <t>aruba-nae-agent.yang</t>
  </si>
  <si>
    <t>aruba-nae-script.yang</t>
  </si>
  <si>
    <t>aruba-named-condition.yang</t>
  </si>
  <si>
    <t>aruba-policy.yang</t>
  </si>
  <si>
    <t>aruba-mka.yang</t>
  </si>
  <si>
    <t>aruba-macsec.yang</t>
  </si>
  <si>
    <t>aruba-port-security.yang</t>
  </si>
  <si>
    <t>aruba-prefix-list.yang</t>
  </si>
  <si>
    <t>aruba-switch-system.yang</t>
  </si>
  <si>
    <t>aruba-qos-schedule.yang</t>
  </si>
  <si>
    <t>aruba-dhcp-client.yang</t>
  </si>
  <si>
    <t>aruba-static-route.yang</t>
  </si>
  <si>
    <t>aruba-sw-port-profile.yang</t>
  </si>
  <si>
    <t>aruba-dhcp-snooping.yang</t>
  </si>
  <si>
    <t>aruba-dhcp-relay.yang</t>
  </si>
  <si>
    <t>aruba-mgmd.yang</t>
  </si>
  <si>
    <t>aruba-app-recog-control.yang</t>
  </si>
  <si>
    <t>aruba-remote-management.yang</t>
  </si>
  <si>
    <t>aruba-aaa-dot1xauth.yang</t>
  </si>
  <si>
    <t>aruba-copp.yang</t>
  </si>
  <si>
    <t>aruba-flow-tracking.yang</t>
  </si>
  <si>
    <t>aruba-devicefingerprinting-profile.yang</t>
  </si>
  <si>
    <t>aruba-device-profile.yang</t>
  </si>
  <si>
    <t>aruba-aaa-macauth.yang</t>
  </si>
  <si>
    <t>aruba-aaa-captive-portal.yang</t>
  </si>
  <si>
    <t>aruba-fault-monitor.yang</t>
  </si>
  <si>
    <t>aruba-named-vlan.yang</t>
  </si>
  <si>
    <t>aruba-mirror.yang</t>
  </si>
  <si>
    <t>aruba-mac-lockout.yang</t>
  </si>
  <si>
    <t>aruba-aaa-profile.yang</t>
  </si>
  <si>
    <t>aruba-snmp.yang</t>
  </si>
  <si>
    <t>aruba-qos-cos.yang</t>
  </si>
  <si>
    <t>aruba-nae-lite.yang</t>
  </si>
  <si>
    <t>aruba-dhcp-snooping-interface.yang</t>
  </si>
  <si>
    <t>aruba-lldp.yang</t>
  </si>
  <si>
    <t>aruba-qos-dscp.yang</t>
  </si>
  <si>
    <t>aruba-dynamic-arp-inspection-interface.yang</t>
  </si>
  <si>
    <t>aruba-stp.yang</t>
  </si>
  <si>
    <t>aruba-cdp.yang</t>
  </si>
  <si>
    <t>aruba-client-insight.yang</t>
  </si>
  <si>
    <t>aruba-nd-snooping.yang</t>
  </si>
  <si>
    <t>aruba-client-iptracker.yang</t>
  </si>
  <si>
    <t>aruba-vrrp.yang</t>
  </si>
  <si>
    <t>aruba-bfd.yang</t>
  </si>
  <si>
    <t>aruba-udp-broadcast-forwarder.yang</t>
  </si>
  <si>
    <t>aruba-mvrp.yang</t>
  </si>
  <si>
    <t>aruba-ufd.yang</t>
  </si>
  <si>
    <t>aruba-mirror-endpoint.yang</t>
  </si>
  <si>
    <t>aruba-evpn.yang</t>
  </si>
  <si>
    <t>aruba-smartlink.yang</t>
  </si>
  <si>
    <t>aruba-dhcp-server.yang</t>
  </si>
  <si>
    <t>aruba-ip-routing.yang</t>
  </si>
  <si>
    <t>aruba-ip-lockdown.yang</t>
  </si>
  <si>
    <t>aruba-ip-source-interface.yang</t>
  </si>
  <si>
    <t>aruba-logging.yang</t>
  </si>
  <si>
    <t>aruba-nd-snooping-interface.yang</t>
  </si>
  <si>
    <t>aruba-config-checkpoint.yang</t>
  </si>
  <si>
    <t>aruba-devicefingerprinting.yang</t>
  </si>
  <si>
    <t>aruba-ptp.yang</t>
  </si>
  <si>
    <t>aruba-loop-protect.yang</t>
  </si>
  <si>
    <t>aruba-dns.yang</t>
  </si>
  <si>
    <t>aruba-rmon-alarm.yang</t>
  </si>
  <si>
    <t>aruba-l3-route.yang</t>
  </si>
  <si>
    <t>aruba-bgp.yang</t>
  </si>
  <si>
    <t>aruba-pim.yang</t>
  </si>
  <si>
    <t>aruba-msdp.yang</t>
  </si>
  <si>
    <t>aruba-switch-profiles.yang</t>
  </si>
  <si>
    <t>aruba-ntp.yang</t>
  </si>
  <si>
    <t>aruba-multicast-dns.yang</t>
  </si>
  <si>
    <t>aruba-sflow.yang</t>
  </si>
  <si>
    <t>aruba-ipsla.yang</t>
  </si>
  <si>
    <t>aruba-external-storage.yang</t>
  </si>
  <si>
    <t>aruba-snmp-trap.yang</t>
  </si>
  <si>
    <t>aruba-local-management.yang</t>
  </si>
  <si>
    <t>aruba-ubt.yang</t>
  </si>
  <si>
    <t>aruba-auth-server-global.yang</t>
  </si>
  <si>
    <t>aruba-est.yang</t>
  </si>
  <si>
    <t>aruba-dhcp-pool.yang</t>
  </si>
  <si>
    <t>aruba-vrrp-interface.yang</t>
  </si>
  <si>
    <t>aruba-qos-queue.yang</t>
  </si>
  <si>
    <t>aruba-qos-threshold-profile.yang</t>
  </si>
  <si>
    <t>aruba-interface-vxlan.yang</t>
  </si>
  <si>
    <t>aruba-http-proxy.yang</t>
  </si>
  <si>
    <t>aruba-psm.yang</t>
  </si>
  <si>
    <t>aruba-ipfix-flow-record.yang</t>
  </si>
  <si>
    <t>aruba-role-gpid.yang</t>
  </si>
  <si>
    <t>aruba-role.yang</t>
  </si>
  <si>
    <t>aruba-routemap.yang</t>
  </si>
  <si>
    <t>aruba-rip.yang</t>
  </si>
  <si>
    <t>aruba-ospfv2.yang</t>
  </si>
  <si>
    <t>aruba-ospfv3.yang</t>
  </si>
  <si>
    <t>aruba-job-scheduler.yang</t>
  </si>
  <si>
    <t>aruba-auth-server-group.yang</t>
  </si>
  <si>
    <t>aruba-firmware-management.yang</t>
  </si>
  <si>
    <t>aruba-switch-stack.yang</t>
  </si>
  <si>
    <t>aruba-certificate-rcp.yang</t>
  </si>
  <si>
    <t>aruba-vsf-template.yang</t>
  </si>
  <si>
    <t>aruba-management-user-group.yang</t>
  </si>
  <si>
    <t>aruba-management-user.yang</t>
  </si>
  <si>
    <t>aruba-vrf.yang</t>
  </si>
  <si>
    <t>aruba-track-object.yang</t>
  </si>
  <si>
    <t>aruba-vsx.yang</t>
  </si>
  <si>
    <t>aruba-vsx-pair.yang</t>
  </si>
  <si>
    <t>aruba-qos-global.yang</t>
  </si>
  <si>
    <t>aruba-interface-vxlan-tunnel.yang</t>
  </si>
  <si>
    <t>aruba-interface-vni.yang</t>
  </si>
  <si>
    <t>aruba-static-mac.yang</t>
  </si>
  <si>
    <t>aruba-erps.yang</t>
  </si>
  <si>
    <t>aruba-countermon.yang</t>
  </si>
  <si>
    <t>aruba-ip-binding.yang</t>
  </si>
  <si>
    <t>aruba-dsm.yang</t>
  </si>
  <si>
    <t>aruba-feature-pack.yang</t>
  </si>
  <si>
    <t>aruba-container.yang</t>
  </si>
  <si>
    <t>aruba-advanced-intelligent-forwarding.yang</t>
  </si>
  <si>
    <t>aruba-sysmon.yang</t>
  </si>
  <si>
    <t>aruba-multicast.yang</t>
  </si>
  <si>
    <t>aruba-ip-lockdown-interface.yang</t>
  </si>
  <si>
    <t>aruba-multicast-static-route.yang</t>
  </si>
  <si>
    <t>aruba-qos-pool.yang</t>
  </si>
  <si>
    <t>aruba-container-network.yang</t>
  </si>
  <si>
    <t>Leaf Name with Xpath</t>
  </si>
  <si>
    <t>CNX UI Present?</t>
  </si>
  <si>
    <t>RunningConfigUI.txt</t>
  </si>
  <si>
    <t>TOTAL</t>
  </si>
  <si>
    <t>161 leafs</t>
  </si>
  <si>
    <t>CNX Present</t>
  </si>
  <si>
    <t>Missing</t>
  </si>
  <si>
    <t>aruba-aaa-dot1xauth:dot1xauth.interfaces.interface.name</t>
  </si>
  <si>
    <t>aruba-aaa-dot1xauth:dot1xauth.profile.cached-reauth.enable</t>
  </si>
  <si>
    <t>aruba-aaa-dot1xauth:dot1xauth.profile.cached-reauth.reauth-period</t>
  </si>
  <si>
    <t>aruba-aaa-dot1xauth:dot1xauth.profile.reauth.enable</t>
  </si>
  <si>
    <t>aruba-cdp:cdp.cdp.tlv-names</t>
  </si>
  <si>
    <t>aruba-cdp:cdp.cdp.tlv-numbers</t>
  </si>
  <si>
    <t>aruba-dhcp-snooping:dhcp-snooping.profile.ipv6.event-log.client</t>
  </si>
  <si>
    <t>aruba-aaa-dot1xauth:dot1xauth.interfaces.interface.authenticator.enable</t>
  </si>
  <si>
    <t>aruba-aaa-dot1x:dot1xauth.interfaces.interface.client-limit</t>
  </si>
  <si>
    <t>aruba-interface-ethernet:ethernet-interfaces.interface.aggregation-group</t>
  </si>
  <si>
    <t>aruba-interface-ethernet:ethernet-interfaces.interface.spanning-tree.bpdu-filter</t>
  </si>
  <si>
    <t>aruba-interface-ethernet:ethernet-interfaces.interface.spanning-tree.bpdu-guard</t>
  </si>
  <si>
    <t>aruba-interface-ethernet:ethernet-interfaces.interface.spanning-tree.port-priority</t>
  </si>
  <si>
    <t>aruba-interface-ethernet:ethernet-interfaces.interface.spanning-tree.port-type</t>
  </si>
  <si>
    <t>aruba-interface-ethernet:ethernet-interfaces.interface.spanning-tree.root-guard</t>
  </si>
  <si>
    <t>aruba-interface-ethernet:ethernet-interfaces.interface.speed</t>
  </si>
  <si>
    <t>aruba-interface-ethernet:ethernet-interfaces.interface.switchport.vlan-access</t>
  </si>
  <si>
    <t>aruba-interface-ethernet:ethernet-interfaces.interface.vlan.access-vlan</t>
  </si>
  <si>
    <t>aruba-interface-portchannel:portchannels.interface.ipv4.address.address</t>
  </si>
  <si>
    <t>aruba-interface-vlan:vlan-interfaces.interface.helper-address.address</t>
  </si>
  <si>
    <t>aruba-local-management:local-management.configuration-lockout.central-managed</t>
  </si>
  <si>
    <t>aruba-local-management:local-management.https-server.vrf.name</t>
  </si>
  <si>
    <t>aruba-local-management:local-management.profile.ssh-server.vrf</t>
  </si>
  <si>
    <t>aruba-ntp:ntp.profile.enable</t>
  </si>
  <si>
    <t>aruba-policy:policies.policy.security-policy.policy-rule.comment</t>
  </si>
  <si>
    <t>aruba-port-access:port-access.event-log.client</t>
  </si>
  <si>
    <t>aruba-port-access:port-access.port-access.cached-reauth</t>
  </si>
  <si>
    <t>aruba-port-access:port-access.port-access.cached-reauth-period</t>
  </si>
  <si>
    <t>aruba-port-access:port-access.port-access.client-limit</t>
  </si>
  <si>
    <t>aruba-port-access:port-access.port-access.dot1x.authenticator</t>
  </si>
  <si>
    <t>aruba-port-access:port-access.port-access.enable</t>
  </si>
  <si>
    <t>aruba-port-access:port-access.port-access.quiet-period</t>
  </si>
  <si>
    <t>aruba-port-access:port-access.port-access.reauth</t>
  </si>
  <si>
    <t>aruba-port-access:port-access.port-access.reauth-period</t>
  </si>
  <si>
    <t>aruba-remote-management:remote-management.profile.location-override</t>
  </si>
  <si>
    <t>aruba-remote-management:remote-management.profile.vrf</t>
  </si>
  <si>
    <t>aruba-snmp:snmp.profile.host.address</t>
  </si>
  <si>
    <t>aruba-snmp:snmp.profile.host.community</t>
  </si>
  <si>
    <t>aruba-snmp:snmp.profile.host.user</t>
  </si>
  <si>
    <t>aruba-snmp:snmp.profile.host.version</t>
  </si>
  <si>
    <t>aruba-snmp:snmp.profile.host.vrf</t>
  </si>
  <si>
    <t>aruba-static-route:static-route.profile.description</t>
  </si>
  <si>
    <t>Profile Name</t>
  </si>
  <si>
    <t>Profile Prefix</t>
  </si>
  <si>
    <t>dot1xauth</t>
  </si>
  <si>
    <t>macauth</t>
  </si>
  <si>
    <t>auth-server-global-config</t>
  </si>
  <si>
    <t>auth-servers</t>
  </si>
  <si>
    <t>cdp</t>
  </si>
  <si>
    <t>client-insight</t>
  </si>
  <si>
    <t>client-iptracker</t>
  </si>
  <si>
    <t>devicefingerprinting-profile</t>
  </si>
  <si>
    <t>devicefingerprinting</t>
  </si>
  <si>
    <t>dhcp-server</t>
  </si>
  <si>
    <t>dhcp-snooping-interface</t>
  </si>
  <si>
    <t>dhcp-snooping</t>
  </si>
  <si>
    <t>dns</t>
  </si>
  <si>
    <t>aruba-dot1x</t>
  </si>
  <si>
    <t>dot1x</t>
  </si>
  <si>
    <t>http-proxy-servers</t>
  </si>
  <si>
    <t>ethernet-interfaces</t>
  </si>
  <si>
    <t>portchannels</t>
  </si>
  <si>
    <t>vlan-interfaces</t>
  </si>
  <si>
    <t>ip-source-interfaces</t>
  </si>
  <si>
    <t>lldp</t>
  </si>
  <si>
    <t>local-management</t>
  </si>
  <si>
    <t>logging</t>
  </si>
  <si>
    <t>management-users</t>
  </si>
  <si>
    <t>ntp</t>
  </si>
  <si>
    <t>policies</t>
  </si>
  <si>
    <t>aruba-port-access</t>
  </si>
  <si>
    <t>port-access</t>
  </si>
  <si>
    <t>remote-management</t>
  </si>
  <si>
    <t>roles</t>
  </si>
  <si>
    <t>snmp</t>
  </si>
  <si>
    <t>static-route</t>
  </si>
  <si>
    <t>stp</t>
  </si>
  <si>
    <t>stacks</t>
  </si>
  <si>
    <t>switch-system</t>
  </si>
  <si>
    <t>layer2-vlan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</si>
</sst>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Menlo"/>
      <family val="2"/>
    </font>
    <font>
      <sz val="11"/>
      <color rgb="FF000000"/>
      <name val="Calibri"/>
      <family val="2"/>
    </font>
    <font>
      <sz val="13.5"/>
      <name val="Consolas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/>
    <xf numFmtId="0" fontId="0" fillId="7" borderId="0" xfId="0" applyFill="1"/>
    <xf numFmtId="0" fontId="0" fillId="8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ira.arubanetworks.com/browse/CNX-211499" TargetMode="External"/><Relationship Id="rId13" Type="http://schemas.openxmlformats.org/officeDocument/2006/relationships/hyperlink" Target="https://jira.arubanetworks.com/browse/CNX-211494" TargetMode="External"/><Relationship Id="rId3" Type="http://schemas.openxmlformats.org/officeDocument/2006/relationships/hyperlink" Target="https://jira.arubanetworks.com/browse/CNX-209472" TargetMode="External"/><Relationship Id="rId7" Type="http://schemas.openxmlformats.org/officeDocument/2006/relationships/hyperlink" Target="https://jira.arubanetworks.com/browse/CNX-211499" TargetMode="External"/><Relationship Id="rId12" Type="http://schemas.openxmlformats.org/officeDocument/2006/relationships/hyperlink" Target="https://jira.arubanetworks.com/browse/CNX-211494" TargetMode="External"/><Relationship Id="rId17" Type="http://schemas.openxmlformats.org/officeDocument/2006/relationships/hyperlink" Target="https://jira.arubanetworks.com/browse/CNX-202816" TargetMode="External"/><Relationship Id="rId2" Type="http://schemas.openxmlformats.org/officeDocument/2006/relationships/hyperlink" Target="https://jira.arubanetworks.com/browse/CNX-209472" TargetMode="External"/><Relationship Id="rId16" Type="http://schemas.openxmlformats.org/officeDocument/2006/relationships/hyperlink" Target="https://jira.arubanetworks.com/browse/CNX-202816" TargetMode="External"/><Relationship Id="rId1" Type="http://schemas.openxmlformats.org/officeDocument/2006/relationships/hyperlink" Target="https://jira.arubanetworks.com/browse/CNX-209472" TargetMode="External"/><Relationship Id="rId6" Type="http://schemas.openxmlformats.org/officeDocument/2006/relationships/hyperlink" Target="https://jira.arubanetworks.com/browse/CNX-211499" TargetMode="External"/><Relationship Id="rId11" Type="http://schemas.openxmlformats.org/officeDocument/2006/relationships/hyperlink" Target="https://jira.arubanetworks.com/browse/CNX-211499" TargetMode="External"/><Relationship Id="rId5" Type="http://schemas.openxmlformats.org/officeDocument/2006/relationships/hyperlink" Target="https://jira.arubanetworks.com/browse/CNX-211499" TargetMode="External"/><Relationship Id="rId15" Type="http://schemas.openxmlformats.org/officeDocument/2006/relationships/hyperlink" Target="https://jira.arubanetworks.com/browse/CNX-211494" TargetMode="External"/><Relationship Id="rId10" Type="http://schemas.openxmlformats.org/officeDocument/2006/relationships/hyperlink" Target="https://jira.arubanetworks.com/browse/CNX-211499" TargetMode="External"/><Relationship Id="rId4" Type="http://schemas.openxmlformats.org/officeDocument/2006/relationships/hyperlink" Target="https://jira.arubanetworks.com/browse/CNX-211499" TargetMode="External"/><Relationship Id="rId9" Type="http://schemas.openxmlformats.org/officeDocument/2006/relationships/hyperlink" Target="https://jira.arubanetworks.com/browse/CNX-211499" TargetMode="External"/><Relationship Id="rId14" Type="http://schemas.openxmlformats.org/officeDocument/2006/relationships/hyperlink" Target="https://jira.arubanetworks.com/browse/CNX-21149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hpe-my.sharepoint.com/:t:/p/abhijith_venugopal/IQCI4Nw8FQLTRoUhkIdLI4SuATTJRRTkbf2vQKer5Ak9ORU?e=3EK25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A745-C61F-6049-A0A7-8B52A073B83B}">
  <sheetPr filterMode="1"/>
  <dimension ref="A1:AB2708"/>
  <sheetViews>
    <sheetView tabSelected="1" topLeftCell="C2624" zoomScale="140" zoomScaleNormal="140" workbookViewId="0">
      <selection activeCell="C2" sqref="C2:C2698"/>
    </sheetView>
  </sheetViews>
  <sheetFormatPr defaultColWidth="8.85546875" defaultRowHeight="15"/>
  <cols>
    <col min="1" max="1" width="31.85546875" hidden="1" customWidth="1"/>
    <col min="2" max="2" width="53" hidden="1" customWidth="1"/>
    <col min="3" max="3" width="85.42578125" customWidth="1"/>
    <col min="4" max="4" width="17" customWidth="1"/>
    <col min="5" max="5" width="36.28515625" customWidth="1"/>
    <col min="6" max="6" width="34.42578125" customWidth="1"/>
    <col min="7" max="7" width="32.42578125" customWidth="1"/>
    <col min="8" max="8" width="19.5703125" customWidth="1"/>
    <col min="9" max="9" width="25.7109375" customWidth="1"/>
    <col min="10" max="10" width="20.85546875" bestFit="1" customWidth="1"/>
    <col min="11" max="11" width="24.85546875" bestFit="1" customWidth="1"/>
    <col min="12" max="12" width="18" bestFit="1" customWidth="1"/>
    <col min="13" max="13" width="15.7109375" bestFit="1" customWidth="1"/>
    <col min="15" max="15" width="10.42578125" bestFit="1" customWidth="1"/>
    <col min="16" max="16" width="255.85546875" bestFit="1" customWidth="1"/>
    <col min="17" max="17" width="16.85546875" bestFit="1" customWidth="1"/>
    <col min="18" max="18" width="16.42578125" bestFit="1" customWidth="1"/>
    <col min="19" max="19" width="25.28515625" bestFit="1" customWidth="1"/>
    <col min="24" max="24" width="31.85546875" bestFit="1" customWidth="1"/>
    <col min="27" max="27" width="31.85546875" bestFit="1" customWidth="1"/>
  </cols>
  <sheetData>
    <row r="1" spans="1:28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28">
      <c r="A2" t="s">
        <v>19</v>
      </c>
      <c r="B2" t="s">
        <v>20</v>
      </c>
      <c r="C2" t="s">
        <v>21</v>
      </c>
      <c r="E2">
        <v>13899</v>
      </c>
      <c r="F2">
        <v>164801</v>
      </c>
      <c r="G2">
        <v>4739</v>
      </c>
      <c r="H2">
        <v>56764</v>
      </c>
      <c r="J2" t="s">
        <v>22</v>
      </c>
      <c r="K2" t="b">
        <v>1</v>
      </c>
      <c r="L2">
        <f>E2+G2</f>
        <v>18638</v>
      </c>
      <c r="M2">
        <f>F2+H2</f>
        <v>221565</v>
      </c>
      <c r="N2" t="b">
        <v>0</v>
      </c>
      <c r="O2">
        <v>1</v>
      </c>
      <c r="P2" t="s">
        <v>23</v>
      </c>
      <c r="Q2">
        <v>2</v>
      </c>
      <c r="R2" t="b">
        <v>1</v>
      </c>
    </row>
    <row r="3" spans="1:28">
      <c r="A3" t="s">
        <v>24</v>
      </c>
      <c r="B3" t="s">
        <v>25</v>
      </c>
      <c r="C3" t="s">
        <v>26</v>
      </c>
      <c r="E3">
        <v>12284</v>
      </c>
      <c r="F3">
        <v>164744</v>
      </c>
      <c r="G3">
        <v>4723</v>
      </c>
      <c r="H3">
        <v>56704</v>
      </c>
      <c r="J3" t="s">
        <v>22</v>
      </c>
      <c r="K3" t="b">
        <v>1</v>
      </c>
      <c r="L3">
        <f t="shared" ref="L3:M66" si="0">E3+G3</f>
        <v>17007</v>
      </c>
      <c r="M3">
        <f t="shared" si="0"/>
        <v>221448</v>
      </c>
      <c r="N3" t="b">
        <v>0</v>
      </c>
      <c r="O3">
        <v>1</v>
      </c>
      <c r="P3" t="s">
        <v>27</v>
      </c>
      <c r="Q3">
        <v>2</v>
      </c>
      <c r="R3" t="b">
        <v>1</v>
      </c>
      <c r="Y3" t="s">
        <v>28</v>
      </c>
      <c r="AB3" t="s">
        <v>29</v>
      </c>
    </row>
    <row r="4" spans="1:28">
      <c r="A4" t="s">
        <v>30</v>
      </c>
      <c r="B4" t="s">
        <v>31</v>
      </c>
      <c r="C4" t="s">
        <v>32</v>
      </c>
      <c r="E4">
        <v>12004</v>
      </c>
      <c r="F4">
        <v>163700</v>
      </c>
      <c r="G4">
        <v>4702</v>
      </c>
      <c r="H4">
        <v>55974</v>
      </c>
      <c r="J4" t="s">
        <v>22</v>
      </c>
      <c r="K4" t="b">
        <v>1</v>
      </c>
      <c r="L4">
        <f t="shared" si="0"/>
        <v>16706</v>
      </c>
      <c r="M4">
        <f t="shared" si="0"/>
        <v>219674</v>
      </c>
      <c r="N4" t="b">
        <v>0</v>
      </c>
      <c r="O4">
        <v>1</v>
      </c>
      <c r="P4" t="s">
        <v>33</v>
      </c>
      <c r="Q4">
        <v>2</v>
      </c>
      <c r="R4" t="b">
        <v>1</v>
      </c>
      <c r="X4" t="str" cm="1">
        <f t="array" ref="X4:Y149">_xlfn.GROUPBY(A2:A2708,L2:L2708,_xleta.MAX)</f>
        <v>aruba-aaa-captive-portal</v>
      </c>
      <c r="Y4">
        <v>136</v>
      </c>
      <c r="AA4" t="str" cm="1">
        <f t="array" ref="AA4:AB149">_xlfn.GROUPBY(A2:A2708,M2:M2708,_xleta.MAX)</f>
        <v>aruba-aaa-captive-portal</v>
      </c>
      <c r="AB4">
        <v>1347</v>
      </c>
    </row>
    <row r="5" spans="1:28">
      <c r="A5" t="s">
        <v>30</v>
      </c>
      <c r="B5" t="s">
        <v>34</v>
      </c>
      <c r="C5" t="s">
        <v>35</v>
      </c>
      <c r="E5">
        <v>11920</v>
      </c>
      <c r="F5">
        <v>163620</v>
      </c>
      <c r="G5">
        <v>4696</v>
      </c>
      <c r="H5">
        <v>55900</v>
      </c>
      <c r="J5" t="s">
        <v>22</v>
      </c>
      <c r="K5" t="b">
        <v>1</v>
      </c>
      <c r="L5">
        <f t="shared" si="0"/>
        <v>16616</v>
      </c>
      <c r="M5">
        <f t="shared" si="0"/>
        <v>219520</v>
      </c>
      <c r="N5" t="b">
        <v>0</v>
      </c>
      <c r="O5">
        <v>1</v>
      </c>
      <c r="P5" t="s">
        <v>36</v>
      </c>
      <c r="Q5">
        <v>4</v>
      </c>
      <c r="R5" t="b">
        <v>1</v>
      </c>
      <c r="X5" t="str">
        <v>aruba-aaa-dot1xauth</v>
      </c>
      <c r="Y5">
        <v>4709</v>
      </c>
      <c r="AA5" t="str">
        <v>aruba-aaa-dot1xauth</v>
      </c>
      <c r="AB5">
        <v>43489</v>
      </c>
    </row>
    <row r="6" spans="1:28">
      <c r="A6" t="s">
        <v>37</v>
      </c>
      <c r="B6" t="s">
        <v>38</v>
      </c>
      <c r="C6" t="s">
        <v>39</v>
      </c>
      <c r="E6">
        <v>11769</v>
      </c>
      <c r="F6">
        <v>164794</v>
      </c>
      <c r="G6">
        <v>4745</v>
      </c>
      <c r="H6">
        <v>56766</v>
      </c>
      <c r="J6" t="s">
        <v>22</v>
      </c>
      <c r="K6" t="b">
        <v>1</v>
      </c>
      <c r="L6">
        <f t="shared" si="0"/>
        <v>16514</v>
      </c>
      <c r="M6">
        <f t="shared" si="0"/>
        <v>221560</v>
      </c>
      <c r="N6" t="b">
        <v>0</v>
      </c>
      <c r="O6">
        <v>1</v>
      </c>
      <c r="P6" t="s">
        <v>33</v>
      </c>
      <c r="Q6">
        <v>2</v>
      </c>
      <c r="R6" t="b">
        <v>1</v>
      </c>
      <c r="X6" t="str">
        <v>aruba-aaa-macauth</v>
      </c>
      <c r="Y6">
        <v>4741</v>
      </c>
      <c r="AA6" t="str">
        <v>aruba-aaa-macauth</v>
      </c>
      <c r="AB6">
        <v>45015</v>
      </c>
    </row>
    <row r="7" spans="1:28">
      <c r="A7" t="s">
        <v>19</v>
      </c>
      <c r="B7" t="s">
        <v>40</v>
      </c>
      <c r="C7" t="s">
        <v>41</v>
      </c>
      <c r="E7">
        <v>12399</v>
      </c>
      <c r="F7">
        <v>146924</v>
      </c>
      <c r="G7">
        <v>3677</v>
      </c>
      <c r="H7">
        <v>46218</v>
      </c>
      <c r="J7" t="s">
        <v>22</v>
      </c>
      <c r="K7" t="b">
        <v>1</v>
      </c>
      <c r="L7">
        <f t="shared" si="0"/>
        <v>16076</v>
      </c>
      <c r="M7">
        <f t="shared" si="0"/>
        <v>193142</v>
      </c>
      <c r="N7" t="b">
        <v>0</v>
      </c>
      <c r="O7">
        <v>1</v>
      </c>
      <c r="P7" t="s">
        <v>42</v>
      </c>
      <c r="Q7">
        <v>2</v>
      </c>
      <c r="R7" t="b">
        <v>1</v>
      </c>
      <c r="X7" t="str">
        <v>aruba-aaa-profile</v>
      </c>
      <c r="Y7">
        <v>1826</v>
      </c>
      <c r="AA7" t="str">
        <v>aruba-aaa-profile</v>
      </c>
      <c r="AB7">
        <v>33774</v>
      </c>
    </row>
    <row r="8" spans="1:28">
      <c r="A8" t="s">
        <v>43</v>
      </c>
      <c r="B8" t="s">
        <v>44</v>
      </c>
      <c r="C8" t="s">
        <v>45</v>
      </c>
      <c r="E8">
        <v>11577</v>
      </c>
      <c r="F8">
        <v>156736</v>
      </c>
      <c r="G8">
        <v>4403</v>
      </c>
      <c r="H8">
        <v>53610</v>
      </c>
      <c r="J8" t="s">
        <v>22</v>
      </c>
      <c r="K8" t="b">
        <v>1</v>
      </c>
      <c r="L8">
        <f t="shared" si="0"/>
        <v>15980</v>
      </c>
      <c r="M8">
        <f t="shared" si="0"/>
        <v>210346</v>
      </c>
      <c r="N8" t="b">
        <v>0</v>
      </c>
      <c r="O8">
        <v>1</v>
      </c>
      <c r="P8" t="s">
        <v>33</v>
      </c>
      <c r="Q8">
        <v>2</v>
      </c>
      <c r="R8" t="b">
        <v>1</v>
      </c>
      <c r="X8" t="str">
        <v>aruba-advanced-intelligent-forwarding</v>
      </c>
      <c r="Y8">
        <v>5</v>
      </c>
      <c r="AA8" t="str">
        <v>aruba-advanced-intelligent-forwarding</v>
      </c>
      <c r="AB8">
        <v>43</v>
      </c>
    </row>
    <row r="9" spans="1:28">
      <c r="A9" t="s">
        <v>46</v>
      </c>
      <c r="B9" t="s">
        <v>47</v>
      </c>
      <c r="C9" t="s">
        <v>48</v>
      </c>
      <c r="E9">
        <v>11242</v>
      </c>
      <c r="F9">
        <v>163443</v>
      </c>
      <c r="G9">
        <v>4732</v>
      </c>
      <c r="H9">
        <v>56626</v>
      </c>
      <c r="J9" t="s">
        <v>22</v>
      </c>
      <c r="K9" t="b">
        <v>1</v>
      </c>
      <c r="L9">
        <f t="shared" si="0"/>
        <v>15974</v>
      </c>
      <c r="M9">
        <f t="shared" si="0"/>
        <v>220069</v>
      </c>
      <c r="N9" t="b">
        <v>0</v>
      </c>
      <c r="O9">
        <v>1</v>
      </c>
      <c r="P9" t="s">
        <v>49</v>
      </c>
      <c r="Q9">
        <v>2</v>
      </c>
      <c r="R9" t="b">
        <v>1</v>
      </c>
      <c r="X9" t="str">
        <v>aruba-app-recog-control</v>
      </c>
      <c r="Y9">
        <v>87</v>
      </c>
      <c r="AA9" t="str">
        <v>aruba-app-recog-control</v>
      </c>
      <c r="AB9">
        <v>362</v>
      </c>
    </row>
    <row r="10" spans="1:28">
      <c r="A10" t="s">
        <v>46</v>
      </c>
      <c r="B10" t="s">
        <v>50</v>
      </c>
      <c r="C10" t="s">
        <v>51</v>
      </c>
      <c r="E10">
        <v>11242</v>
      </c>
      <c r="F10">
        <v>163443</v>
      </c>
      <c r="G10">
        <v>4732</v>
      </c>
      <c r="H10">
        <v>56626</v>
      </c>
      <c r="J10" t="s">
        <v>22</v>
      </c>
      <c r="K10" t="b">
        <v>1</v>
      </c>
      <c r="L10">
        <f t="shared" si="0"/>
        <v>15974</v>
      </c>
      <c r="M10">
        <f t="shared" si="0"/>
        <v>220069</v>
      </c>
      <c r="N10" t="b">
        <v>0</v>
      </c>
      <c r="O10">
        <v>1</v>
      </c>
      <c r="P10" t="s">
        <v>52</v>
      </c>
      <c r="Q10">
        <v>2</v>
      </c>
      <c r="R10" t="b">
        <v>1</v>
      </c>
      <c r="X10" t="str">
        <v>aruba-aspath-list</v>
      </c>
      <c r="Y10">
        <v>29</v>
      </c>
      <c r="AA10" t="str">
        <v>aruba-aspath-list</v>
      </c>
      <c r="AB10">
        <v>55</v>
      </c>
    </row>
    <row r="11" spans="1:28">
      <c r="A11" t="s">
        <v>46</v>
      </c>
      <c r="B11" t="s">
        <v>53</v>
      </c>
      <c r="C11" t="s">
        <v>54</v>
      </c>
      <c r="E11">
        <v>11198</v>
      </c>
      <c r="F11">
        <v>163443</v>
      </c>
      <c r="G11">
        <v>4732</v>
      </c>
      <c r="H11">
        <v>56626</v>
      </c>
      <c r="J11" t="s">
        <v>22</v>
      </c>
      <c r="K11" t="b">
        <v>1</v>
      </c>
      <c r="L11">
        <f t="shared" si="0"/>
        <v>15930</v>
      </c>
      <c r="M11">
        <f t="shared" si="0"/>
        <v>220069</v>
      </c>
      <c r="N11" t="b">
        <v>0</v>
      </c>
      <c r="O11">
        <v>1</v>
      </c>
      <c r="P11" t="s">
        <v>55</v>
      </c>
      <c r="Q11">
        <v>2</v>
      </c>
      <c r="R11" t="b">
        <v>1</v>
      </c>
      <c r="X11" t="str">
        <v>aruba-auth-server</v>
      </c>
      <c r="Y11">
        <v>5838</v>
      </c>
      <c r="AA11" t="str">
        <v>aruba-auth-server</v>
      </c>
      <c r="AB11">
        <v>109876</v>
      </c>
    </row>
    <row r="12" spans="1:28">
      <c r="A12" t="s">
        <v>46</v>
      </c>
      <c r="B12" t="s">
        <v>56</v>
      </c>
      <c r="C12" t="s">
        <v>57</v>
      </c>
      <c r="E12">
        <v>11188</v>
      </c>
      <c r="F12">
        <v>163439</v>
      </c>
      <c r="G12">
        <v>4727</v>
      </c>
      <c r="H12">
        <v>56619</v>
      </c>
      <c r="J12" t="s">
        <v>22</v>
      </c>
      <c r="K12" t="b">
        <v>1</v>
      </c>
      <c r="L12">
        <f t="shared" si="0"/>
        <v>15915</v>
      </c>
      <c r="M12">
        <f t="shared" si="0"/>
        <v>220058</v>
      </c>
      <c r="N12" t="b">
        <v>0</v>
      </c>
      <c r="O12">
        <v>1</v>
      </c>
      <c r="P12" t="s">
        <v>58</v>
      </c>
      <c r="Q12">
        <v>2</v>
      </c>
      <c r="R12" t="b">
        <v>1</v>
      </c>
      <c r="X12" t="str">
        <v>aruba-auth-server-global</v>
      </c>
      <c r="Y12">
        <v>2701</v>
      </c>
      <c r="AA12" t="str">
        <v>aruba-auth-server-global</v>
      </c>
      <c r="AB12">
        <v>51053</v>
      </c>
    </row>
    <row r="13" spans="1:28">
      <c r="A13" t="s">
        <v>59</v>
      </c>
      <c r="B13" t="s">
        <v>60</v>
      </c>
      <c r="C13" t="s">
        <v>61</v>
      </c>
      <c r="E13">
        <v>11073</v>
      </c>
      <c r="F13">
        <v>164131</v>
      </c>
      <c r="G13">
        <v>4708</v>
      </c>
      <c r="H13">
        <v>56388</v>
      </c>
      <c r="J13" t="s">
        <v>22</v>
      </c>
      <c r="K13" t="b">
        <v>1</v>
      </c>
      <c r="L13">
        <f t="shared" si="0"/>
        <v>15781</v>
      </c>
      <c r="M13">
        <f t="shared" si="0"/>
        <v>220519</v>
      </c>
      <c r="N13" t="b">
        <v>0</v>
      </c>
      <c r="O13">
        <v>1</v>
      </c>
      <c r="P13" t="s">
        <v>62</v>
      </c>
      <c r="Q13">
        <v>2</v>
      </c>
      <c r="R13" t="b">
        <v>1</v>
      </c>
      <c r="X13" t="str">
        <v>aruba-auth-server-group</v>
      </c>
      <c r="Y13">
        <v>3811</v>
      </c>
      <c r="AA13" t="str">
        <v>aruba-auth-server-group</v>
      </c>
      <c r="AB13">
        <v>69969</v>
      </c>
    </row>
    <row r="14" spans="1:28">
      <c r="A14" t="s">
        <v>59</v>
      </c>
      <c r="B14" t="s">
        <v>63</v>
      </c>
      <c r="C14" t="s">
        <v>64</v>
      </c>
      <c r="E14">
        <v>11073</v>
      </c>
      <c r="F14">
        <v>164131</v>
      </c>
      <c r="G14">
        <v>4708</v>
      </c>
      <c r="H14">
        <v>56388</v>
      </c>
      <c r="J14" t="s">
        <v>22</v>
      </c>
      <c r="K14" t="b">
        <v>1</v>
      </c>
      <c r="L14">
        <f t="shared" si="0"/>
        <v>15781</v>
      </c>
      <c r="M14">
        <f t="shared" si="0"/>
        <v>220519</v>
      </c>
      <c r="N14" t="b">
        <v>0</v>
      </c>
      <c r="O14">
        <v>1</v>
      </c>
      <c r="P14" t="s">
        <v>65</v>
      </c>
      <c r="Q14">
        <v>2</v>
      </c>
      <c r="R14" t="b">
        <v>1</v>
      </c>
      <c r="X14" t="str">
        <v>aruba-bfd</v>
      </c>
      <c r="Y14">
        <v>179</v>
      </c>
      <c r="AA14" t="str">
        <v>aruba-bfd</v>
      </c>
      <c r="AB14">
        <v>1283</v>
      </c>
    </row>
    <row r="15" spans="1:28">
      <c r="A15" t="s">
        <v>43</v>
      </c>
      <c r="B15" t="s">
        <v>66</v>
      </c>
      <c r="C15" t="s">
        <v>67</v>
      </c>
      <c r="E15">
        <v>11191</v>
      </c>
      <c r="F15">
        <v>156566</v>
      </c>
      <c r="G15">
        <v>4381</v>
      </c>
      <c r="H15">
        <v>53496</v>
      </c>
      <c r="J15" t="s">
        <v>22</v>
      </c>
      <c r="K15" t="b">
        <v>1</v>
      </c>
      <c r="L15">
        <f t="shared" si="0"/>
        <v>15572</v>
      </c>
      <c r="M15">
        <f t="shared" si="0"/>
        <v>210062</v>
      </c>
      <c r="N15" t="b">
        <v>0</v>
      </c>
      <c r="O15">
        <v>1</v>
      </c>
      <c r="P15" t="s">
        <v>68</v>
      </c>
      <c r="Q15">
        <v>2</v>
      </c>
      <c r="R15" t="b">
        <v>1</v>
      </c>
      <c r="X15" t="str">
        <v>aruba-bgp</v>
      </c>
      <c r="Y15">
        <v>397</v>
      </c>
      <c r="AA15" t="str">
        <v>aruba-bgp</v>
      </c>
      <c r="AB15">
        <v>2951</v>
      </c>
    </row>
    <row r="16" spans="1:28">
      <c r="A16" t="s">
        <v>59</v>
      </c>
      <c r="B16" t="s">
        <v>69</v>
      </c>
      <c r="C16" t="s">
        <v>70</v>
      </c>
      <c r="E16">
        <v>10849</v>
      </c>
      <c r="F16">
        <v>163611</v>
      </c>
      <c r="G16">
        <v>4691</v>
      </c>
      <c r="H16">
        <v>56272</v>
      </c>
      <c r="J16" t="s">
        <v>22</v>
      </c>
      <c r="K16" t="b">
        <v>1</v>
      </c>
      <c r="L16">
        <f t="shared" si="0"/>
        <v>15540</v>
      </c>
      <c r="M16">
        <f t="shared" si="0"/>
        <v>219883</v>
      </c>
      <c r="N16" t="b">
        <v>0</v>
      </c>
      <c r="O16">
        <v>1</v>
      </c>
      <c r="P16" t="s">
        <v>71</v>
      </c>
      <c r="Q16">
        <v>2</v>
      </c>
      <c r="R16" t="b">
        <v>1</v>
      </c>
      <c r="X16" t="str">
        <v>aruba-cdp</v>
      </c>
      <c r="Y16">
        <v>277</v>
      </c>
      <c r="AA16" t="str">
        <v>aruba-cdp</v>
      </c>
      <c r="AB16">
        <v>2727</v>
      </c>
    </row>
    <row r="17" spans="1:28">
      <c r="A17" t="s">
        <v>37</v>
      </c>
      <c r="B17" t="s">
        <v>72</v>
      </c>
      <c r="C17" t="s">
        <v>73</v>
      </c>
      <c r="E17">
        <v>10806</v>
      </c>
      <c r="F17">
        <v>164502</v>
      </c>
      <c r="G17">
        <v>4732</v>
      </c>
      <c r="H17">
        <v>56713</v>
      </c>
      <c r="J17" t="s">
        <v>22</v>
      </c>
      <c r="K17" t="b">
        <v>1</v>
      </c>
      <c r="L17">
        <f t="shared" si="0"/>
        <v>15538</v>
      </c>
      <c r="M17">
        <f t="shared" si="0"/>
        <v>221215</v>
      </c>
      <c r="N17" t="b">
        <v>0</v>
      </c>
      <c r="O17">
        <v>1</v>
      </c>
      <c r="P17" t="s">
        <v>74</v>
      </c>
      <c r="Q17">
        <v>2</v>
      </c>
      <c r="R17" t="b">
        <v>1</v>
      </c>
      <c r="X17" t="str">
        <v>aruba-certificate-rcp</v>
      </c>
      <c r="Y17">
        <v>1089</v>
      </c>
      <c r="AA17" t="str">
        <v>aruba-certificate-rcp</v>
      </c>
      <c r="AB17">
        <v>19003</v>
      </c>
    </row>
    <row r="18" spans="1:28">
      <c r="A18" t="s">
        <v>24</v>
      </c>
      <c r="B18" t="s">
        <v>75</v>
      </c>
      <c r="C18" t="s">
        <v>76</v>
      </c>
      <c r="E18">
        <v>10512</v>
      </c>
      <c r="F18">
        <v>164737</v>
      </c>
      <c r="G18">
        <v>4716</v>
      </c>
      <c r="H18">
        <v>56694</v>
      </c>
      <c r="J18" t="s">
        <v>22</v>
      </c>
      <c r="K18" t="b">
        <v>1</v>
      </c>
      <c r="L18">
        <f t="shared" si="0"/>
        <v>15228</v>
      </c>
      <c r="M18">
        <f t="shared" si="0"/>
        <v>221431</v>
      </c>
      <c r="N18" t="b">
        <v>0</v>
      </c>
      <c r="O18">
        <v>1</v>
      </c>
      <c r="P18" t="s">
        <v>77</v>
      </c>
      <c r="Q18">
        <v>30</v>
      </c>
      <c r="R18" t="b">
        <v>1</v>
      </c>
      <c r="X18" t="str">
        <v>aruba-client-insight</v>
      </c>
      <c r="Y18">
        <v>1669</v>
      </c>
      <c r="AA18" t="str">
        <v>aruba-client-insight</v>
      </c>
      <c r="AB18">
        <v>12943</v>
      </c>
    </row>
    <row r="19" spans="1:28">
      <c r="A19" t="s">
        <v>24</v>
      </c>
      <c r="B19" t="s">
        <v>78</v>
      </c>
      <c r="C19" t="s">
        <v>79</v>
      </c>
      <c r="E19">
        <v>10276</v>
      </c>
      <c r="F19">
        <v>163908</v>
      </c>
      <c r="G19">
        <v>4673</v>
      </c>
      <c r="H19">
        <v>56173</v>
      </c>
      <c r="J19" t="s">
        <v>22</v>
      </c>
      <c r="K19" t="b">
        <v>1</v>
      </c>
      <c r="L19">
        <f t="shared" si="0"/>
        <v>14949</v>
      </c>
      <c r="M19">
        <f t="shared" si="0"/>
        <v>220081</v>
      </c>
      <c r="N19" t="b">
        <v>0</v>
      </c>
      <c r="O19">
        <v>1</v>
      </c>
      <c r="P19" t="s">
        <v>80</v>
      </c>
      <c r="Q19">
        <v>2</v>
      </c>
      <c r="R19" t="b">
        <v>1</v>
      </c>
      <c r="X19" t="str">
        <v>aruba-client-iptracker</v>
      </c>
      <c r="Y19">
        <v>3410</v>
      </c>
      <c r="AA19" t="str">
        <v>aruba-client-iptracker</v>
      </c>
      <c r="AB19">
        <v>43695</v>
      </c>
    </row>
    <row r="20" spans="1:28">
      <c r="A20" t="s">
        <v>24</v>
      </c>
      <c r="B20" t="s">
        <v>81</v>
      </c>
      <c r="C20" t="s">
        <v>82</v>
      </c>
      <c r="E20">
        <v>9950</v>
      </c>
      <c r="F20">
        <v>154273</v>
      </c>
      <c r="G20">
        <v>4352</v>
      </c>
      <c r="H20">
        <v>52639</v>
      </c>
      <c r="J20" t="s">
        <v>22</v>
      </c>
      <c r="K20" t="b">
        <v>1</v>
      </c>
      <c r="L20">
        <f t="shared" si="0"/>
        <v>14302</v>
      </c>
      <c r="M20">
        <f t="shared" si="0"/>
        <v>206912</v>
      </c>
      <c r="N20" t="b">
        <v>0</v>
      </c>
      <c r="O20">
        <v>1</v>
      </c>
      <c r="P20" t="s">
        <v>83</v>
      </c>
      <c r="Q20">
        <v>2</v>
      </c>
      <c r="R20" t="b">
        <v>1</v>
      </c>
      <c r="X20" t="str">
        <v>aruba-community-list</v>
      </c>
      <c r="Y20">
        <v>18</v>
      </c>
      <c r="AA20" t="str">
        <v>aruba-community-list</v>
      </c>
      <c r="AB20">
        <v>125</v>
      </c>
    </row>
    <row r="21" spans="1:28">
      <c r="A21" t="s">
        <v>37</v>
      </c>
      <c r="B21" t="s">
        <v>84</v>
      </c>
      <c r="C21" t="s">
        <v>85</v>
      </c>
      <c r="E21">
        <v>9303</v>
      </c>
      <c r="F21">
        <v>147485</v>
      </c>
      <c r="G21">
        <v>4625</v>
      </c>
      <c r="H21">
        <v>51310</v>
      </c>
      <c r="J21" t="s">
        <v>22</v>
      </c>
      <c r="K21" t="b">
        <v>1</v>
      </c>
      <c r="L21">
        <f t="shared" si="0"/>
        <v>13928</v>
      </c>
      <c r="M21">
        <f t="shared" si="0"/>
        <v>198795</v>
      </c>
      <c r="N21" t="b">
        <v>0</v>
      </c>
      <c r="O21">
        <v>1</v>
      </c>
      <c r="P21" t="s">
        <v>86</v>
      </c>
      <c r="Q21">
        <v>2</v>
      </c>
      <c r="R21" t="b">
        <v>1</v>
      </c>
      <c r="X21" t="str">
        <v>aruba-config-checkpoint</v>
      </c>
      <c r="Y21">
        <v>15</v>
      </c>
      <c r="AA21" t="str">
        <v>aruba-config-checkpoint</v>
      </c>
      <c r="AB21">
        <v>15</v>
      </c>
    </row>
    <row r="22" spans="1:28">
      <c r="A22" t="s">
        <v>87</v>
      </c>
      <c r="B22" t="s">
        <v>88</v>
      </c>
      <c r="C22" t="s">
        <v>89</v>
      </c>
      <c r="E22">
        <v>9928</v>
      </c>
      <c r="F22">
        <v>141768</v>
      </c>
      <c r="G22">
        <v>3759</v>
      </c>
      <c r="H22">
        <v>47076</v>
      </c>
      <c r="J22" t="s">
        <v>22</v>
      </c>
      <c r="K22" t="b">
        <v>1</v>
      </c>
      <c r="L22">
        <f t="shared" si="0"/>
        <v>13687</v>
      </c>
      <c r="M22">
        <f t="shared" si="0"/>
        <v>188844</v>
      </c>
      <c r="N22" t="b">
        <v>0</v>
      </c>
      <c r="O22">
        <v>1</v>
      </c>
      <c r="P22" t="s">
        <v>33</v>
      </c>
      <c r="Q22">
        <v>2</v>
      </c>
      <c r="R22" t="b">
        <v>1</v>
      </c>
      <c r="X22" t="str">
        <v>aruba-container</v>
      </c>
      <c r="Y22">
        <v>6</v>
      </c>
      <c r="AA22" t="str">
        <v>aruba-container</v>
      </c>
      <c r="AB22">
        <v>6</v>
      </c>
    </row>
    <row r="23" spans="1:28" hidden="1">
      <c r="A23" t="s">
        <v>46</v>
      </c>
      <c r="B23" t="s">
        <v>90</v>
      </c>
      <c r="C23" s="2" t="s">
        <v>91</v>
      </c>
      <c r="D23" s="2" t="s">
        <v>92</v>
      </c>
      <c r="E23">
        <v>8719</v>
      </c>
      <c r="F23">
        <v>163436</v>
      </c>
      <c r="G23">
        <v>4510</v>
      </c>
      <c r="H23">
        <v>56308</v>
      </c>
      <c r="J23" t="s">
        <v>93</v>
      </c>
      <c r="K23" t="b">
        <v>1</v>
      </c>
      <c r="L23">
        <f t="shared" si="0"/>
        <v>13229</v>
      </c>
      <c r="M23">
        <f t="shared" si="0"/>
        <v>219744</v>
      </c>
      <c r="N23" t="b">
        <v>0</v>
      </c>
      <c r="O23">
        <v>0</v>
      </c>
      <c r="Q23">
        <v>0</v>
      </c>
      <c r="R23" t="b">
        <v>0</v>
      </c>
      <c r="X23" t="str">
        <v>aruba-container-network</v>
      </c>
      <c r="Y23">
        <v>2</v>
      </c>
      <c r="AA23" t="str">
        <v>aruba-container-network</v>
      </c>
      <c r="AB23">
        <v>2</v>
      </c>
    </row>
    <row r="24" spans="1:28">
      <c r="A24" t="s">
        <v>24</v>
      </c>
      <c r="B24" t="s">
        <v>94</v>
      </c>
      <c r="C24" t="s">
        <v>95</v>
      </c>
      <c r="E24">
        <v>8663</v>
      </c>
      <c r="F24">
        <v>129706</v>
      </c>
      <c r="G24">
        <v>3848</v>
      </c>
      <c r="H24">
        <v>45045</v>
      </c>
      <c r="J24" t="s">
        <v>22</v>
      </c>
      <c r="K24" t="b">
        <v>1</v>
      </c>
      <c r="L24">
        <f t="shared" si="0"/>
        <v>12511</v>
      </c>
      <c r="M24">
        <f t="shared" si="0"/>
        <v>174751</v>
      </c>
      <c r="N24" t="b">
        <v>0</v>
      </c>
      <c r="O24">
        <v>1</v>
      </c>
      <c r="P24" t="s">
        <v>96</v>
      </c>
      <c r="Q24">
        <v>2</v>
      </c>
      <c r="R24" t="b">
        <v>1</v>
      </c>
      <c r="X24" t="str">
        <v>aruba-copp</v>
      </c>
      <c r="Y24">
        <v>94</v>
      </c>
      <c r="AA24" t="str">
        <v>aruba-copp</v>
      </c>
      <c r="AB24">
        <v>1430</v>
      </c>
    </row>
    <row r="25" spans="1:28">
      <c r="A25" t="s">
        <v>43</v>
      </c>
      <c r="B25" t="s">
        <v>97</v>
      </c>
      <c r="C25" t="s">
        <v>98</v>
      </c>
      <c r="E25">
        <v>8298</v>
      </c>
      <c r="F25">
        <v>116909</v>
      </c>
      <c r="G25">
        <v>4013</v>
      </c>
      <c r="H25">
        <v>42994</v>
      </c>
      <c r="J25" t="s">
        <v>22</v>
      </c>
      <c r="K25" t="b">
        <v>1</v>
      </c>
      <c r="L25">
        <f t="shared" si="0"/>
        <v>12311</v>
      </c>
      <c r="M25">
        <f t="shared" si="0"/>
        <v>159903</v>
      </c>
      <c r="N25" t="b">
        <v>0</v>
      </c>
      <c r="O25">
        <v>0</v>
      </c>
      <c r="Q25">
        <v>0</v>
      </c>
      <c r="R25" t="b">
        <v>0</v>
      </c>
      <c r="X25" t="str">
        <v>aruba-countermon</v>
      </c>
      <c r="Y25">
        <v>9</v>
      </c>
      <c r="AA25" t="str">
        <v>aruba-countermon</v>
      </c>
      <c r="AB25">
        <v>25</v>
      </c>
    </row>
    <row r="26" spans="1:28">
      <c r="A26" t="s">
        <v>43</v>
      </c>
      <c r="B26" t="s">
        <v>99</v>
      </c>
      <c r="C26" t="s">
        <v>100</v>
      </c>
      <c r="E26">
        <v>8276</v>
      </c>
      <c r="F26">
        <v>116779</v>
      </c>
      <c r="G26">
        <v>4011</v>
      </c>
      <c r="H26">
        <v>42848</v>
      </c>
      <c r="J26" t="s">
        <v>22</v>
      </c>
      <c r="K26" t="b">
        <v>1</v>
      </c>
      <c r="L26">
        <f t="shared" si="0"/>
        <v>12287</v>
      </c>
      <c r="M26">
        <f t="shared" si="0"/>
        <v>159627</v>
      </c>
      <c r="N26" t="b">
        <v>0</v>
      </c>
      <c r="O26">
        <v>1</v>
      </c>
      <c r="P26" t="s">
        <v>101</v>
      </c>
      <c r="Q26">
        <v>2</v>
      </c>
      <c r="R26" t="b">
        <v>1</v>
      </c>
      <c r="X26" t="str">
        <v>aruba-device-certificate</v>
      </c>
      <c r="Y26">
        <v>349</v>
      </c>
      <c r="AA26" t="str">
        <v>aruba-device-certificate</v>
      </c>
      <c r="AB26">
        <v>3612</v>
      </c>
    </row>
    <row r="27" spans="1:28">
      <c r="A27" t="s">
        <v>102</v>
      </c>
      <c r="B27" t="s">
        <v>103</v>
      </c>
      <c r="C27" t="s">
        <v>104</v>
      </c>
      <c r="E27">
        <v>9072</v>
      </c>
      <c r="F27">
        <v>135492</v>
      </c>
      <c r="G27">
        <v>3210</v>
      </c>
      <c r="H27">
        <v>45102</v>
      </c>
      <c r="J27" t="s">
        <v>22</v>
      </c>
      <c r="K27" t="b">
        <v>1</v>
      </c>
      <c r="L27">
        <f t="shared" si="0"/>
        <v>12282</v>
      </c>
      <c r="M27">
        <f t="shared" si="0"/>
        <v>180594</v>
      </c>
      <c r="N27" t="b">
        <v>0</v>
      </c>
      <c r="O27">
        <v>1</v>
      </c>
      <c r="P27" t="s">
        <v>105</v>
      </c>
      <c r="Q27">
        <v>4</v>
      </c>
      <c r="R27" t="b">
        <v>1</v>
      </c>
      <c r="X27" t="str">
        <v>aruba-devicefingerprinting</v>
      </c>
      <c r="Y27">
        <v>842</v>
      </c>
      <c r="AA27" t="str">
        <v>aruba-devicefingerprinting</v>
      </c>
      <c r="AB27">
        <v>6516</v>
      </c>
    </row>
    <row r="28" spans="1:28">
      <c r="A28" t="s">
        <v>87</v>
      </c>
      <c r="B28" t="s">
        <v>106</v>
      </c>
      <c r="C28" t="s">
        <v>107</v>
      </c>
      <c r="E28">
        <v>8738</v>
      </c>
      <c r="F28">
        <v>123329</v>
      </c>
      <c r="G28">
        <v>3272</v>
      </c>
      <c r="H28">
        <v>41833</v>
      </c>
      <c r="J28" t="s">
        <v>22</v>
      </c>
      <c r="K28" t="b">
        <v>1</v>
      </c>
      <c r="L28">
        <f t="shared" si="0"/>
        <v>12010</v>
      </c>
      <c r="M28">
        <f t="shared" si="0"/>
        <v>165162</v>
      </c>
      <c r="N28" t="b">
        <v>0</v>
      </c>
      <c r="O28">
        <v>1</v>
      </c>
      <c r="P28" t="s">
        <v>108</v>
      </c>
      <c r="Q28">
        <v>2</v>
      </c>
      <c r="R28" t="b">
        <v>1</v>
      </c>
      <c r="X28" t="str">
        <v>aruba-devicefingerprinting-profile</v>
      </c>
      <c r="Y28">
        <v>1026</v>
      </c>
      <c r="AA28" t="str">
        <v>aruba-devicefingerprinting-profile</v>
      </c>
      <c r="AB28">
        <v>9441</v>
      </c>
    </row>
    <row r="29" spans="1:28">
      <c r="A29" t="s">
        <v>43</v>
      </c>
      <c r="B29" t="s">
        <v>109</v>
      </c>
      <c r="C29" t="s">
        <v>110</v>
      </c>
      <c r="E29">
        <v>7744</v>
      </c>
      <c r="F29">
        <v>110269</v>
      </c>
      <c r="G29">
        <v>3937</v>
      </c>
      <c r="H29">
        <v>41584</v>
      </c>
      <c r="J29" t="s">
        <v>22</v>
      </c>
      <c r="K29" t="b">
        <v>1</v>
      </c>
      <c r="L29">
        <f t="shared" si="0"/>
        <v>11681</v>
      </c>
      <c r="M29">
        <f t="shared" si="0"/>
        <v>151853</v>
      </c>
      <c r="N29" t="b">
        <v>0</v>
      </c>
      <c r="O29">
        <v>1</v>
      </c>
      <c r="P29" t="s">
        <v>111</v>
      </c>
      <c r="Q29">
        <v>2</v>
      </c>
      <c r="R29" t="b">
        <v>1</v>
      </c>
      <c r="X29" t="str">
        <v>aruba-device-profile</v>
      </c>
      <c r="Y29">
        <v>2133</v>
      </c>
      <c r="AA29" t="str">
        <v>aruba-device-profile</v>
      </c>
      <c r="AB29">
        <v>23341</v>
      </c>
    </row>
    <row r="30" spans="1:28">
      <c r="A30" t="s">
        <v>43</v>
      </c>
      <c r="B30" t="s">
        <v>112</v>
      </c>
      <c r="C30" t="s">
        <v>113</v>
      </c>
      <c r="E30">
        <v>7741</v>
      </c>
      <c r="F30">
        <v>110208</v>
      </c>
      <c r="G30">
        <v>3937</v>
      </c>
      <c r="H30">
        <v>41574</v>
      </c>
      <c r="J30" t="s">
        <v>22</v>
      </c>
      <c r="K30" t="b">
        <v>1</v>
      </c>
      <c r="L30">
        <f t="shared" si="0"/>
        <v>11678</v>
      </c>
      <c r="M30">
        <f t="shared" si="0"/>
        <v>151782</v>
      </c>
      <c r="N30" t="b">
        <v>0</v>
      </c>
      <c r="O30">
        <v>1</v>
      </c>
      <c r="P30" t="s">
        <v>114</v>
      </c>
      <c r="Q30">
        <v>2</v>
      </c>
      <c r="R30" t="b">
        <v>1</v>
      </c>
      <c r="X30" t="str">
        <v>aruba-dhcp-client</v>
      </c>
      <c r="Y30">
        <v>28</v>
      </c>
      <c r="AA30" t="str">
        <v>aruba-dhcp-client</v>
      </c>
      <c r="AB30">
        <v>150</v>
      </c>
    </row>
    <row r="31" spans="1:28">
      <c r="A31" t="s">
        <v>115</v>
      </c>
      <c r="B31" t="s">
        <v>116</v>
      </c>
      <c r="C31" t="s">
        <v>117</v>
      </c>
      <c r="E31">
        <v>7989</v>
      </c>
      <c r="F31">
        <v>129311</v>
      </c>
      <c r="G31">
        <v>3478</v>
      </c>
      <c r="H31">
        <v>44908</v>
      </c>
      <c r="J31" t="s">
        <v>22</v>
      </c>
      <c r="K31" t="b">
        <v>1</v>
      </c>
      <c r="L31">
        <f t="shared" si="0"/>
        <v>11467</v>
      </c>
      <c r="M31">
        <f t="shared" si="0"/>
        <v>174219</v>
      </c>
      <c r="N31" t="b">
        <v>0</v>
      </c>
      <c r="O31">
        <v>1</v>
      </c>
      <c r="P31" t="s">
        <v>33</v>
      </c>
      <c r="Q31">
        <v>2</v>
      </c>
      <c r="R31" t="b">
        <v>1</v>
      </c>
      <c r="X31" t="str">
        <v>aruba-dhcp-pool</v>
      </c>
      <c r="Y31">
        <v>863</v>
      </c>
      <c r="AA31" t="str">
        <v>aruba-dhcp-pool</v>
      </c>
      <c r="AB31">
        <v>2488</v>
      </c>
    </row>
    <row r="32" spans="1:28">
      <c r="A32" t="s">
        <v>115</v>
      </c>
      <c r="B32" t="s">
        <v>118</v>
      </c>
      <c r="C32" t="s">
        <v>119</v>
      </c>
      <c r="E32">
        <v>7978</v>
      </c>
      <c r="F32">
        <v>129307</v>
      </c>
      <c r="G32">
        <v>3478</v>
      </c>
      <c r="H32">
        <v>44907</v>
      </c>
      <c r="J32" t="s">
        <v>22</v>
      </c>
      <c r="K32" t="b">
        <v>1</v>
      </c>
      <c r="L32">
        <f t="shared" si="0"/>
        <v>11456</v>
      </c>
      <c r="M32">
        <f t="shared" si="0"/>
        <v>174214</v>
      </c>
      <c r="N32" t="b">
        <v>0</v>
      </c>
      <c r="O32">
        <v>0</v>
      </c>
      <c r="Q32">
        <v>0</v>
      </c>
      <c r="R32" t="b">
        <v>0</v>
      </c>
      <c r="X32" t="str">
        <v>aruba-dhcp-relay</v>
      </c>
      <c r="Y32">
        <v>283</v>
      </c>
      <c r="AA32" t="str">
        <v>aruba-dhcp-relay</v>
      </c>
      <c r="AB32">
        <v>3804</v>
      </c>
    </row>
    <row r="33" spans="1:28">
      <c r="A33" t="s">
        <v>115</v>
      </c>
      <c r="B33" t="s">
        <v>120</v>
      </c>
      <c r="C33" t="s">
        <v>121</v>
      </c>
      <c r="E33">
        <v>7978</v>
      </c>
      <c r="F33">
        <v>129307</v>
      </c>
      <c r="G33">
        <v>3478</v>
      </c>
      <c r="H33">
        <v>44907</v>
      </c>
      <c r="J33" t="s">
        <v>22</v>
      </c>
      <c r="K33" t="b">
        <v>1</v>
      </c>
      <c r="L33">
        <f t="shared" si="0"/>
        <v>11456</v>
      </c>
      <c r="M33">
        <f t="shared" si="0"/>
        <v>174214</v>
      </c>
      <c r="N33" t="b">
        <v>0</v>
      </c>
      <c r="O33">
        <v>0</v>
      </c>
      <c r="Q33">
        <v>0</v>
      </c>
      <c r="R33" t="b">
        <v>0</v>
      </c>
      <c r="X33" t="str">
        <v>aruba-dhcp-server</v>
      </c>
      <c r="Y33">
        <v>929</v>
      </c>
      <c r="AA33" t="str">
        <v>aruba-dhcp-server</v>
      </c>
      <c r="AB33">
        <v>2807</v>
      </c>
    </row>
    <row r="34" spans="1:28">
      <c r="A34" t="s">
        <v>115</v>
      </c>
      <c r="B34" t="s">
        <v>122</v>
      </c>
      <c r="C34" t="s">
        <v>123</v>
      </c>
      <c r="E34">
        <v>7978</v>
      </c>
      <c r="F34">
        <v>129307</v>
      </c>
      <c r="G34">
        <v>3478</v>
      </c>
      <c r="H34">
        <v>44907</v>
      </c>
      <c r="J34" t="s">
        <v>22</v>
      </c>
      <c r="K34" t="b">
        <v>1</v>
      </c>
      <c r="L34">
        <f t="shared" si="0"/>
        <v>11456</v>
      </c>
      <c r="M34">
        <f t="shared" si="0"/>
        <v>174214</v>
      </c>
      <c r="N34" t="b">
        <v>0</v>
      </c>
      <c r="O34">
        <v>1</v>
      </c>
      <c r="P34" t="s">
        <v>124</v>
      </c>
      <c r="Q34">
        <v>2</v>
      </c>
      <c r="R34" t="b">
        <v>1</v>
      </c>
      <c r="X34" t="str">
        <v>aruba-dhcp-snooping</v>
      </c>
      <c r="Y34">
        <v>3019</v>
      </c>
      <c r="AA34" t="str">
        <v>aruba-dhcp-snooping</v>
      </c>
      <c r="AB34">
        <v>32553</v>
      </c>
    </row>
    <row r="35" spans="1:28">
      <c r="A35" t="s">
        <v>115</v>
      </c>
      <c r="B35" t="s">
        <v>125</v>
      </c>
      <c r="C35" t="s">
        <v>126</v>
      </c>
      <c r="E35">
        <v>7978</v>
      </c>
      <c r="F35">
        <v>129307</v>
      </c>
      <c r="G35">
        <v>3478</v>
      </c>
      <c r="H35">
        <v>44907</v>
      </c>
      <c r="J35" t="s">
        <v>22</v>
      </c>
      <c r="K35" t="b">
        <v>1</v>
      </c>
      <c r="L35">
        <f t="shared" si="0"/>
        <v>11456</v>
      </c>
      <c r="M35">
        <f t="shared" si="0"/>
        <v>174214</v>
      </c>
      <c r="N35" t="b">
        <v>0</v>
      </c>
      <c r="O35">
        <v>0</v>
      </c>
      <c r="Q35">
        <v>0</v>
      </c>
      <c r="R35" t="b">
        <v>0</v>
      </c>
      <c r="X35" t="str">
        <v>aruba-dhcp-snooping-interface</v>
      </c>
      <c r="Y35">
        <v>92</v>
      </c>
      <c r="AA35" t="str">
        <v>aruba-dhcp-snooping-interface</v>
      </c>
      <c r="AB35">
        <v>20</v>
      </c>
    </row>
    <row r="36" spans="1:28">
      <c r="A36" t="s">
        <v>115</v>
      </c>
      <c r="B36" t="s">
        <v>127</v>
      </c>
      <c r="C36" t="s">
        <v>128</v>
      </c>
      <c r="E36">
        <v>7970</v>
      </c>
      <c r="F36">
        <v>129307</v>
      </c>
      <c r="G36">
        <v>3478</v>
      </c>
      <c r="H36">
        <v>44907</v>
      </c>
      <c r="J36" t="s">
        <v>22</v>
      </c>
      <c r="K36" t="b">
        <v>1</v>
      </c>
      <c r="L36">
        <f t="shared" si="0"/>
        <v>11448</v>
      </c>
      <c r="M36">
        <f t="shared" si="0"/>
        <v>174214</v>
      </c>
      <c r="N36" t="b">
        <v>0</v>
      </c>
      <c r="O36">
        <v>1</v>
      </c>
      <c r="P36" t="s">
        <v>129</v>
      </c>
      <c r="Q36">
        <v>2</v>
      </c>
      <c r="R36" t="b">
        <v>1</v>
      </c>
      <c r="X36" t="str">
        <v>aruba-dns</v>
      </c>
      <c r="Y36">
        <v>12282</v>
      </c>
      <c r="AA36" t="str">
        <v>aruba-dns</v>
      </c>
      <c r="AB36">
        <v>180594</v>
      </c>
    </row>
    <row r="37" spans="1:28">
      <c r="A37" t="s">
        <v>115</v>
      </c>
      <c r="B37" t="s">
        <v>130</v>
      </c>
      <c r="C37" t="s">
        <v>131</v>
      </c>
      <c r="E37">
        <v>7486</v>
      </c>
      <c r="F37">
        <v>129018</v>
      </c>
      <c r="G37">
        <v>3389</v>
      </c>
      <c r="H37">
        <v>44669</v>
      </c>
      <c r="J37" t="s">
        <v>22</v>
      </c>
      <c r="K37" t="b">
        <v>1</v>
      </c>
      <c r="L37">
        <f t="shared" si="0"/>
        <v>10875</v>
      </c>
      <c r="M37">
        <f t="shared" si="0"/>
        <v>173687</v>
      </c>
      <c r="N37" t="b">
        <v>0</v>
      </c>
      <c r="O37">
        <v>1</v>
      </c>
      <c r="P37" t="s">
        <v>132</v>
      </c>
      <c r="Q37">
        <v>2</v>
      </c>
      <c r="R37" t="b">
        <v>1</v>
      </c>
      <c r="X37" t="str">
        <v>aruba-dsm</v>
      </c>
      <c r="Y37">
        <v>6</v>
      </c>
      <c r="AA37" t="str">
        <v>aruba-dsm</v>
      </c>
      <c r="AB37">
        <v>15</v>
      </c>
    </row>
    <row r="38" spans="1:28">
      <c r="A38" t="s">
        <v>133</v>
      </c>
      <c r="B38" t="s">
        <v>134</v>
      </c>
      <c r="C38" t="s">
        <v>135</v>
      </c>
      <c r="E38">
        <v>8760</v>
      </c>
      <c r="F38">
        <v>101661</v>
      </c>
      <c r="G38">
        <v>1817</v>
      </c>
      <c r="H38">
        <v>31555</v>
      </c>
      <c r="J38" t="s">
        <v>22</v>
      </c>
      <c r="K38" t="b">
        <v>1</v>
      </c>
      <c r="L38">
        <f t="shared" si="0"/>
        <v>10577</v>
      </c>
      <c r="M38">
        <f t="shared" si="0"/>
        <v>133216</v>
      </c>
      <c r="N38" t="b">
        <v>0</v>
      </c>
      <c r="O38">
        <v>1</v>
      </c>
      <c r="P38" t="s">
        <v>33</v>
      </c>
      <c r="Q38">
        <v>2</v>
      </c>
      <c r="R38" t="b">
        <v>1</v>
      </c>
      <c r="X38" t="str">
        <v>aruba-dynamic-arp-inspection-interface</v>
      </c>
      <c r="Y38">
        <v>12</v>
      </c>
      <c r="AA38" t="str">
        <v>aruba-dynamic-arp-inspection-interface</v>
      </c>
      <c r="AB38">
        <v>5</v>
      </c>
    </row>
    <row r="39" spans="1:28">
      <c r="A39" t="s">
        <v>24</v>
      </c>
      <c r="B39" t="s">
        <v>136</v>
      </c>
      <c r="C39" t="s">
        <v>137</v>
      </c>
      <c r="E39">
        <v>6990</v>
      </c>
      <c r="F39">
        <v>123000</v>
      </c>
      <c r="G39">
        <v>3231</v>
      </c>
      <c r="H39">
        <v>40028</v>
      </c>
      <c r="J39" t="s">
        <v>22</v>
      </c>
      <c r="K39" t="b">
        <v>1</v>
      </c>
      <c r="L39">
        <f t="shared" si="0"/>
        <v>10221</v>
      </c>
      <c r="M39">
        <f t="shared" si="0"/>
        <v>163028</v>
      </c>
      <c r="N39" t="b">
        <v>0</v>
      </c>
      <c r="O39">
        <v>1</v>
      </c>
      <c r="P39" t="s">
        <v>138</v>
      </c>
      <c r="Q39">
        <v>2</v>
      </c>
      <c r="R39" t="b">
        <v>1</v>
      </c>
      <c r="X39" t="str">
        <v>aruba-erps</v>
      </c>
      <c r="Y39">
        <v>9</v>
      </c>
      <c r="AA39" t="str">
        <v>aruba-erps</v>
      </c>
      <c r="AB39">
        <v>80</v>
      </c>
    </row>
    <row r="40" spans="1:28">
      <c r="A40" t="s">
        <v>139</v>
      </c>
      <c r="B40" t="s">
        <v>140</v>
      </c>
      <c r="C40" t="s">
        <v>141</v>
      </c>
      <c r="E40">
        <v>6032</v>
      </c>
      <c r="F40">
        <v>0</v>
      </c>
      <c r="G40">
        <v>3223</v>
      </c>
      <c r="H40">
        <v>32373</v>
      </c>
      <c r="J40" t="s">
        <v>22</v>
      </c>
      <c r="K40" t="b">
        <v>1</v>
      </c>
      <c r="L40">
        <f t="shared" si="0"/>
        <v>9255</v>
      </c>
      <c r="M40">
        <f t="shared" si="0"/>
        <v>32373</v>
      </c>
      <c r="N40" t="b">
        <v>0</v>
      </c>
      <c r="O40">
        <v>1</v>
      </c>
      <c r="P40" t="s">
        <v>33</v>
      </c>
      <c r="Q40">
        <v>2</v>
      </c>
      <c r="R40" t="b">
        <v>1</v>
      </c>
      <c r="X40" t="str">
        <v>aruba-est</v>
      </c>
      <c r="Y40">
        <v>20</v>
      </c>
      <c r="AA40" t="str">
        <v>aruba-est</v>
      </c>
      <c r="AB40">
        <v>1109</v>
      </c>
    </row>
    <row r="41" spans="1:28">
      <c r="A41" t="s">
        <v>139</v>
      </c>
      <c r="B41" t="s">
        <v>142</v>
      </c>
      <c r="C41" t="s">
        <v>143</v>
      </c>
      <c r="E41">
        <v>6015</v>
      </c>
      <c r="F41">
        <v>0</v>
      </c>
      <c r="G41">
        <v>3178</v>
      </c>
      <c r="H41">
        <v>30697</v>
      </c>
      <c r="J41" t="s">
        <v>22</v>
      </c>
      <c r="K41" t="b">
        <v>1</v>
      </c>
      <c r="L41">
        <f t="shared" si="0"/>
        <v>9193</v>
      </c>
      <c r="M41">
        <f t="shared" si="0"/>
        <v>30697</v>
      </c>
      <c r="N41" t="b">
        <v>0</v>
      </c>
      <c r="O41">
        <v>1</v>
      </c>
      <c r="P41" t="s">
        <v>144</v>
      </c>
      <c r="Q41">
        <v>2</v>
      </c>
      <c r="R41" t="b">
        <v>1</v>
      </c>
      <c r="X41" t="str">
        <v>aruba-evpn</v>
      </c>
      <c r="Y41">
        <v>130</v>
      </c>
      <c r="AA41" t="str">
        <v>aruba-evpn</v>
      </c>
      <c r="AB41">
        <v>1884</v>
      </c>
    </row>
    <row r="42" spans="1:28">
      <c r="A42" t="s">
        <v>133</v>
      </c>
      <c r="B42" t="s">
        <v>145</v>
      </c>
      <c r="C42" t="s">
        <v>146</v>
      </c>
      <c r="E42">
        <v>7690</v>
      </c>
      <c r="F42">
        <v>72402</v>
      </c>
      <c r="G42">
        <v>1495</v>
      </c>
      <c r="H42">
        <v>23856</v>
      </c>
      <c r="J42" t="s">
        <v>22</v>
      </c>
      <c r="K42" t="b">
        <v>1</v>
      </c>
      <c r="L42">
        <f t="shared" si="0"/>
        <v>9185</v>
      </c>
      <c r="M42">
        <f t="shared" si="0"/>
        <v>96258</v>
      </c>
      <c r="N42" t="b">
        <v>0</v>
      </c>
      <c r="O42">
        <v>1</v>
      </c>
      <c r="P42" t="s">
        <v>147</v>
      </c>
      <c r="Q42">
        <v>2</v>
      </c>
      <c r="R42" t="b">
        <v>1</v>
      </c>
      <c r="X42" t="str">
        <v>aruba-external-storage</v>
      </c>
      <c r="Y42">
        <v>17</v>
      </c>
      <c r="AA42" t="str">
        <v>aruba-external-storage</v>
      </c>
      <c r="AB42">
        <v>94</v>
      </c>
    </row>
    <row r="43" spans="1:28">
      <c r="A43" t="s">
        <v>24</v>
      </c>
      <c r="B43" t="s">
        <v>148</v>
      </c>
      <c r="C43" t="s">
        <v>149</v>
      </c>
      <c r="E43">
        <v>5998</v>
      </c>
      <c r="F43">
        <v>95978</v>
      </c>
      <c r="G43">
        <v>3089</v>
      </c>
      <c r="H43">
        <v>28887</v>
      </c>
      <c r="J43" t="s">
        <v>22</v>
      </c>
      <c r="K43" t="b">
        <v>1</v>
      </c>
      <c r="L43">
        <f t="shared" si="0"/>
        <v>9087</v>
      </c>
      <c r="M43">
        <f t="shared" si="0"/>
        <v>124865</v>
      </c>
      <c r="N43" t="b">
        <v>0</v>
      </c>
      <c r="O43">
        <v>1</v>
      </c>
      <c r="P43" t="s">
        <v>150</v>
      </c>
      <c r="Q43">
        <v>2</v>
      </c>
      <c r="R43" t="b">
        <v>1</v>
      </c>
      <c r="X43" t="str">
        <v>aruba-fault-monitor</v>
      </c>
      <c r="Y43">
        <v>392</v>
      </c>
      <c r="AA43" t="str">
        <v>aruba-fault-monitor</v>
      </c>
      <c r="AB43">
        <v>6537</v>
      </c>
    </row>
    <row r="44" spans="1:28">
      <c r="A44" t="s">
        <v>102</v>
      </c>
      <c r="B44" t="s">
        <v>151</v>
      </c>
      <c r="C44" t="s">
        <v>152</v>
      </c>
      <c r="E44">
        <v>9037</v>
      </c>
      <c r="F44">
        <v>135262</v>
      </c>
      <c r="G44">
        <v>0</v>
      </c>
      <c r="H44">
        <v>0</v>
      </c>
      <c r="J44" t="s">
        <v>22</v>
      </c>
      <c r="K44" t="b">
        <v>1</v>
      </c>
      <c r="L44">
        <f t="shared" si="0"/>
        <v>9037</v>
      </c>
      <c r="M44">
        <f t="shared" si="0"/>
        <v>135262</v>
      </c>
      <c r="N44" t="b">
        <v>0</v>
      </c>
      <c r="O44">
        <v>1</v>
      </c>
      <c r="P44" t="s">
        <v>153</v>
      </c>
      <c r="Q44">
        <v>2</v>
      </c>
      <c r="R44" t="b">
        <v>1</v>
      </c>
      <c r="X44" t="str">
        <v>aruba-feature-pack</v>
      </c>
      <c r="Y44">
        <v>6</v>
      </c>
      <c r="AA44" t="str">
        <v>aruba-feature-pack</v>
      </c>
      <c r="AB44">
        <v>12</v>
      </c>
    </row>
    <row r="45" spans="1:28">
      <c r="A45" t="s">
        <v>102</v>
      </c>
      <c r="B45" t="s">
        <v>154</v>
      </c>
      <c r="C45" t="s">
        <v>155</v>
      </c>
      <c r="E45">
        <v>9037</v>
      </c>
      <c r="F45">
        <v>135262</v>
      </c>
      <c r="G45">
        <v>0</v>
      </c>
      <c r="H45">
        <v>0</v>
      </c>
      <c r="J45" t="s">
        <v>22</v>
      </c>
      <c r="K45" t="b">
        <v>1</v>
      </c>
      <c r="L45">
        <f t="shared" si="0"/>
        <v>9037</v>
      </c>
      <c r="M45">
        <f t="shared" si="0"/>
        <v>135262</v>
      </c>
      <c r="N45" t="b">
        <v>0</v>
      </c>
      <c r="O45">
        <v>1</v>
      </c>
      <c r="P45" t="s">
        <v>156</v>
      </c>
      <c r="Q45">
        <v>2</v>
      </c>
      <c r="R45" t="b">
        <v>1</v>
      </c>
      <c r="X45" t="str">
        <v>aruba-firmware-management</v>
      </c>
      <c r="Y45">
        <v>103</v>
      </c>
      <c r="AA45" t="str">
        <v>aruba-firmware-management</v>
      </c>
      <c r="AB45">
        <v>200</v>
      </c>
    </row>
    <row r="46" spans="1:28">
      <c r="A46" t="s">
        <v>102</v>
      </c>
      <c r="B46" t="s">
        <v>157</v>
      </c>
      <c r="C46" t="s">
        <v>158</v>
      </c>
      <c r="E46">
        <v>9036</v>
      </c>
      <c r="F46">
        <v>135262</v>
      </c>
      <c r="G46">
        <v>0</v>
      </c>
      <c r="H46">
        <v>0</v>
      </c>
      <c r="J46" t="s">
        <v>22</v>
      </c>
      <c r="K46" t="b">
        <v>1</v>
      </c>
      <c r="L46">
        <f t="shared" si="0"/>
        <v>9036</v>
      </c>
      <c r="M46">
        <f t="shared" si="0"/>
        <v>135262</v>
      </c>
      <c r="N46" t="b">
        <v>0</v>
      </c>
      <c r="O46">
        <v>1</v>
      </c>
      <c r="P46" t="s">
        <v>159</v>
      </c>
      <c r="Q46">
        <v>2</v>
      </c>
      <c r="R46" t="b">
        <v>1</v>
      </c>
      <c r="X46" t="str">
        <v>aruba-flow-tracking</v>
      </c>
      <c r="Y46">
        <v>72</v>
      </c>
      <c r="AA46" t="str">
        <v>aruba-flow-tracking</v>
      </c>
      <c r="AB46">
        <v>198</v>
      </c>
    </row>
    <row r="47" spans="1:28">
      <c r="A47" t="s">
        <v>160</v>
      </c>
      <c r="B47" t="s">
        <v>161</v>
      </c>
      <c r="C47" t="s">
        <v>162</v>
      </c>
      <c r="E47">
        <v>5701</v>
      </c>
      <c r="F47">
        <v>82414</v>
      </c>
      <c r="G47">
        <v>3022</v>
      </c>
      <c r="H47">
        <v>27664</v>
      </c>
      <c r="J47" t="s">
        <v>22</v>
      </c>
      <c r="K47" t="b">
        <v>1</v>
      </c>
      <c r="L47">
        <f t="shared" si="0"/>
        <v>8723</v>
      </c>
      <c r="M47">
        <f t="shared" si="0"/>
        <v>110078</v>
      </c>
      <c r="N47" t="b">
        <v>0</v>
      </c>
      <c r="O47">
        <v>1</v>
      </c>
      <c r="P47" t="s">
        <v>163</v>
      </c>
      <c r="Q47">
        <v>2</v>
      </c>
      <c r="R47" t="b">
        <v>1</v>
      </c>
      <c r="X47" t="str">
        <v>aruba-hardware-module-profile</v>
      </c>
      <c r="Y47">
        <v>844</v>
      </c>
      <c r="AA47" t="str">
        <v>aruba-hardware-module-profile</v>
      </c>
      <c r="AB47">
        <v>4474</v>
      </c>
    </row>
    <row r="48" spans="1:28">
      <c r="A48" t="s">
        <v>160</v>
      </c>
      <c r="B48" t="s">
        <v>164</v>
      </c>
      <c r="C48" t="s">
        <v>165</v>
      </c>
      <c r="E48">
        <v>5675</v>
      </c>
      <c r="F48">
        <v>82414</v>
      </c>
      <c r="G48">
        <v>3022</v>
      </c>
      <c r="H48">
        <v>27663</v>
      </c>
      <c r="J48" t="s">
        <v>22</v>
      </c>
      <c r="K48" t="b">
        <v>1</v>
      </c>
      <c r="L48">
        <f t="shared" si="0"/>
        <v>8697</v>
      </c>
      <c r="M48">
        <f t="shared" si="0"/>
        <v>110077</v>
      </c>
      <c r="N48" t="b">
        <v>0</v>
      </c>
      <c r="O48">
        <v>1</v>
      </c>
      <c r="P48" t="s">
        <v>166</v>
      </c>
      <c r="Q48">
        <v>2</v>
      </c>
      <c r="R48" t="b">
        <v>1</v>
      </c>
      <c r="X48" t="str">
        <v>aruba-http-proxy</v>
      </c>
      <c r="Y48">
        <v>125</v>
      </c>
      <c r="AA48" t="str">
        <v>aruba-http-proxy</v>
      </c>
      <c r="AB48">
        <v>2005</v>
      </c>
    </row>
    <row r="49" spans="1:28">
      <c r="A49" t="s">
        <v>160</v>
      </c>
      <c r="B49" t="s">
        <v>167</v>
      </c>
      <c r="C49" t="s">
        <v>168</v>
      </c>
      <c r="E49">
        <v>5671</v>
      </c>
      <c r="F49">
        <v>82414</v>
      </c>
      <c r="G49">
        <v>3022</v>
      </c>
      <c r="H49">
        <v>27663</v>
      </c>
      <c r="J49" t="s">
        <v>22</v>
      </c>
      <c r="K49" t="b">
        <v>1</v>
      </c>
      <c r="L49">
        <f t="shared" si="0"/>
        <v>8693</v>
      </c>
      <c r="M49">
        <f t="shared" si="0"/>
        <v>110077</v>
      </c>
      <c r="N49" t="b">
        <v>0</v>
      </c>
      <c r="O49">
        <v>1</v>
      </c>
      <c r="P49" t="s">
        <v>169</v>
      </c>
      <c r="Q49">
        <v>2</v>
      </c>
      <c r="R49" t="b">
        <v>1</v>
      </c>
      <c r="X49" t="str">
        <v>aruba-interface-ethernet</v>
      </c>
      <c r="Y49">
        <v>17007</v>
      </c>
      <c r="AA49" t="str">
        <v>aruba-interface-ethernet</v>
      </c>
      <c r="AB49">
        <v>221448</v>
      </c>
    </row>
    <row r="50" spans="1:28">
      <c r="A50" t="s">
        <v>160</v>
      </c>
      <c r="B50" t="s">
        <v>170</v>
      </c>
      <c r="C50" t="s">
        <v>171</v>
      </c>
      <c r="E50">
        <v>5671</v>
      </c>
      <c r="F50">
        <v>82414</v>
      </c>
      <c r="G50">
        <v>3022</v>
      </c>
      <c r="H50">
        <v>27663</v>
      </c>
      <c r="J50" t="s">
        <v>22</v>
      </c>
      <c r="K50" t="b">
        <v>1</v>
      </c>
      <c r="L50">
        <f t="shared" si="0"/>
        <v>8693</v>
      </c>
      <c r="M50">
        <f t="shared" si="0"/>
        <v>110077</v>
      </c>
      <c r="N50" t="b">
        <v>0</v>
      </c>
      <c r="O50">
        <v>1</v>
      </c>
      <c r="P50" t="s">
        <v>172</v>
      </c>
      <c r="Q50">
        <v>2</v>
      </c>
      <c r="R50" t="b">
        <v>1</v>
      </c>
      <c r="X50" t="str">
        <v>aruba-interface-loopback</v>
      </c>
      <c r="Y50">
        <v>866</v>
      </c>
      <c r="AA50" t="str">
        <v>aruba-interface-loopback</v>
      </c>
      <c r="AB50">
        <v>5972</v>
      </c>
    </row>
    <row r="51" spans="1:28">
      <c r="A51" t="s">
        <v>24</v>
      </c>
      <c r="B51" t="s">
        <v>173</v>
      </c>
      <c r="C51" t="s">
        <v>174</v>
      </c>
      <c r="E51">
        <v>5652</v>
      </c>
      <c r="F51">
        <v>86377</v>
      </c>
      <c r="G51">
        <v>3035</v>
      </c>
      <c r="H51">
        <v>29612</v>
      </c>
      <c r="J51" t="s">
        <v>22</v>
      </c>
      <c r="K51" t="b">
        <v>1</v>
      </c>
      <c r="L51">
        <f t="shared" si="0"/>
        <v>8687</v>
      </c>
      <c r="M51">
        <f t="shared" si="0"/>
        <v>115989</v>
      </c>
      <c r="N51" t="b">
        <v>0</v>
      </c>
      <c r="O51">
        <v>1</v>
      </c>
      <c r="P51" t="s">
        <v>175</v>
      </c>
      <c r="Q51">
        <v>2</v>
      </c>
      <c r="R51" t="b">
        <v>1</v>
      </c>
      <c r="X51" t="str">
        <v>aruba-interface-management</v>
      </c>
      <c r="Y51">
        <v>9255</v>
      </c>
      <c r="AA51" t="str">
        <v>aruba-interface-management</v>
      </c>
      <c r="AB51">
        <v>32373</v>
      </c>
    </row>
    <row r="52" spans="1:28">
      <c r="A52" t="s">
        <v>176</v>
      </c>
      <c r="B52" t="s">
        <v>177</v>
      </c>
      <c r="C52" t="s">
        <v>178</v>
      </c>
      <c r="E52">
        <v>5558</v>
      </c>
      <c r="F52">
        <v>82290</v>
      </c>
      <c r="G52">
        <v>2963</v>
      </c>
      <c r="H52">
        <v>27264</v>
      </c>
      <c r="J52" t="s">
        <v>22</v>
      </c>
      <c r="K52" t="b">
        <v>1</v>
      </c>
      <c r="L52">
        <f t="shared" si="0"/>
        <v>8521</v>
      </c>
      <c r="M52">
        <f t="shared" si="0"/>
        <v>109554</v>
      </c>
      <c r="N52" t="b">
        <v>0</v>
      </c>
      <c r="O52">
        <v>1</v>
      </c>
      <c r="P52" t="s">
        <v>179</v>
      </c>
      <c r="Q52">
        <v>2</v>
      </c>
      <c r="R52" t="b">
        <v>1</v>
      </c>
      <c r="X52" t="str">
        <v>aruba-interface-portchannel</v>
      </c>
      <c r="Y52">
        <v>6367</v>
      </c>
      <c r="AA52" t="str">
        <v>aruba-interface-portchannel</v>
      </c>
      <c r="AB52">
        <v>76014</v>
      </c>
    </row>
    <row r="53" spans="1:28">
      <c r="A53" t="s">
        <v>176</v>
      </c>
      <c r="B53" t="s">
        <v>180</v>
      </c>
      <c r="C53" t="s">
        <v>181</v>
      </c>
      <c r="E53">
        <v>5501</v>
      </c>
      <c r="F53">
        <v>82290</v>
      </c>
      <c r="G53">
        <v>2944</v>
      </c>
      <c r="H53">
        <v>27226</v>
      </c>
      <c r="J53" t="s">
        <v>22</v>
      </c>
      <c r="K53" t="b">
        <v>1</v>
      </c>
      <c r="L53">
        <f t="shared" si="0"/>
        <v>8445</v>
      </c>
      <c r="M53">
        <f t="shared" si="0"/>
        <v>109516</v>
      </c>
      <c r="N53" t="b">
        <v>0</v>
      </c>
      <c r="O53">
        <v>1</v>
      </c>
      <c r="P53" t="s">
        <v>182</v>
      </c>
      <c r="Q53">
        <v>2</v>
      </c>
      <c r="R53" t="b">
        <v>1</v>
      </c>
      <c r="X53" t="str">
        <v>aruba-interface-subinterface</v>
      </c>
      <c r="Y53">
        <v>37</v>
      </c>
      <c r="AA53" t="str">
        <v>aruba-interface-subinterface</v>
      </c>
      <c r="AB53">
        <v>176</v>
      </c>
    </row>
    <row r="54" spans="1:28">
      <c r="A54" t="s">
        <v>176</v>
      </c>
      <c r="B54" t="s">
        <v>183</v>
      </c>
      <c r="C54" t="s">
        <v>184</v>
      </c>
      <c r="E54">
        <v>5501</v>
      </c>
      <c r="F54">
        <v>82290</v>
      </c>
      <c r="G54">
        <v>2944</v>
      </c>
      <c r="H54">
        <v>27226</v>
      </c>
      <c r="J54" t="s">
        <v>22</v>
      </c>
      <c r="K54" t="b">
        <v>1</v>
      </c>
      <c r="L54">
        <f t="shared" si="0"/>
        <v>8445</v>
      </c>
      <c r="M54">
        <f t="shared" si="0"/>
        <v>109516</v>
      </c>
      <c r="N54" t="b">
        <v>0</v>
      </c>
      <c r="O54">
        <v>1</v>
      </c>
      <c r="P54" t="s">
        <v>185</v>
      </c>
      <c r="Q54">
        <v>2</v>
      </c>
      <c r="R54" t="b">
        <v>1</v>
      </c>
      <c r="X54" t="str">
        <v>aruba-interface-tunnel</v>
      </c>
      <c r="Y54">
        <v>75</v>
      </c>
      <c r="AA54" t="str">
        <v>aruba-interface-tunnel</v>
      </c>
      <c r="AB54">
        <v>213</v>
      </c>
    </row>
    <row r="55" spans="1:28">
      <c r="A55" t="s">
        <v>24</v>
      </c>
      <c r="B55" t="s">
        <v>186</v>
      </c>
      <c r="C55" t="s">
        <v>187</v>
      </c>
      <c r="E55">
        <v>6163</v>
      </c>
      <c r="F55">
        <v>60795</v>
      </c>
      <c r="G55">
        <v>2277</v>
      </c>
      <c r="H55">
        <v>24739</v>
      </c>
      <c r="J55" t="s">
        <v>22</v>
      </c>
      <c r="K55" t="b">
        <v>1</v>
      </c>
      <c r="L55">
        <f t="shared" si="0"/>
        <v>8440</v>
      </c>
      <c r="M55">
        <f t="shared" si="0"/>
        <v>85534</v>
      </c>
      <c r="N55" t="b">
        <v>0</v>
      </c>
      <c r="O55">
        <v>1</v>
      </c>
      <c r="P55" t="s">
        <v>188</v>
      </c>
      <c r="Q55">
        <v>2</v>
      </c>
      <c r="R55" t="b">
        <v>1</v>
      </c>
      <c r="X55" t="str">
        <v>aruba-interface-vlan</v>
      </c>
      <c r="Y55">
        <v>15781</v>
      </c>
      <c r="AA55" t="str">
        <v>aruba-interface-vlan</v>
      </c>
      <c r="AB55">
        <v>220519</v>
      </c>
    </row>
    <row r="56" spans="1:28">
      <c r="A56" t="s">
        <v>139</v>
      </c>
      <c r="B56" t="s">
        <v>189</v>
      </c>
      <c r="C56" t="s">
        <v>190</v>
      </c>
      <c r="E56">
        <v>5421</v>
      </c>
      <c r="F56">
        <v>0</v>
      </c>
      <c r="G56">
        <v>2803</v>
      </c>
      <c r="H56">
        <v>26818</v>
      </c>
      <c r="J56" t="s">
        <v>22</v>
      </c>
      <c r="K56" t="b">
        <v>1</v>
      </c>
      <c r="L56">
        <f t="shared" si="0"/>
        <v>8224</v>
      </c>
      <c r="M56">
        <f t="shared" si="0"/>
        <v>26818</v>
      </c>
      <c r="N56" t="b">
        <v>0</v>
      </c>
      <c r="O56">
        <v>1</v>
      </c>
      <c r="P56" t="s">
        <v>191</v>
      </c>
      <c r="Q56">
        <v>2</v>
      </c>
      <c r="R56" t="b">
        <v>1</v>
      </c>
      <c r="X56" t="str">
        <v>aruba-interface-vni</v>
      </c>
      <c r="Y56">
        <v>51</v>
      </c>
      <c r="AA56" t="str">
        <v>aruba-interface-vni</v>
      </c>
      <c r="AB56">
        <v>236</v>
      </c>
    </row>
    <row r="57" spans="1:28">
      <c r="A57" t="s">
        <v>192</v>
      </c>
      <c r="B57" t="s">
        <v>193</v>
      </c>
      <c r="C57" t="s">
        <v>194</v>
      </c>
      <c r="E57">
        <v>6622</v>
      </c>
      <c r="F57">
        <v>27725</v>
      </c>
      <c r="G57">
        <v>1157</v>
      </c>
      <c r="H57">
        <v>13571</v>
      </c>
      <c r="J57" t="s">
        <v>22</v>
      </c>
      <c r="K57" t="b">
        <v>1</v>
      </c>
      <c r="L57">
        <f t="shared" si="0"/>
        <v>7779</v>
      </c>
      <c r="M57">
        <f t="shared" si="0"/>
        <v>41296</v>
      </c>
      <c r="N57" t="b">
        <v>0</v>
      </c>
      <c r="O57">
        <v>1</v>
      </c>
      <c r="P57" t="s">
        <v>195</v>
      </c>
      <c r="Q57">
        <v>2</v>
      </c>
      <c r="R57" t="b">
        <v>1</v>
      </c>
      <c r="X57" t="str">
        <v>aruba-interface-vxlan</v>
      </c>
      <c r="Y57">
        <v>181</v>
      </c>
      <c r="AA57" t="str">
        <v>aruba-interface-vxlan</v>
      </c>
      <c r="AB57">
        <v>2390</v>
      </c>
    </row>
    <row r="58" spans="1:28">
      <c r="A58" t="s">
        <v>87</v>
      </c>
      <c r="B58" t="s">
        <v>196</v>
      </c>
      <c r="C58" t="s">
        <v>197</v>
      </c>
      <c r="E58">
        <v>5851</v>
      </c>
      <c r="F58">
        <v>70977</v>
      </c>
      <c r="G58">
        <v>1584</v>
      </c>
      <c r="H58">
        <v>20479</v>
      </c>
      <c r="J58" t="s">
        <v>22</v>
      </c>
      <c r="K58" t="b">
        <v>1</v>
      </c>
      <c r="L58">
        <f t="shared" si="0"/>
        <v>7435</v>
      </c>
      <c r="M58">
        <f t="shared" si="0"/>
        <v>91456</v>
      </c>
      <c r="N58" t="b">
        <v>0</v>
      </c>
      <c r="O58">
        <v>1</v>
      </c>
      <c r="P58" t="s">
        <v>198</v>
      </c>
      <c r="Q58">
        <v>2</v>
      </c>
      <c r="R58" t="b">
        <v>1</v>
      </c>
      <c r="X58" t="str">
        <v>aruba-interface-vxlan-tunnel</v>
      </c>
      <c r="Y58">
        <v>53</v>
      </c>
      <c r="AA58" t="str">
        <v>aruba-interface-vxlan-tunnel</v>
      </c>
      <c r="AB58">
        <v>245</v>
      </c>
    </row>
    <row r="59" spans="1:28">
      <c r="A59" t="s">
        <v>133</v>
      </c>
      <c r="B59" t="s">
        <v>199</v>
      </c>
      <c r="C59" t="s">
        <v>200</v>
      </c>
      <c r="E59">
        <v>5542</v>
      </c>
      <c r="F59">
        <v>97651</v>
      </c>
      <c r="G59">
        <v>1581</v>
      </c>
      <c r="H59">
        <v>29138</v>
      </c>
      <c r="J59" t="s">
        <v>22</v>
      </c>
      <c r="K59" t="b">
        <v>1</v>
      </c>
      <c r="L59">
        <f t="shared" si="0"/>
        <v>7123</v>
      </c>
      <c r="M59">
        <f t="shared" si="0"/>
        <v>126789</v>
      </c>
      <c r="N59" t="b">
        <v>0</v>
      </c>
      <c r="O59">
        <v>1</v>
      </c>
      <c r="P59" t="s">
        <v>201</v>
      </c>
      <c r="Q59">
        <v>2</v>
      </c>
      <c r="R59" t="b">
        <v>1</v>
      </c>
      <c r="X59" t="str">
        <v>aruba-ip-binding</v>
      </c>
      <c r="Y59">
        <v>6</v>
      </c>
      <c r="AA59" t="str">
        <v>aruba-ip-binding</v>
      </c>
      <c r="AB59">
        <v>21</v>
      </c>
    </row>
    <row r="60" spans="1:28">
      <c r="A60" t="s">
        <v>87</v>
      </c>
      <c r="B60" t="s">
        <v>202</v>
      </c>
      <c r="C60" t="s">
        <v>203</v>
      </c>
      <c r="E60">
        <v>5336</v>
      </c>
      <c r="F60">
        <v>67146</v>
      </c>
      <c r="G60">
        <v>1225</v>
      </c>
      <c r="H60">
        <v>15906</v>
      </c>
      <c r="J60" t="s">
        <v>22</v>
      </c>
      <c r="K60" t="b">
        <v>1</v>
      </c>
      <c r="L60">
        <f t="shared" si="0"/>
        <v>6561</v>
      </c>
      <c r="M60">
        <f t="shared" si="0"/>
        <v>83052</v>
      </c>
      <c r="N60" t="b">
        <v>0</v>
      </c>
      <c r="O60">
        <v>1</v>
      </c>
      <c r="P60" t="s">
        <v>204</v>
      </c>
      <c r="Q60">
        <v>2</v>
      </c>
      <c r="R60" t="b">
        <v>1</v>
      </c>
      <c r="X60" t="str">
        <v>aruba-ipfix-flow-exporter</v>
      </c>
      <c r="Y60">
        <v>77</v>
      </c>
      <c r="AA60" t="str">
        <v>aruba-ipfix-flow-exporter</v>
      </c>
      <c r="AB60">
        <v>302</v>
      </c>
    </row>
    <row r="61" spans="1:28">
      <c r="A61" t="s">
        <v>205</v>
      </c>
      <c r="B61" t="s">
        <v>206</v>
      </c>
      <c r="C61" t="s">
        <v>207</v>
      </c>
      <c r="E61">
        <v>4237</v>
      </c>
      <c r="F61">
        <v>54775</v>
      </c>
      <c r="G61">
        <v>2130</v>
      </c>
      <c r="H61">
        <v>21239</v>
      </c>
      <c r="J61" t="s">
        <v>22</v>
      </c>
      <c r="K61" t="b">
        <v>1</v>
      </c>
      <c r="L61">
        <f t="shared" si="0"/>
        <v>6367</v>
      </c>
      <c r="M61">
        <f t="shared" si="0"/>
        <v>76014</v>
      </c>
      <c r="N61" t="b">
        <v>0</v>
      </c>
      <c r="O61">
        <v>1</v>
      </c>
      <c r="P61" t="s">
        <v>27</v>
      </c>
      <c r="Q61">
        <v>2</v>
      </c>
      <c r="R61" t="b">
        <v>1</v>
      </c>
      <c r="X61" t="str">
        <v>aruba-ipfix-flow-monitor</v>
      </c>
      <c r="Y61">
        <v>76</v>
      </c>
      <c r="AA61" t="str">
        <v>aruba-ipfix-flow-monitor</v>
      </c>
      <c r="AB61">
        <v>299</v>
      </c>
    </row>
    <row r="62" spans="1:28">
      <c r="A62" t="s">
        <v>205</v>
      </c>
      <c r="B62" t="s">
        <v>208</v>
      </c>
      <c r="C62" t="s">
        <v>209</v>
      </c>
      <c r="E62">
        <v>4223</v>
      </c>
      <c r="F62">
        <v>54766</v>
      </c>
      <c r="G62">
        <v>2126</v>
      </c>
      <c r="H62">
        <v>21229</v>
      </c>
      <c r="J62" t="s">
        <v>22</v>
      </c>
      <c r="K62" t="b">
        <v>1</v>
      </c>
      <c r="L62">
        <f t="shared" si="0"/>
        <v>6349</v>
      </c>
      <c r="M62">
        <f t="shared" si="0"/>
        <v>75995</v>
      </c>
      <c r="N62" t="b">
        <v>0</v>
      </c>
      <c r="O62">
        <v>1</v>
      </c>
      <c r="P62" t="s">
        <v>210</v>
      </c>
      <c r="Q62">
        <v>18</v>
      </c>
      <c r="R62" t="b">
        <v>1</v>
      </c>
      <c r="X62" t="str">
        <v>aruba-ipfix-flow-record</v>
      </c>
      <c r="Y62">
        <v>75</v>
      </c>
      <c r="AA62" t="str">
        <v>aruba-ipfix-flow-record</v>
      </c>
      <c r="AB62">
        <v>298</v>
      </c>
    </row>
    <row r="63" spans="1:28">
      <c r="A63" t="s">
        <v>205</v>
      </c>
      <c r="B63" t="s">
        <v>211</v>
      </c>
      <c r="C63" t="s">
        <v>212</v>
      </c>
      <c r="E63">
        <v>4210</v>
      </c>
      <c r="F63">
        <v>54723</v>
      </c>
      <c r="G63">
        <v>2122</v>
      </c>
      <c r="H63">
        <v>21189</v>
      </c>
      <c r="J63" t="s">
        <v>22</v>
      </c>
      <c r="K63" t="b">
        <v>1</v>
      </c>
      <c r="L63">
        <f t="shared" si="0"/>
        <v>6332</v>
      </c>
      <c r="M63">
        <f t="shared" si="0"/>
        <v>75912</v>
      </c>
      <c r="N63" t="b">
        <v>0</v>
      </c>
      <c r="O63">
        <v>1</v>
      </c>
      <c r="P63" t="s">
        <v>80</v>
      </c>
      <c r="Q63">
        <v>2</v>
      </c>
      <c r="R63" t="b">
        <v>1</v>
      </c>
      <c r="X63" t="str">
        <v>aruba-ip-icmp-tcp</v>
      </c>
      <c r="Y63">
        <v>555</v>
      </c>
      <c r="AA63" t="str">
        <v>aruba-ip-icmp-tcp</v>
      </c>
      <c r="AB63">
        <v>9008</v>
      </c>
    </row>
    <row r="64" spans="1:28" hidden="1">
      <c r="A64" t="s">
        <v>37</v>
      </c>
      <c r="B64" t="s">
        <v>213</v>
      </c>
      <c r="C64" s="3" t="s">
        <v>214</v>
      </c>
      <c r="D64" s="3" t="s">
        <v>215</v>
      </c>
      <c r="E64">
        <v>3916</v>
      </c>
      <c r="F64">
        <v>73346</v>
      </c>
      <c r="G64">
        <v>2403</v>
      </c>
      <c r="H64">
        <v>17577</v>
      </c>
      <c r="J64" t="s">
        <v>93</v>
      </c>
      <c r="K64" t="b">
        <v>1</v>
      </c>
      <c r="L64">
        <f t="shared" si="0"/>
        <v>6319</v>
      </c>
      <c r="M64">
        <f t="shared" si="0"/>
        <v>90923</v>
      </c>
      <c r="N64" t="b">
        <v>0</v>
      </c>
      <c r="O64">
        <v>0</v>
      </c>
      <c r="Q64">
        <v>0</v>
      </c>
      <c r="R64" t="b">
        <v>0</v>
      </c>
      <c r="X64" t="str">
        <v>aruba-ip-lockdown</v>
      </c>
      <c r="Y64">
        <v>71</v>
      </c>
      <c r="AA64" t="str">
        <v>aruba-ip-lockdown</v>
      </c>
      <c r="AB64">
        <v>188</v>
      </c>
    </row>
    <row r="65" spans="1:28" hidden="1">
      <c r="A65" t="s">
        <v>37</v>
      </c>
      <c r="B65" t="s">
        <v>216</v>
      </c>
      <c r="C65" s="3" t="s">
        <v>217</v>
      </c>
      <c r="D65" s="3" t="s">
        <v>215</v>
      </c>
      <c r="E65">
        <v>3916</v>
      </c>
      <c r="F65">
        <v>73346</v>
      </c>
      <c r="G65">
        <v>2403</v>
      </c>
      <c r="H65">
        <v>17577</v>
      </c>
      <c r="J65" t="s">
        <v>93</v>
      </c>
      <c r="K65" t="b">
        <v>1</v>
      </c>
      <c r="L65">
        <f t="shared" si="0"/>
        <v>6319</v>
      </c>
      <c r="M65">
        <f t="shared" si="0"/>
        <v>90923</v>
      </c>
      <c r="N65" t="b">
        <v>0</v>
      </c>
      <c r="O65">
        <v>0</v>
      </c>
      <c r="Q65">
        <v>0</v>
      </c>
      <c r="R65" t="b">
        <v>0</v>
      </c>
      <c r="X65" t="str">
        <v>aruba-ip-lockdown-interface</v>
      </c>
      <c r="Y65">
        <v>3</v>
      </c>
      <c r="AA65" t="str">
        <v>aruba-ip-lockdown-interface</v>
      </c>
      <c r="AB65">
        <v>3</v>
      </c>
    </row>
    <row r="66" spans="1:28">
      <c r="A66" t="s">
        <v>205</v>
      </c>
      <c r="B66" t="s">
        <v>218</v>
      </c>
      <c r="C66" t="s">
        <v>219</v>
      </c>
      <c r="E66">
        <v>4052</v>
      </c>
      <c r="F66">
        <v>52251</v>
      </c>
      <c r="G66">
        <v>2059</v>
      </c>
      <c r="H66">
        <v>20639</v>
      </c>
      <c r="J66" t="s">
        <v>22</v>
      </c>
      <c r="K66" t="b">
        <v>1</v>
      </c>
      <c r="L66">
        <f t="shared" si="0"/>
        <v>6111</v>
      </c>
      <c r="M66">
        <f t="shared" si="0"/>
        <v>72890</v>
      </c>
      <c r="N66" t="b">
        <v>0</v>
      </c>
      <c r="O66">
        <v>1</v>
      </c>
      <c r="P66" t="s">
        <v>220</v>
      </c>
      <c r="Q66">
        <v>2</v>
      </c>
      <c r="R66" t="b">
        <v>1</v>
      </c>
      <c r="X66" t="str">
        <v>aruba-ip-routing</v>
      </c>
      <c r="Y66">
        <v>3</v>
      </c>
      <c r="AA66" t="str">
        <v>aruba-ip-routing</v>
      </c>
      <c r="AB66">
        <v>17</v>
      </c>
    </row>
    <row r="67" spans="1:28">
      <c r="A67" t="s">
        <v>205</v>
      </c>
      <c r="B67" t="s">
        <v>221</v>
      </c>
      <c r="C67" t="s">
        <v>222</v>
      </c>
      <c r="E67">
        <v>4067</v>
      </c>
      <c r="F67">
        <v>54222</v>
      </c>
      <c r="G67">
        <v>2031</v>
      </c>
      <c r="H67">
        <v>20767</v>
      </c>
      <c r="J67" t="s">
        <v>22</v>
      </c>
      <c r="K67" t="b">
        <v>1</v>
      </c>
      <c r="L67">
        <f t="shared" ref="L67:M130" si="1">E67+G67</f>
        <v>6098</v>
      </c>
      <c r="M67">
        <f t="shared" si="1"/>
        <v>74989</v>
      </c>
      <c r="N67" t="b">
        <v>0</v>
      </c>
      <c r="O67">
        <v>1</v>
      </c>
      <c r="P67" t="s">
        <v>96</v>
      </c>
      <c r="Q67">
        <v>2</v>
      </c>
      <c r="R67" t="b">
        <v>1</v>
      </c>
      <c r="X67" t="str">
        <v>aruba-ipsla</v>
      </c>
      <c r="Y67">
        <v>44</v>
      </c>
      <c r="AA67" t="str">
        <v>aruba-ipsla</v>
      </c>
      <c r="AB67">
        <v>55</v>
      </c>
    </row>
    <row r="68" spans="1:28">
      <c r="A68" t="s">
        <v>24</v>
      </c>
      <c r="B68" t="s">
        <v>223</v>
      </c>
      <c r="C68" t="s">
        <v>224</v>
      </c>
      <c r="E68">
        <v>4041</v>
      </c>
      <c r="F68">
        <v>52250</v>
      </c>
      <c r="G68">
        <v>2028</v>
      </c>
      <c r="H68">
        <v>20599</v>
      </c>
      <c r="J68" t="s">
        <v>22</v>
      </c>
      <c r="K68" t="b">
        <v>1</v>
      </c>
      <c r="L68">
        <f t="shared" si="1"/>
        <v>6069</v>
      </c>
      <c r="M68">
        <f t="shared" si="1"/>
        <v>72849</v>
      </c>
      <c r="N68" t="b">
        <v>0</v>
      </c>
      <c r="O68">
        <v>1</v>
      </c>
      <c r="P68" t="s">
        <v>225</v>
      </c>
      <c r="Q68">
        <v>2</v>
      </c>
      <c r="R68" t="b">
        <v>1</v>
      </c>
      <c r="X68" t="str">
        <v>aruba-ip-source-interface</v>
      </c>
      <c r="Y68">
        <v>2929</v>
      </c>
      <c r="AA68" t="str">
        <v>aruba-ip-source-interface</v>
      </c>
      <c r="AB68">
        <v>39768</v>
      </c>
    </row>
    <row r="69" spans="1:28">
      <c r="A69" t="s">
        <v>59</v>
      </c>
      <c r="B69" t="s">
        <v>226</v>
      </c>
      <c r="C69" t="s">
        <v>227</v>
      </c>
      <c r="E69">
        <v>1257</v>
      </c>
      <c r="F69">
        <v>15606</v>
      </c>
      <c r="G69">
        <v>4708</v>
      </c>
      <c r="H69">
        <v>56388</v>
      </c>
      <c r="J69" t="s">
        <v>22</v>
      </c>
      <c r="K69" t="b">
        <v>1</v>
      </c>
      <c r="L69">
        <f t="shared" si="1"/>
        <v>5965</v>
      </c>
      <c r="M69">
        <f t="shared" si="1"/>
        <v>71994</v>
      </c>
      <c r="N69" t="b">
        <v>0</v>
      </c>
      <c r="O69">
        <v>1</v>
      </c>
      <c r="P69" t="s">
        <v>228</v>
      </c>
      <c r="Q69">
        <v>16</v>
      </c>
      <c r="R69" t="b">
        <v>1</v>
      </c>
      <c r="X69" t="str">
        <v>aruba-job-scheduler</v>
      </c>
      <c r="Y69">
        <v>279</v>
      </c>
      <c r="AA69" t="str">
        <v>aruba-job-scheduler</v>
      </c>
      <c r="AB69">
        <v>2072</v>
      </c>
    </row>
    <row r="70" spans="1:28">
      <c r="A70" t="s">
        <v>205</v>
      </c>
      <c r="B70" t="s">
        <v>229</v>
      </c>
      <c r="C70" t="s">
        <v>230</v>
      </c>
      <c r="E70">
        <v>3882</v>
      </c>
      <c r="F70">
        <v>46966</v>
      </c>
      <c r="G70">
        <v>1965</v>
      </c>
      <c r="H70">
        <v>18289</v>
      </c>
      <c r="J70" t="s">
        <v>22</v>
      </c>
      <c r="K70" t="b">
        <v>1</v>
      </c>
      <c r="L70">
        <f t="shared" si="1"/>
        <v>5847</v>
      </c>
      <c r="M70">
        <f t="shared" si="1"/>
        <v>65255</v>
      </c>
      <c r="N70" t="b">
        <v>0</v>
      </c>
      <c r="O70">
        <v>1</v>
      </c>
      <c r="P70" t="s">
        <v>231</v>
      </c>
      <c r="Q70">
        <v>2</v>
      </c>
      <c r="R70" t="b">
        <v>1</v>
      </c>
      <c r="X70" t="str">
        <v>aruba-keychain</v>
      </c>
      <c r="Y70">
        <v>47</v>
      </c>
      <c r="AA70" t="str">
        <v>aruba-keychain</v>
      </c>
      <c r="AB70">
        <v>173</v>
      </c>
    </row>
    <row r="71" spans="1:28">
      <c r="A71" t="s">
        <v>205</v>
      </c>
      <c r="B71" t="s">
        <v>232</v>
      </c>
      <c r="C71" t="s">
        <v>233</v>
      </c>
      <c r="E71">
        <v>3881</v>
      </c>
      <c r="F71">
        <v>46967</v>
      </c>
      <c r="G71">
        <v>1966</v>
      </c>
      <c r="H71">
        <v>18293</v>
      </c>
      <c r="J71" t="s">
        <v>22</v>
      </c>
      <c r="K71" t="b">
        <v>1</v>
      </c>
      <c r="L71">
        <f t="shared" si="1"/>
        <v>5847</v>
      </c>
      <c r="M71">
        <f t="shared" si="1"/>
        <v>65260</v>
      </c>
      <c r="N71" t="b">
        <v>0</v>
      </c>
      <c r="O71">
        <v>1</v>
      </c>
      <c r="P71" t="s">
        <v>234</v>
      </c>
      <c r="Q71">
        <v>2</v>
      </c>
      <c r="R71" t="b">
        <v>1</v>
      </c>
      <c r="X71" t="str">
        <v>aruba-l3-route</v>
      </c>
      <c r="Y71">
        <v>18</v>
      </c>
      <c r="AA71" t="str">
        <v>aruba-l3-route</v>
      </c>
      <c r="AB71">
        <v>927</v>
      </c>
    </row>
    <row r="72" spans="1:28">
      <c r="A72" t="s">
        <v>235</v>
      </c>
      <c r="B72" t="s">
        <v>236</v>
      </c>
      <c r="C72" t="s">
        <v>237</v>
      </c>
      <c r="E72">
        <v>4765</v>
      </c>
      <c r="F72">
        <v>88497</v>
      </c>
      <c r="G72">
        <v>1073</v>
      </c>
      <c r="H72">
        <v>21379</v>
      </c>
      <c r="J72" t="s">
        <v>22</v>
      </c>
      <c r="K72" t="b">
        <v>1</v>
      </c>
      <c r="L72">
        <f t="shared" si="1"/>
        <v>5838</v>
      </c>
      <c r="M72">
        <f t="shared" si="1"/>
        <v>109876</v>
      </c>
      <c r="N72" t="b">
        <v>0</v>
      </c>
      <c r="O72">
        <v>1</v>
      </c>
      <c r="P72" t="s">
        <v>238</v>
      </c>
      <c r="Q72">
        <v>2</v>
      </c>
      <c r="R72" t="b">
        <v>1</v>
      </c>
      <c r="X72" t="str">
        <v>aruba-lacp</v>
      </c>
      <c r="Y72">
        <v>72</v>
      </c>
      <c r="AA72" t="str">
        <v>aruba-lacp</v>
      </c>
      <c r="AB72">
        <v>127</v>
      </c>
    </row>
    <row r="73" spans="1:28">
      <c r="A73" t="s">
        <v>235</v>
      </c>
      <c r="B73" t="s">
        <v>239</v>
      </c>
      <c r="C73" t="s">
        <v>240</v>
      </c>
      <c r="E73">
        <v>4765</v>
      </c>
      <c r="F73">
        <v>88497</v>
      </c>
      <c r="G73">
        <v>1073</v>
      </c>
      <c r="H73">
        <v>21379</v>
      </c>
      <c r="J73" t="s">
        <v>22</v>
      </c>
      <c r="K73" t="b">
        <v>1</v>
      </c>
      <c r="L73">
        <f t="shared" si="1"/>
        <v>5838</v>
      </c>
      <c r="M73">
        <f t="shared" si="1"/>
        <v>109876</v>
      </c>
      <c r="N73" t="b">
        <v>0</v>
      </c>
      <c r="O73">
        <v>1</v>
      </c>
      <c r="P73" t="s">
        <v>241</v>
      </c>
      <c r="Q73">
        <v>4</v>
      </c>
      <c r="R73" t="b">
        <v>1</v>
      </c>
      <c r="X73" t="str">
        <v>aruba-lldp</v>
      </c>
      <c r="Y73">
        <v>345</v>
      </c>
      <c r="AA73" t="str">
        <v>aruba-lldp</v>
      </c>
      <c r="AB73">
        <v>3582</v>
      </c>
    </row>
    <row r="74" spans="1:28">
      <c r="A74" t="s">
        <v>30</v>
      </c>
      <c r="B74" t="s">
        <v>242</v>
      </c>
      <c r="C74" t="s">
        <v>243</v>
      </c>
      <c r="E74">
        <v>1227</v>
      </c>
      <c r="F74">
        <v>17274</v>
      </c>
      <c r="G74">
        <v>4264</v>
      </c>
      <c r="H74">
        <v>50665</v>
      </c>
      <c r="J74" t="s">
        <v>22</v>
      </c>
      <c r="K74" t="b">
        <v>1</v>
      </c>
      <c r="L74">
        <f t="shared" si="1"/>
        <v>5491</v>
      </c>
      <c r="M74">
        <f t="shared" si="1"/>
        <v>67939</v>
      </c>
      <c r="N74" t="b">
        <v>0</v>
      </c>
      <c r="O74">
        <v>1</v>
      </c>
      <c r="P74" t="s">
        <v>244</v>
      </c>
      <c r="Q74">
        <v>2</v>
      </c>
      <c r="R74" t="b">
        <v>1</v>
      </c>
      <c r="X74" t="str">
        <v>aruba-local-management</v>
      </c>
      <c r="Y74">
        <v>16514</v>
      </c>
      <c r="AA74" t="str">
        <v>aruba-local-management</v>
      </c>
      <c r="AB74">
        <v>221560</v>
      </c>
    </row>
    <row r="75" spans="1:28">
      <c r="A75" t="s">
        <v>19</v>
      </c>
      <c r="B75" t="s">
        <v>245</v>
      </c>
      <c r="C75" t="s">
        <v>246</v>
      </c>
      <c r="E75">
        <v>5344</v>
      </c>
      <c r="F75">
        <v>73393</v>
      </c>
      <c r="G75">
        <v>0</v>
      </c>
      <c r="H75">
        <v>0</v>
      </c>
      <c r="J75" t="s">
        <v>22</v>
      </c>
      <c r="K75" t="b">
        <v>1</v>
      </c>
      <c r="L75">
        <f t="shared" si="1"/>
        <v>5344</v>
      </c>
      <c r="M75">
        <f t="shared" si="1"/>
        <v>73393</v>
      </c>
      <c r="N75" t="b">
        <v>0</v>
      </c>
      <c r="O75">
        <v>1</v>
      </c>
      <c r="P75" t="s">
        <v>247</v>
      </c>
      <c r="Q75">
        <v>2</v>
      </c>
      <c r="R75" t="b">
        <v>1</v>
      </c>
      <c r="X75" t="str">
        <v>aruba-logging</v>
      </c>
      <c r="Y75">
        <v>5317</v>
      </c>
      <c r="AA75" t="str">
        <v>aruba-logging</v>
      </c>
      <c r="AB75">
        <v>56064</v>
      </c>
    </row>
    <row r="76" spans="1:28">
      <c r="A76" t="s">
        <v>248</v>
      </c>
      <c r="B76" t="s">
        <v>249</v>
      </c>
      <c r="C76" t="s">
        <v>250</v>
      </c>
      <c r="E76">
        <v>4158</v>
      </c>
      <c r="F76">
        <v>38220</v>
      </c>
      <c r="G76">
        <v>1159</v>
      </c>
      <c r="H76">
        <v>17844</v>
      </c>
      <c r="J76" t="s">
        <v>22</v>
      </c>
      <c r="K76" t="b">
        <v>1</v>
      </c>
      <c r="L76">
        <f t="shared" si="1"/>
        <v>5317</v>
      </c>
      <c r="M76">
        <f t="shared" si="1"/>
        <v>56064</v>
      </c>
      <c r="N76" t="b">
        <v>0</v>
      </c>
      <c r="O76">
        <v>1</v>
      </c>
      <c r="P76" t="s">
        <v>33</v>
      </c>
      <c r="Q76">
        <v>2</v>
      </c>
      <c r="R76" t="b">
        <v>1</v>
      </c>
      <c r="X76" t="str">
        <v>aruba-loop-protect</v>
      </c>
      <c r="Y76">
        <v>1991</v>
      </c>
      <c r="AA76" t="str">
        <v>aruba-loop-protect</v>
      </c>
      <c r="AB76">
        <v>20880</v>
      </c>
    </row>
    <row r="77" spans="1:28">
      <c r="A77" t="s">
        <v>205</v>
      </c>
      <c r="B77" t="s">
        <v>251</v>
      </c>
      <c r="C77" t="s">
        <v>252</v>
      </c>
      <c r="E77">
        <v>3413</v>
      </c>
      <c r="F77">
        <v>41563</v>
      </c>
      <c r="G77">
        <v>1815</v>
      </c>
      <c r="H77">
        <v>15842</v>
      </c>
      <c r="J77" t="s">
        <v>22</v>
      </c>
      <c r="K77" t="b">
        <v>1</v>
      </c>
      <c r="L77">
        <f t="shared" si="1"/>
        <v>5228</v>
      </c>
      <c r="M77">
        <f t="shared" si="1"/>
        <v>57405</v>
      </c>
      <c r="N77" t="b">
        <v>0</v>
      </c>
      <c r="O77">
        <v>1</v>
      </c>
      <c r="P77" t="s">
        <v>175</v>
      </c>
      <c r="Q77">
        <v>2</v>
      </c>
      <c r="R77" t="b">
        <v>1</v>
      </c>
      <c r="X77" t="str">
        <v>aruba-mac-lockout</v>
      </c>
      <c r="Y77">
        <v>30</v>
      </c>
      <c r="AA77" t="str">
        <v>aruba-mac-lockout</v>
      </c>
      <c r="AB77">
        <v>104</v>
      </c>
    </row>
    <row r="78" spans="1:28">
      <c r="A78" t="s">
        <v>205</v>
      </c>
      <c r="B78" t="s">
        <v>253</v>
      </c>
      <c r="C78" t="s">
        <v>254</v>
      </c>
      <c r="E78">
        <v>3508</v>
      </c>
      <c r="F78">
        <v>44587</v>
      </c>
      <c r="G78">
        <v>1691</v>
      </c>
      <c r="H78">
        <v>16254</v>
      </c>
      <c r="J78" t="s">
        <v>22</v>
      </c>
      <c r="K78" t="b">
        <v>1</v>
      </c>
      <c r="L78">
        <f t="shared" si="1"/>
        <v>5199</v>
      </c>
      <c r="M78">
        <f t="shared" si="1"/>
        <v>60841</v>
      </c>
      <c r="N78" t="b">
        <v>0</v>
      </c>
      <c r="O78">
        <v>1</v>
      </c>
      <c r="P78" t="s">
        <v>138</v>
      </c>
      <c r="Q78">
        <v>2</v>
      </c>
      <c r="R78" t="b">
        <v>1</v>
      </c>
      <c r="X78" t="str">
        <v>aruba-macsec</v>
      </c>
      <c r="Y78">
        <v>23</v>
      </c>
      <c r="AA78" t="str">
        <v>aruba-macsec</v>
      </c>
      <c r="AB78">
        <v>58</v>
      </c>
    </row>
    <row r="79" spans="1:28">
      <c r="A79" t="s">
        <v>160</v>
      </c>
      <c r="B79" t="s">
        <v>255</v>
      </c>
      <c r="C79" t="s">
        <v>256</v>
      </c>
      <c r="E79">
        <v>3227</v>
      </c>
      <c r="F79">
        <v>31623</v>
      </c>
      <c r="G79">
        <v>1643</v>
      </c>
      <c r="H79">
        <v>10851</v>
      </c>
      <c r="J79" t="s">
        <v>22</v>
      </c>
      <c r="K79" t="b">
        <v>1</v>
      </c>
      <c r="L79">
        <f t="shared" si="1"/>
        <v>4870</v>
      </c>
      <c r="M79">
        <f t="shared" si="1"/>
        <v>42474</v>
      </c>
      <c r="N79" t="b">
        <v>0</v>
      </c>
      <c r="O79">
        <v>1</v>
      </c>
      <c r="P79" t="s">
        <v>257</v>
      </c>
      <c r="Q79">
        <v>2</v>
      </c>
      <c r="R79" t="b">
        <v>1</v>
      </c>
      <c r="X79" t="str">
        <v>aruba-management-user</v>
      </c>
      <c r="Y79">
        <v>15974</v>
      </c>
      <c r="AA79" t="str">
        <v>aruba-management-user</v>
      </c>
      <c r="AB79">
        <v>220069</v>
      </c>
    </row>
    <row r="80" spans="1:28">
      <c r="A80" t="s">
        <v>235</v>
      </c>
      <c r="B80" t="s">
        <v>258</v>
      </c>
      <c r="C80" t="s">
        <v>259</v>
      </c>
      <c r="E80">
        <v>4765</v>
      </c>
      <c r="F80">
        <v>88497</v>
      </c>
      <c r="G80">
        <v>0</v>
      </c>
      <c r="H80">
        <v>0</v>
      </c>
      <c r="J80" t="s">
        <v>22</v>
      </c>
      <c r="K80" t="b">
        <v>1</v>
      </c>
      <c r="L80">
        <f t="shared" si="1"/>
        <v>4765</v>
      </c>
      <c r="M80">
        <f t="shared" si="1"/>
        <v>88497</v>
      </c>
      <c r="N80" t="b">
        <v>0</v>
      </c>
      <c r="O80">
        <v>1</v>
      </c>
      <c r="P80" t="s">
        <v>260</v>
      </c>
      <c r="Q80">
        <v>2</v>
      </c>
      <c r="R80" t="b">
        <v>1</v>
      </c>
      <c r="X80" t="str">
        <v>aruba-management-user-group</v>
      </c>
      <c r="Y80">
        <v>179</v>
      </c>
      <c r="AA80" t="str">
        <v>aruba-management-user-group</v>
      </c>
      <c r="AB80">
        <v>2455</v>
      </c>
    </row>
    <row r="81" spans="1:28">
      <c r="A81" t="s">
        <v>261</v>
      </c>
      <c r="B81" t="s">
        <v>262</v>
      </c>
      <c r="C81" t="s">
        <v>263</v>
      </c>
      <c r="E81">
        <v>4078</v>
      </c>
      <c r="F81">
        <v>34254</v>
      </c>
      <c r="G81">
        <v>663</v>
      </c>
      <c r="H81">
        <v>10761</v>
      </c>
      <c r="J81" t="s">
        <v>22</v>
      </c>
      <c r="K81" t="b">
        <v>1</v>
      </c>
      <c r="L81">
        <f t="shared" si="1"/>
        <v>4741</v>
      </c>
      <c r="M81">
        <f t="shared" si="1"/>
        <v>45015</v>
      </c>
      <c r="N81" t="b">
        <v>0</v>
      </c>
      <c r="O81">
        <v>1</v>
      </c>
      <c r="P81" t="s">
        <v>264</v>
      </c>
      <c r="Q81">
        <v>1</v>
      </c>
      <c r="R81" t="b">
        <v>1</v>
      </c>
      <c r="X81" t="str">
        <v>aruba-mgmd</v>
      </c>
      <c r="Y81">
        <v>131</v>
      </c>
      <c r="AA81" t="str">
        <v>aruba-mgmd</v>
      </c>
      <c r="AB81">
        <v>1290</v>
      </c>
    </row>
    <row r="82" spans="1:28">
      <c r="A82" t="s">
        <v>37</v>
      </c>
      <c r="B82" t="s">
        <v>265</v>
      </c>
      <c r="C82" t="s">
        <v>266</v>
      </c>
      <c r="E82">
        <v>3996</v>
      </c>
      <c r="F82">
        <v>77711</v>
      </c>
      <c r="G82">
        <v>745</v>
      </c>
      <c r="H82">
        <v>16741</v>
      </c>
      <c r="J82" t="s">
        <v>22</v>
      </c>
      <c r="K82" t="b">
        <v>1</v>
      </c>
      <c r="L82">
        <f t="shared" si="1"/>
        <v>4741</v>
      </c>
      <c r="M82">
        <f t="shared" si="1"/>
        <v>94452</v>
      </c>
      <c r="N82" t="b">
        <v>0</v>
      </c>
      <c r="O82">
        <v>1</v>
      </c>
      <c r="P82" t="s">
        <v>267</v>
      </c>
      <c r="Q82">
        <v>2</v>
      </c>
      <c r="R82" t="b">
        <v>1</v>
      </c>
      <c r="X82" t="str">
        <v>aruba-mirror</v>
      </c>
      <c r="Y82">
        <v>1300</v>
      </c>
      <c r="AA82" t="str">
        <v>aruba-mirror</v>
      </c>
      <c r="AB82">
        <v>3752</v>
      </c>
    </row>
    <row r="83" spans="1:28">
      <c r="A83" t="s">
        <v>37</v>
      </c>
      <c r="B83" t="s">
        <v>268</v>
      </c>
      <c r="C83" t="s">
        <v>269</v>
      </c>
      <c r="E83">
        <v>3996</v>
      </c>
      <c r="F83">
        <v>77711</v>
      </c>
      <c r="G83">
        <v>745</v>
      </c>
      <c r="H83">
        <v>16741</v>
      </c>
      <c r="J83" t="s">
        <v>22</v>
      </c>
      <c r="K83" t="b">
        <v>1</v>
      </c>
      <c r="L83">
        <f t="shared" si="1"/>
        <v>4741</v>
      </c>
      <c r="M83">
        <f t="shared" si="1"/>
        <v>94452</v>
      </c>
      <c r="N83" t="b">
        <v>0</v>
      </c>
      <c r="O83">
        <v>1</v>
      </c>
      <c r="P83" t="s">
        <v>270</v>
      </c>
      <c r="Q83">
        <v>2</v>
      </c>
      <c r="R83" t="b">
        <v>1</v>
      </c>
      <c r="X83" t="str">
        <v>aruba-mirror-endpoint</v>
      </c>
      <c r="Y83">
        <v>51</v>
      </c>
      <c r="AA83" t="str">
        <v>aruba-mirror-endpoint</v>
      </c>
      <c r="AB83">
        <v>65</v>
      </c>
    </row>
    <row r="84" spans="1:28">
      <c r="A84" t="s">
        <v>37</v>
      </c>
      <c r="B84" t="s">
        <v>271</v>
      </c>
      <c r="C84" t="s">
        <v>272</v>
      </c>
      <c r="E84">
        <v>0</v>
      </c>
      <c r="F84">
        <v>0</v>
      </c>
      <c r="G84">
        <v>4732</v>
      </c>
      <c r="H84">
        <v>56713</v>
      </c>
      <c r="J84" t="s">
        <v>22</v>
      </c>
      <c r="K84" t="b">
        <v>1</v>
      </c>
      <c r="L84">
        <f t="shared" si="1"/>
        <v>4732</v>
      </c>
      <c r="M84">
        <f t="shared" si="1"/>
        <v>56713</v>
      </c>
      <c r="N84" t="b">
        <v>0</v>
      </c>
      <c r="O84">
        <v>1</v>
      </c>
      <c r="P84" t="s">
        <v>273</v>
      </c>
      <c r="Q84">
        <v>2</v>
      </c>
      <c r="R84" t="b">
        <v>1</v>
      </c>
      <c r="X84" t="str">
        <v>aruba-mka</v>
      </c>
      <c r="Y84">
        <v>23</v>
      </c>
      <c r="AA84" t="str">
        <v>aruba-mka</v>
      </c>
      <c r="AB84">
        <v>58</v>
      </c>
    </row>
    <row r="85" spans="1:28">
      <c r="A85" t="s">
        <v>274</v>
      </c>
      <c r="B85" t="s">
        <v>275</v>
      </c>
      <c r="C85" t="s">
        <v>276</v>
      </c>
      <c r="E85">
        <v>4063</v>
      </c>
      <c r="F85">
        <v>33234</v>
      </c>
      <c r="G85">
        <v>646</v>
      </c>
      <c r="H85">
        <v>10255</v>
      </c>
      <c r="J85" t="s">
        <v>22</v>
      </c>
      <c r="K85" t="b">
        <v>1</v>
      </c>
      <c r="L85">
        <f t="shared" si="1"/>
        <v>4709</v>
      </c>
      <c r="M85">
        <f t="shared" si="1"/>
        <v>43489</v>
      </c>
      <c r="N85" t="b">
        <v>0</v>
      </c>
      <c r="O85">
        <v>1</v>
      </c>
      <c r="P85" t="s">
        <v>264</v>
      </c>
      <c r="Q85">
        <v>1</v>
      </c>
      <c r="R85" t="b">
        <v>1</v>
      </c>
      <c r="X85" t="str">
        <v>aruba-msdp</v>
      </c>
      <c r="Y85">
        <v>24</v>
      </c>
      <c r="AA85" t="str">
        <v>aruba-msdp</v>
      </c>
      <c r="AB85">
        <v>46</v>
      </c>
    </row>
    <row r="86" spans="1:28">
      <c r="A86" t="s">
        <v>37</v>
      </c>
      <c r="B86" t="s">
        <v>277</v>
      </c>
      <c r="C86" t="s">
        <v>278</v>
      </c>
      <c r="E86">
        <v>0</v>
      </c>
      <c r="F86">
        <v>0</v>
      </c>
      <c r="G86">
        <v>4625</v>
      </c>
      <c r="H86">
        <v>51310</v>
      </c>
      <c r="J86" t="s">
        <v>22</v>
      </c>
      <c r="K86" t="b">
        <v>1</v>
      </c>
      <c r="L86">
        <f t="shared" si="1"/>
        <v>4625</v>
      </c>
      <c r="M86">
        <f t="shared" si="1"/>
        <v>51310</v>
      </c>
      <c r="N86" t="b">
        <v>0</v>
      </c>
      <c r="O86">
        <v>1</v>
      </c>
      <c r="P86" t="s">
        <v>279</v>
      </c>
      <c r="Q86">
        <v>2</v>
      </c>
      <c r="R86" t="b">
        <v>1</v>
      </c>
      <c r="X86" t="str">
        <v>aruba-multicast</v>
      </c>
      <c r="Y86">
        <v>3</v>
      </c>
      <c r="AA86" t="str">
        <v>aruba-multicast</v>
      </c>
      <c r="AB86">
        <v>4</v>
      </c>
    </row>
    <row r="87" spans="1:28">
      <c r="A87" t="s">
        <v>160</v>
      </c>
      <c r="B87" t="s">
        <v>280</v>
      </c>
      <c r="C87" t="s">
        <v>281</v>
      </c>
      <c r="E87">
        <v>3006</v>
      </c>
      <c r="F87">
        <v>29470</v>
      </c>
      <c r="G87">
        <v>1505</v>
      </c>
      <c r="H87">
        <v>9810</v>
      </c>
      <c r="J87" t="s">
        <v>22</v>
      </c>
      <c r="K87" t="b">
        <v>1</v>
      </c>
      <c r="L87">
        <f t="shared" si="1"/>
        <v>4511</v>
      </c>
      <c r="M87">
        <f t="shared" si="1"/>
        <v>39280</v>
      </c>
      <c r="N87" t="b">
        <v>0</v>
      </c>
      <c r="O87">
        <v>1</v>
      </c>
      <c r="P87" t="s">
        <v>282</v>
      </c>
      <c r="Q87">
        <v>2</v>
      </c>
      <c r="R87" t="b">
        <v>1</v>
      </c>
      <c r="X87" t="str">
        <v>aruba-multicast-dns</v>
      </c>
      <c r="Y87">
        <v>56</v>
      </c>
      <c r="AA87" t="str">
        <v>aruba-multicast-dns</v>
      </c>
      <c r="AB87">
        <v>328</v>
      </c>
    </row>
    <row r="88" spans="1:28">
      <c r="A88" t="s">
        <v>205</v>
      </c>
      <c r="B88" t="s">
        <v>283</v>
      </c>
      <c r="C88" t="s">
        <v>284</v>
      </c>
      <c r="E88">
        <v>3006</v>
      </c>
      <c r="F88">
        <v>36962</v>
      </c>
      <c r="G88">
        <v>1441</v>
      </c>
      <c r="H88">
        <v>12319</v>
      </c>
      <c r="J88" t="s">
        <v>22</v>
      </c>
      <c r="K88" t="b">
        <v>1</v>
      </c>
      <c r="L88">
        <f t="shared" si="1"/>
        <v>4447</v>
      </c>
      <c r="M88">
        <f t="shared" si="1"/>
        <v>49281</v>
      </c>
      <c r="N88" t="b">
        <v>0</v>
      </c>
      <c r="O88">
        <v>1</v>
      </c>
      <c r="P88" t="s">
        <v>188</v>
      </c>
      <c r="Q88">
        <v>2</v>
      </c>
      <c r="R88" t="b">
        <v>1</v>
      </c>
      <c r="X88" t="str">
        <v>aruba-multicast-static-route</v>
      </c>
      <c r="Y88">
        <v>2</v>
      </c>
      <c r="AA88" t="str">
        <v>aruba-multicast-static-route</v>
      </c>
      <c r="AB88">
        <v>3</v>
      </c>
    </row>
    <row r="89" spans="1:28">
      <c r="A89" t="s">
        <v>37</v>
      </c>
      <c r="B89" t="s">
        <v>285</v>
      </c>
      <c r="C89" t="s">
        <v>286</v>
      </c>
      <c r="E89">
        <v>3626</v>
      </c>
      <c r="F89">
        <v>77711</v>
      </c>
      <c r="G89">
        <v>743</v>
      </c>
      <c r="H89">
        <v>16739</v>
      </c>
      <c r="J89" t="s">
        <v>22</v>
      </c>
      <c r="K89" t="b">
        <v>1</v>
      </c>
      <c r="L89">
        <f t="shared" si="1"/>
        <v>4369</v>
      </c>
      <c r="M89">
        <f t="shared" si="1"/>
        <v>94450</v>
      </c>
      <c r="N89" t="b">
        <v>0</v>
      </c>
      <c r="O89">
        <v>1</v>
      </c>
      <c r="P89" t="s">
        <v>287</v>
      </c>
      <c r="Q89">
        <v>2</v>
      </c>
      <c r="R89" t="b">
        <v>1</v>
      </c>
      <c r="X89" t="str">
        <v>aruba-mvrp</v>
      </c>
      <c r="Y89">
        <v>35</v>
      </c>
      <c r="AA89" t="str">
        <v>aruba-mvrp</v>
      </c>
      <c r="AB89">
        <v>107</v>
      </c>
    </row>
    <row r="90" spans="1:28">
      <c r="A90" t="s">
        <v>37</v>
      </c>
      <c r="B90" t="s">
        <v>288</v>
      </c>
      <c r="C90" t="s">
        <v>289</v>
      </c>
      <c r="E90">
        <v>3626</v>
      </c>
      <c r="F90">
        <v>77711</v>
      </c>
      <c r="G90">
        <v>743</v>
      </c>
      <c r="H90">
        <v>16739</v>
      </c>
      <c r="J90" t="s">
        <v>22</v>
      </c>
      <c r="K90" t="b">
        <v>1</v>
      </c>
      <c r="L90">
        <f t="shared" si="1"/>
        <v>4369</v>
      </c>
      <c r="M90">
        <f t="shared" si="1"/>
        <v>94450</v>
      </c>
      <c r="N90" t="b">
        <v>0</v>
      </c>
      <c r="O90">
        <v>1</v>
      </c>
      <c r="P90" t="s">
        <v>290</v>
      </c>
      <c r="Q90">
        <v>2</v>
      </c>
      <c r="R90" t="b">
        <v>1</v>
      </c>
      <c r="X90" t="str">
        <v>aruba-nae-agent</v>
      </c>
      <c r="Y90">
        <v>207</v>
      </c>
      <c r="AA90" t="str">
        <v>aruba-nae-agent</v>
      </c>
      <c r="AB90">
        <v>556</v>
      </c>
    </row>
    <row r="91" spans="1:28">
      <c r="A91" t="s">
        <v>133</v>
      </c>
      <c r="B91" t="s">
        <v>291</v>
      </c>
      <c r="C91" t="s">
        <v>292</v>
      </c>
      <c r="E91">
        <v>3371</v>
      </c>
      <c r="F91">
        <v>42788</v>
      </c>
      <c r="G91">
        <v>833</v>
      </c>
      <c r="H91">
        <v>15374</v>
      </c>
      <c r="J91" t="s">
        <v>22</v>
      </c>
      <c r="K91" t="b">
        <v>1</v>
      </c>
      <c r="L91">
        <f t="shared" si="1"/>
        <v>4204</v>
      </c>
      <c r="M91">
        <f t="shared" si="1"/>
        <v>58162</v>
      </c>
      <c r="N91" t="b">
        <v>0</v>
      </c>
      <c r="O91">
        <v>0</v>
      </c>
      <c r="Q91">
        <v>0</v>
      </c>
      <c r="R91" t="b">
        <v>0</v>
      </c>
      <c r="X91" t="str">
        <v>aruba-nae-lite</v>
      </c>
      <c r="Y91">
        <v>42</v>
      </c>
      <c r="AA91" t="str">
        <v>aruba-nae-lite</v>
      </c>
      <c r="AB91">
        <v>22</v>
      </c>
    </row>
    <row r="92" spans="1:28">
      <c r="A92" t="s">
        <v>133</v>
      </c>
      <c r="B92" t="s">
        <v>293</v>
      </c>
      <c r="C92" t="s">
        <v>294</v>
      </c>
      <c r="E92">
        <v>3371</v>
      </c>
      <c r="F92">
        <v>42788</v>
      </c>
      <c r="G92">
        <v>833</v>
      </c>
      <c r="H92">
        <v>15374</v>
      </c>
      <c r="J92" t="s">
        <v>22</v>
      </c>
      <c r="K92" t="b">
        <v>1</v>
      </c>
      <c r="L92">
        <f t="shared" si="1"/>
        <v>4204</v>
      </c>
      <c r="M92">
        <f t="shared" si="1"/>
        <v>58162</v>
      </c>
      <c r="N92" t="b">
        <v>0</v>
      </c>
      <c r="O92">
        <v>1</v>
      </c>
      <c r="P92" t="s">
        <v>295</v>
      </c>
      <c r="Q92">
        <v>2</v>
      </c>
      <c r="R92" t="b">
        <v>1</v>
      </c>
      <c r="X92" t="str">
        <v>aruba-nae-script</v>
      </c>
      <c r="Y92">
        <v>232</v>
      </c>
      <c r="AA92" t="str">
        <v>aruba-nae-script</v>
      </c>
      <c r="AB92">
        <v>605</v>
      </c>
    </row>
    <row r="93" spans="1:28">
      <c r="A93" t="s">
        <v>133</v>
      </c>
      <c r="B93" t="s">
        <v>296</v>
      </c>
      <c r="C93" t="s">
        <v>297</v>
      </c>
      <c r="E93">
        <v>3371</v>
      </c>
      <c r="F93">
        <v>42788</v>
      </c>
      <c r="G93">
        <v>833</v>
      </c>
      <c r="H93">
        <v>15374</v>
      </c>
      <c r="J93" t="s">
        <v>22</v>
      </c>
      <c r="K93" t="b">
        <v>1</v>
      </c>
      <c r="L93">
        <f t="shared" si="1"/>
        <v>4204</v>
      </c>
      <c r="M93">
        <f t="shared" si="1"/>
        <v>58162</v>
      </c>
      <c r="N93" t="b">
        <v>0</v>
      </c>
      <c r="O93">
        <v>1</v>
      </c>
      <c r="P93" t="s">
        <v>298</v>
      </c>
      <c r="Q93">
        <v>2</v>
      </c>
      <c r="R93" t="b">
        <v>1</v>
      </c>
      <c r="X93" t="str">
        <v>aruba-named-condition</v>
      </c>
      <c r="Y93">
        <v>2725</v>
      </c>
      <c r="AA93" t="str">
        <v>aruba-named-condition</v>
      </c>
      <c r="AB93">
        <v>15026</v>
      </c>
    </row>
    <row r="94" spans="1:28">
      <c r="A94" t="s">
        <v>133</v>
      </c>
      <c r="B94" t="s">
        <v>299</v>
      </c>
      <c r="C94" t="s">
        <v>300</v>
      </c>
      <c r="E94">
        <v>3371</v>
      </c>
      <c r="F94">
        <v>42788</v>
      </c>
      <c r="G94">
        <v>833</v>
      </c>
      <c r="H94">
        <v>15374</v>
      </c>
      <c r="J94" t="s">
        <v>22</v>
      </c>
      <c r="K94" t="b">
        <v>1</v>
      </c>
      <c r="L94">
        <f t="shared" si="1"/>
        <v>4204</v>
      </c>
      <c r="M94">
        <f t="shared" si="1"/>
        <v>58162</v>
      </c>
      <c r="N94" t="b">
        <v>0</v>
      </c>
      <c r="O94">
        <v>0</v>
      </c>
      <c r="Q94">
        <v>0</v>
      </c>
      <c r="R94" t="b">
        <v>0</v>
      </c>
      <c r="X94" t="str">
        <v>aruba-named-vlan</v>
      </c>
      <c r="Y94">
        <v>57</v>
      </c>
      <c r="AA94" t="str">
        <v>aruba-named-vlan</v>
      </c>
      <c r="AB94">
        <v>286</v>
      </c>
    </row>
    <row r="95" spans="1:28">
      <c r="A95" t="s">
        <v>133</v>
      </c>
      <c r="B95" t="s">
        <v>301</v>
      </c>
      <c r="C95" t="s">
        <v>302</v>
      </c>
      <c r="E95">
        <v>3371</v>
      </c>
      <c r="F95">
        <v>42788</v>
      </c>
      <c r="G95">
        <v>833</v>
      </c>
      <c r="H95">
        <v>15374</v>
      </c>
      <c r="J95" t="s">
        <v>22</v>
      </c>
      <c r="K95" t="b">
        <v>1</v>
      </c>
      <c r="L95">
        <f t="shared" si="1"/>
        <v>4204</v>
      </c>
      <c r="M95">
        <f t="shared" si="1"/>
        <v>58162</v>
      </c>
      <c r="N95" t="b">
        <v>0</v>
      </c>
      <c r="O95">
        <v>0</v>
      </c>
      <c r="Q95">
        <v>0</v>
      </c>
      <c r="R95" t="b">
        <v>0</v>
      </c>
      <c r="X95" t="str">
        <v>aruba-nd-snooping</v>
      </c>
      <c r="Y95">
        <v>34</v>
      </c>
      <c r="AA95" t="str">
        <v>aruba-nd-snooping</v>
      </c>
      <c r="AB95">
        <v>894</v>
      </c>
    </row>
    <row r="96" spans="1:28">
      <c r="A96" t="s">
        <v>133</v>
      </c>
      <c r="B96" t="s">
        <v>303</v>
      </c>
      <c r="C96" t="s">
        <v>304</v>
      </c>
      <c r="E96">
        <v>3371</v>
      </c>
      <c r="F96">
        <v>42788</v>
      </c>
      <c r="G96">
        <v>833</v>
      </c>
      <c r="H96">
        <v>15374</v>
      </c>
      <c r="J96" t="s">
        <v>22</v>
      </c>
      <c r="K96" t="b">
        <v>1</v>
      </c>
      <c r="L96">
        <f t="shared" si="1"/>
        <v>4204</v>
      </c>
      <c r="M96">
        <f t="shared" si="1"/>
        <v>58162</v>
      </c>
      <c r="N96" t="b">
        <v>0</v>
      </c>
      <c r="O96">
        <v>0</v>
      </c>
      <c r="Q96">
        <v>0</v>
      </c>
      <c r="R96" t="b">
        <v>0</v>
      </c>
      <c r="X96" t="str">
        <v>aruba-nd-snooping-interface</v>
      </c>
      <c r="Y96">
        <v>15</v>
      </c>
      <c r="AA96" t="str">
        <v>aruba-nd-snooping-interface</v>
      </c>
      <c r="AB96">
        <v>494</v>
      </c>
    </row>
    <row r="97" spans="1:28">
      <c r="A97" t="s">
        <v>133</v>
      </c>
      <c r="B97" t="s">
        <v>305</v>
      </c>
      <c r="C97" t="s">
        <v>306</v>
      </c>
      <c r="E97">
        <v>3371</v>
      </c>
      <c r="F97">
        <v>42788</v>
      </c>
      <c r="G97">
        <v>833</v>
      </c>
      <c r="H97">
        <v>15374</v>
      </c>
      <c r="J97" t="s">
        <v>22</v>
      </c>
      <c r="K97" t="b">
        <v>1</v>
      </c>
      <c r="L97">
        <f t="shared" si="1"/>
        <v>4204</v>
      </c>
      <c r="M97">
        <f t="shared" si="1"/>
        <v>58162</v>
      </c>
      <c r="N97" t="b">
        <v>0</v>
      </c>
      <c r="O97">
        <v>0.5</v>
      </c>
      <c r="P97" t="s">
        <v>201</v>
      </c>
      <c r="Q97">
        <v>2</v>
      </c>
      <c r="R97" t="b">
        <v>1</v>
      </c>
      <c r="X97" t="str">
        <v>aruba-nexthop-group</v>
      </c>
      <c r="Y97">
        <v>80</v>
      </c>
      <c r="AA97" t="str">
        <v>aruba-nexthop-group</v>
      </c>
      <c r="AB97">
        <v>201</v>
      </c>
    </row>
    <row r="98" spans="1:28">
      <c r="A98" t="s">
        <v>19</v>
      </c>
      <c r="B98" t="s">
        <v>307</v>
      </c>
      <c r="C98" t="s">
        <v>308</v>
      </c>
      <c r="E98">
        <v>4167</v>
      </c>
      <c r="F98">
        <v>72639</v>
      </c>
      <c r="G98">
        <v>0</v>
      </c>
      <c r="H98">
        <v>0</v>
      </c>
      <c r="J98" t="s">
        <v>22</v>
      </c>
      <c r="K98" t="b">
        <v>1</v>
      </c>
      <c r="L98">
        <f t="shared" si="1"/>
        <v>4167</v>
      </c>
      <c r="M98">
        <f t="shared" si="1"/>
        <v>72639</v>
      </c>
      <c r="N98" t="b">
        <v>0</v>
      </c>
      <c r="O98">
        <v>1</v>
      </c>
      <c r="P98" t="s">
        <v>309</v>
      </c>
      <c r="Q98">
        <v>2</v>
      </c>
      <c r="R98" t="b">
        <v>1</v>
      </c>
      <c r="X98" t="str">
        <v>aruba-ntp</v>
      </c>
      <c r="Y98">
        <v>15980</v>
      </c>
      <c r="AA98" t="str">
        <v>aruba-ntp</v>
      </c>
      <c r="AB98">
        <v>210346</v>
      </c>
    </row>
    <row r="99" spans="1:28">
      <c r="A99" t="s">
        <v>37</v>
      </c>
      <c r="B99" t="s">
        <v>310</v>
      </c>
      <c r="C99" t="s">
        <v>311</v>
      </c>
      <c r="E99">
        <v>3456</v>
      </c>
      <c r="F99">
        <v>34856</v>
      </c>
      <c r="G99">
        <v>656</v>
      </c>
      <c r="H99">
        <v>12696</v>
      </c>
      <c r="J99" t="s">
        <v>22</v>
      </c>
      <c r="K99" t="b">
        <v>1</v>
      </c>
      <c r="L99">
        <f t="shared" si="1"/>
        <v>4112</v>
      </c>
      <c r="M99">
        <f t="shared" si="1"/>
        <v>47552</v>
      </c>
      <c r="N99" t="b">
        <v>0</v>
      </c>
      <c r="O99">
        <v>1</v>
      </c>
      <c r="P99" t="s">
        <v>312</v>
      </c>
      <c r="Q99">
        <v>2</v>
      </c>
      <c r="R99" t="b">
        <v>1</v>
      </c>
      <c r="X99" t="str">
        <v>aruba-object-group</v>
      </c>
      <c r="Y99">
        <v>156</v>
      </c>
      <c r="AA99" t="str">
        <v>aruba-object-group</v>
      </c>
      <c r="AB99">
        <v>2499</v>
      </c>
    </row>
    <row r="100" spans="1:28">
      <c r="A100" t="s">
        <v>37</v>
      </c>
      <c r="B100" t="s">
        <v>313</v>
      </c>
      <c r="C100" t="s">
        <v>314</v>
      </c>
      <c r="E100">
        <v>3456</v>
      </c>
      <c r="F100">
        <v>34856</v>
      </c>
      <c r="G100">
        <v>656</v>
      </c>
      <c r="H100">
        <v>12696</v>
      </c>
      <c r="J100" t="s">
        <v>22</v>
      </c>
      <c r="K100" t="b">
        <v>1</v>
      </c>
      <c r="L100">
        <f t="shared" si="1"/>
        <v>4112</v>
      </c>
      <c r="M100">
        <f t="shared" si="1"/>
        <v>47552</v>
      </c>
      <c r="N100" t="b">
        <v>0</v>
      </c>
      <c r="O100">
        <v>1</v>
      </c>
      <c r="P100" t="s">
        <v>315</v>
      </c>
      <c r="Q100">
        <v>2</v>
      </c>
      <c r="R100" t="b">
        <v>1</v>
      </c>
      <c r="X100" t="str">
        <v>aruba-ospfv2</v>
      </c>
      <c r="Y100">
        <v>420</v>
      </c>
      <c r="AA100" t="str">
        <v>aruba-ospfv2</v>
      </c>
      <c r="AB100">
        <v>2046</v>
      </c>
    </row>
    <row r="101" spans="1:28">
      <c r="A101" t="s">
        <v>160</v>
      </c>
      <c r="B101" t="s">
        <v>316</v>
      </c>
      <c r="C101" t="s">
        <v>317</v>
      </c>
      <c r="E101">
        <v>2641</v>
      </c>
      <c r="F101">
        <v>25713</v>
      </c>
      <c r="G101">
        <v>1374</v>
      </c>
      <c r="H101">
        <v>8971</v>
      </c>
      <c r="J101" t="s">
        <v>22</v>
      </c>
      <c r="K101" t="b">
        <v>1</v>
      </c>
      <c r="L101">
        <f t="shared" si="1"/>
        <v>4015</v>
      </c>
      <c r="M101">
        <f t="shared" si="1"/>
        <v>34684</v>
      </c>
      <c r="N101" t="b">
        <v>0</v>
      </c>
      <c r="O101">
        <v>1</v>
      </c>
      <c r="P101" t="s">
        <v>318</v>
      </c>
      <c r="Q101">
        <v>2</v>
      </c>
      <c r="R101" t="b">
        <v>1</v>
      </c>
      <c r="X101" t="str">
        <v>aruba-ospfv3</v>
      </c>
      <c r="Y101">
        <v>9</v>
      </c>
      <c r="AA101" t="str">
        <v>aruba-ospfv3</v>
      </c>
      <c r="AB101">
        <v>51</v>
      </c>
    </row>
    <row r="102" spans="1:28">
      <c r="A102" t="s">
        <v>176</v>
      </c>
      <c r="B102" t="s">
        <v>319</v>
      </c>
      <c r="C102" t="s">
        <v>320</v>
      </c>
      <c r="E102">
        <v>2641</v>
      </c>
      <c r="F102">
        <v>25713</v>
      </c>
      <c r="G102">
        <v>1374</v>
      </c>
      <c r="H102">
        <v>8973</v>
      </c>
      <c r="J102" t="s">
        <v>22</v>
      </c>
      <c r="K102" t="b">
        <v>1</v>
      </c>
      <c r="L102">
        <f t="shared" si="1"/>
        <v>4015</v>
      </c>
      <c r="M102">
        <f t="shared" si="1"/>
        <v>34686</v>
      </c>
      <c r="N102" t="b">
        <v>0</v>
      </c>
      <c r="O102">
        <v>1</v>
      </c>
      <c r="P102" t="s">
        <v>321</v>
      </c>
      <c r="Q102">
        <v>2</v>
      </c>
      <c r="R102" t="b">
        <v>1</v>
      </c>
      <c r="X102" t="str">
        <v>aruba-pim</v>
      </c>
      <c r="Y102">
        <v>326</v>
      </c>
      <c r="AA102" t="str">
        <v>aruba-pim</v>
      </c>
      <c r="AB102">
        <v>1825</v>
      </c>
    </row>
    <row r="103" spans="1:28">
      <c r="A103" t="s">
        <v>248</v>
      </c>
      <c r="B103" t="s">
        <v>322</v>
      </c>
      <c r="C103" t="s">
        <v>323</v>
      </c>
      <c r="E103">
        <v>3239</v>
      </c>
      <c r="F103">
        <v>35808</v>
      </c>
      <c r="G103">
        <v>757</v>
      </c>
      <c r="H103">
        <v>16275</v>
      </c>
      <c r="J103" t="s">
        <v>22</v>
      </c>
      <c r="K103" t="b">
        <v>1</v>
      </c>
      <c r="L103">
        <f t="shared" si="1"/>
        <v>3996</v>
      </c>
      <c r="M103">
        <f t="shared" si="1"/>
        <v>52083</v>
      </c>
      <c r="N103" t="b">
        <v>0</v>
      </c>
      <c r="O103">
        <v>1</v>
      </c>
      <c r="P103" t="s">
        <v>324</v>
      </c>
      <c r="Q103">
        <v>2</v>
      </c>
      <c r="R103" t="b">
        <v>1</v>
      </c>
      <c r="X103" t="str">
        <v>aruba-policy</v>
      </c>
      <c r="Y103">
        <v>2944</v>
      </c>
      <c r="AA103" t="str">
        <v>aruba-policy</v>
      </c>
      <c r="AB103">
        <v>25466</v>
      </c>
    </row>
    <row r="104" spans="1:28">
      <c r="A104" t="s">
        <v>235</v>
      </c>
      <c r="B104" t="s">
        <v>325</v>
      </c>
      <c r="C104" t="s">
        <v>326</v>
      </c>
      <c r="E104">
        <v>3978</v>
      </c>
      <c r="F104">
        <v>85047</v>
      </c>
      <c r="G104">
        <v>0</v>
      </c>
      <c r="H104">
        <v>0</v>
      </c>
      <c r="J104" t="s">
        <v>22</v>
      </c>
      <c r="K104" t="b">
        <v>1</v>
      </c>
      <c r="L104">
        <f t="shared" si="1"/>
        <v>3978</v>
      </c>
      <c r="M104">
        <f t="shared" si="1"/>
        <v>85047</v>
      </c>
      <c r="N104" t="b">
        <v>0</v>
      </c>
      <c r="O104">
        <v>1</v>
      </c>
      <c r="P104" t="s">
        <v>327</v>
      </c>
      <c r="Q104">
        <v>2</v>
      </c>
      <c r="R104" t="b">
        <v>1</v>
      </c>
      <c r="X104" t="str">
        <v>aruba-port-security</v>
      </c>
      <c r="Y104">
        <v>423</v>
      </c>
      <c r="AA104" t="str">
        <v>aruba-port-security</v>
      </c>
      <c r="AB104">
        <v>6373</v>
      </c>
    </row>
    <row r="105" spans="1:28">
      <c r="A105" t="s">
        <v>24</v>
      </c>
      <c r="B105" t="s">
        <v>328</v>
      </c>
      <c r="C105" t="s">
        <v>329</v>
      </c>
      <c r="E105">
        <v>2865</v>
      </c>
      <c r="F105">
        <v>49762</v>
      </c>
      <c r="G105">
        <v>1080</v>
      </c>
      <c r="H105">
        <v>15098</v>
      </c>
      <c r="J105" t="s">
        <v>22</v>
      </c>
      <c r="K105" t="b">
        <v>1</v>
      </c>
      <c r="L105">
        <f t="shared" si="1"/>
        <v>3945</v>
      </c>
      <c r="M105">
        <f t="shared" si="1"/>
        <v>64860</v>
      </c>
      <c r="N105" t="b">
        <v>0</v>
      </c>
      <c r="O105">
        <v>1</v>
      </c>
      <c r="P105" t="s">
        <v>330</v>
      </c>
      <c r="Q105">
        <v>2</v>
      </c>
      <c r="R105" t="b">
        <v>1</v>
      </c>
      <c r="X105" t="str">
        <v>aruba-prefix-list</v>
      </c>
      <c r="Y105">
        <v>262</v>
      </c>
      <c r="AA105" t="str">
        <v>aruba-prefix-list</v>
      </c>
      <c r="AB105">
        <v>1061</v>
      </c>
    </row>
    <row r="106" spans="1:28" hidden="1">
      <c r="A106" t="s">
        <v>192</v>
      </c>
      <c r="B106" t="s">
        <v>331</v>
      </c>
      <c r="C106" s="3" t="s">
        <v>332</v>
      </c>
      <c r="D106" s="3" t="s">
        <v>333</v>
      </c>
      <c r="E106">
        <v>3748</v>
      </c>
      <c r="F106">
        <v>128</v>
      </c>
      <c r="G106">
        <v>89</v>
      </c>
      <c r="H106">
        <v>90</v>
      </c>
      <c r="J106" t="s">
        <v>93</v>
      </c>
      <c r="K106" t="b">
        <v>1</v>
      </c>
      <c r="L106">
        <f t="shared" si="1"/>
        <v>3837</v>
      </c>
      <c r="M106">
        <v>2180</v>
      </c>
      <c r="N106" t="b">
        <v>0</v>
      </c>
      <c r="O106">
        <v>0</v>
      </c>
      <c r="Q106">
        <v>0</v>
      </c>
      <c r="R106" t="b">
        <v>0</v>
      </c>
      <c r="X106" t="str">
        <v>aruba-psm</v>
      </c>
      <c r="Y106">
        <v>38</v>
      </c>
      <c r="AA106" t="str">
        <v>aruba-psm</v>
      </c>
      <c r="AB106">
        <v>43</v>
      </c>
    </row>
    <row r="107" spans="1:28">
      <c r="A107" t="s">
        <v>334</v>
      </c>
      <c r="B107" t="s">
        <v>335</v>
      </c>
      <c r="C107" t="s">
        <v>336</v>
      </c>
      <c r="E107">
        <v>3049</v>
      </c>
      <c r="F107">
        <v>54554</v>
      </c>
      <c r="G107">
        <v>762</v>
      </c>
      <c r="H107">
        <v>15415</v>
      </c>
      <c r="J107" t="s">
        <v>22</v>
      </c>
      <c r="K107" t="b">
        <v>1</v>
      </c>
      <c r="L107">
        <f t="shared" si="1"/>
        <v>3811</v>
      </c>
      <c r="M107">
        <f t="shared" si="1"/>
        <v>69969</v>
      </c>
      <c r="N107" t="b">
        <v>0</v>
      </c>
      <c r="O107">
        <v>1</v>
      </c>
      <c r="P107" t="s">
        <v>337</v>
      </c>
      <c r="Q107">
        <v>2</v>
      </c>
      <c r="R107" t="b">
        <v>1</v>
      </c>
      <c r="X107" t="str">
        <v>aruba-ptp</v>
      </c>
      <c r="Y107">
        <v>16</v>
      </c>
      <c r="AA107" t="str">
        <v>aruba-ptp</v>
      </c>
      <c r="AB107">
        <v>42</v>
      </c>
    </row>
    <row r="108" spans="1:28">
      <c r="A108" t="s">
        <v>334</v>
      </c>
      <c r="B108" t="s">
        <v>338</v>
      </c>
      <c r="C108" t="s">
        <v>339</v>
      </c>
      <c r="E108">
        <v>3036</v>
      </c>
      <c r="F108">
        <v>54102</v>
      </c>
      <c r="G108">
        <v>755</v>
      </c>
      <c r="H108">
        <v>15336</v>
      </c>
      <c r="J108" t="s">
        <v>22</v>
      </c>
      <c r="K108" t="b">
        <v>1</v>
      </c>
      <c r="L108">
        <f t="shared" si="1"/>
        <v>3791</v>
      </c>
      <c r="M108">
        <f t="shared" si="1"/>
        <v>69438</v>
      </c>
      <c r="N108" t="b">
        <v>0</v>
      </c>
      <c r="O108">
        <v>1</v>
      </c>
      <c r="P108" t="s">
        <v>340</v>
      </c>
      <c r="Q108">
        <v>2</v>
      </c>
      <c r="R108" t="b">
        <v>1</v>
      </c>
      <c r="X108" t="str">
        <v>aruba-qos</v>
      </c>
      <c r="Y108">
        <v>1327</v>
      </c>
      <c r="AA108" t="str">
        <v>aruba-qos</v>
      </c>
      <c r="AB108">
        <v>14300</v>
      </c>
    </row>
    <row r="109" spans="1:28">
      <c r="A109" t="s">
        <v>30</v>
      </c>
      <c r="B109" t="s">
        <v>341</v>
      </c>
      <c r="C109" t="s">
        <v>342</v>
      </c>
      <c r="E109">
        <v>2782</v>
      </c>
      <c r="F109">
        <v>19399</v>
      </c>
      <c r="G109">
        <v>976</v>
      </c>
      <c r="H109">
        <v>6346</v>
      </c>
      <c r="J109" t="s">
        <v>22</v>
      </c>
      <c r="K109" t="b">
        <v>1</v>
      </c>
      <c r="L109">
        <f t="shared" si="1"/>
        <v>3758</v>
      </c>
      <c r="M109">
        <f t="shared" si="1"/>
        <v>25745</v>
      </c>
      <c r="N109" t="b">
        <v>0</v>
      </c>
      <c r="O109">
        <v>1</v>
      </c>
      <c r="P109" t="s">
        <v>343</v>
      </c>
      <c r="Q109">
        <v>8</v>
      </c>
      <c r="R109" t="b">
        <v>1</v>
      </c>
      <c r="X109" t="str">
        <v>aruba-qos-cos</v>
      </c>
      <c r="Y109">
        <v>11</v>
      </c>
      <c r="AA109" t="str">
        <v>aruba-qos-cos</v>
      </c>
      <c r="AB109">
        <v>38</v>
      </c>
    </row>
    <row r="110" spans="1:28">
      <c r="A110" t="s">
        <v>334</v>
      </c>
      <c r="B110" t="s">
        <v>344</v>
      </c>
      <c r="C110" t="s">
        <v>345</v>
      </c>
      <c r="E110">
        <v>2973</v>
      </c>
      <c r="F110">
        <v>52904</v>
      </c>
      <c r="G110">
        <v>729</v>
      </c>
      <c r="H110">
        <v>14969</v>
      </c>
      <c r="J110" t="s">
        <v>22</v>
      </c>
      <c r="K110" t="b">
        <v>1</v>
      </c>
      <c r="L110">
        <f t="shared" si="1"/>
        <v>3702</v>
      </c>
      <c r="M110">
        <f t="shared" si="1"/>
        <v>67873</v>
      </c>
      <c r="N110" t="b">
        <v>0</v>
      </c>
      <c r="O110">
        <v>1</v>
      </c>
      <c r="P110" t="s">
        <v>346</v>
      </c>
      <c r="Q110">
        <v>2</v>
      </c>
      <c r="R110" t="b">
        <v>1</v>
      </c>
      <c r="X110" t="str">
        <v>aruba-qos-dscp</v>
      </c>
      <c r="Y110">
        <v>1839</v>
      </c>
      <c r="AA110" t="str">
        <v>aruba-qos-dscp</v>
      </c>
      <c r="AB110">
        <v>22856</v>
      </c>
    </row>
    <row r="111" spans="1:28">
      <c r="A111" t="s">
        <v>205</v>
      </c>
      <c r="B111" t="s">
        <v>347</v>
      </c>
      <c r="C111" t="s">
        <v>348</v>
      </c>
      <c r="E111">
        <v>2371</v>
      </c>
      <c r="F111">
        <v>20682</v>
      </c>
      <c r="G111">
        <v>1263</v>
      </c>
      <c r="H111">
        <v>10378</v>
      </c>
      <c r="J111" t="s">
        <v>22</v>
      </c>
      <c r="K111" t="b">
        <v>1</v>
      </c>
      <c r="L111">
        <f t="shared" si="1"/>
        <v>3634</v>
      </c>
      <c r="M111">
        <f t="shared" si="1"/>
        <v>31060</v>
      </c>
      <c r="N111" t="b">
        <v>0</v>
      </c>
      <c r="O111">
        <v>1</v>
      </c>
      <c r="P111" t="s">
        <v>150</v>
      </c>
      <c r="Q111">
        <v>2</v>
      </c>
      <c r="R111" t="b">
        <v>1</v>
      </c>
      <c r="X111" t="str">
        <v>aruba-qos-global</v>
      </c>
      <c r="Y111">
        <v>737</v>
      </c>
      <c r="AA111" t="str">
        <v>aruba-qos-global</v>
      </c>
      <c r="AB111">
        <v>8553</v>
      </c>
    </row>
    <row r="112" spans="1:28">
      <c r="A112" t="s">
        <v>37</v>
      </c>
      <c r="B112" t="s">
        <v>349</v>
      </c>
      <c r="C112" t="s">
        <v>350</v>
      </c>
      <c r="E112">
        <v>3032</v>
      </c>
      <c r="F112">
        <v>73341</v>
      </c>
      <c r="G112">
        <v>601</v>
      </c>
      <c r="H112">
        <v>15452</v>
      </c>
      <c r="J112" t="s">
        <v>22</v>
      </c>
      <c r="K112" t="b">
        <v>1</v>
      </c>
      <c r="L112">
        <f t="shared" si="1"/>
        <v>3633</v>
      </c>
      <c r="M112">
        <f t="shared" si="1"/>
        <v>88793</v>
      </c>
      <c r="N112" t="b">
        <v>0</v>
      </c>
      <c r="O112">
        <v>1</v>
      </c>
      <c r="P112" t="s">
        <v>351</v>
      </c>
      <c r="Q112">
        <v>2</v>
      </c>
      <c r="R112" t="b">
        <v>1</v>
      </c>
      <c r="X112" t="str">
        <v>aruba-qos-pool</v>
      </c>
      <c r="Y112">
        <v>2</v>
      </c>
      <c r="AA112" t="str">
        <v>aruba-qos-pool</v>
      </c>
      <c r="AB112">
        <v>7</v>
      </c>
    </row>
    <row r="113" spans="1:28">
      <c r="A113" t="s">
        <v>352</v>
      </c>
      <c r="B113" t="s">
        <v>353</v>
      </c>
      <c r="C113" t="s">
        <v>354</v>
      </c>
      <c r="E113">
        <v>2710</v>
      </c>
      <c r="F113">
        <v>35916</v>
      </c>
      <c r="G113">
        <v>817</v>
      </c>
      <c r="H113">
        <v>10305</v>
      </c>
      <c r="J113" t="s">
        <v>22</v>
      </c>
      <c r="K113" t="b">
        <v>1</v>
      </c>
      <c r="L113">
        <f t="shared" si="1"/>
        <v>3527</v>
      </c>
      <c r="M113">
        <f t="shared" si="1"/>
        <v>46221</v>
      </c>
      <c r="N113" t="b">
        <v>0</v>
      </c>
      <c r="O113">
        <v>1</v>
      </c>
      <c r="P113" t="s">
        <v>355</v>
      </c>
      <c r="Q113">
        <v>2</v>
      </c>
      <c r="R113" t="b">
        <v>1</v>
      </c>
      <c r="X113" t="str">
        <v>aruba-qos-queue</v>
      </c>
      <c r="Y113">
        <v>361</v>
      </c>
      <c r="AA113" t="str">
        <v>aruba-qos-queue</v>
      </c>
      <c r="AB113">
        <v>5089</v>
      </c>
    </row>
    <row r="114" spans="1:28">
      <c r="A114" t="s">
        <v>356</v>
      </c>
      <c r="B114" t="s">
        <v>357</v>
      </c>
      <c r="C114" t="s">
        <v>358</v>
      </c>
      <c r="E114">
        <v>2206</v>
      </c>
      <c r="F114">
        <v>30658</v>
      </c>
      <c r="G114">
        <v>1204</v>
      </c>
      <c r="H114">
        <v>13037</v>
      </c>
      <c r="J114" t="s">
        <v>22</v>
      </c>
      <c r="K114" t="b">
        <v>1</v>
      </c>
      <c r="L114">
        <f t="shared" si="1"/>
        <v>3410</v>
      </c>
      <c r="M114">
        <f t="shared" si="1"/>
        <v>43695</v>
      </c>
      <c r="N114" t="b">
        <v>0</v>
      </c>
      <c r="O114">
        <v>1</v>
      </c>
      <c r="P114" t="s">
        <v>33</v>
      </c>
      <c r="Q114">
        <v>2</v>
      </c>
      <c r="R114" t="b">
        <v>1</v>
      </c>
      <c r="X114" t="str">
        <v>aruba-qos-schedule</v>
      </c>
      <c r="Y114">
        <v>389</v>
      </c>
      <c r="AA114" t="str">
        <v>aruba-qos-schedule</v>
      </c>
      <c r="AB114">
        <v>6347</v>
      </c>
    </row>
    <row r="115" spans="1:28">
      <c r="A115" t="s">
        <v>356</v>
      </c>
      <c r="B115" t="s">
        <v>359</v>
      </c>
      <c r="C115" t="s">
        <v>360</v>
      </c>
      <c r="E115">
        <v>2168</v>
      </c>
      <c r="F115">
        <v>30301</v>
      </c>
      <c r="G115">
        <v>1194</v>
      </c>
      <c r="H115">
        <v>12854</v>
      </c>
      <c r="J115" t="s">
        <v>22</v>
      </c>
      <c r="K115" t="b">
        <v>1</v>
      </c>
      <c r="L115">
        <f t="shared" si="1"/>
        <v>3362</v>
      </c>
      <c r="M115">
        <f t="shared" si="1"/>
        <v>43155</v>
      </c>
      <c r="N115" t="b">
        <v>0</v>
      </c>
      <c r="O115">
        <v>1</v>
      </c>
      <c r="P115" t="s">
        <v>144</v>
      </c>
      <c r="Q115">
        <v>2</v>
      </c>
      <c r="R115" t="b">
        <v>1</v>
      </c>
      <c r="X115" t="str">
        <v>aruba-qos-threshold-profile</v>
      </c>
      <c r="Y115">
        <v>13</v>
      </c>
      <c r="AA115" t="str">
        <v>aruba-qos-threshold-profile</v>
      </c>
      <c r="AB115">
        <v>19</v>
      </c>
    </row>
    <row r="116" spans="1:28" hidden="1">
      <c r="A116" t="s">
        <v>361</v>
      </c>
      <c r="B116" t="s">
        <v>362</v>
      </c>
      <c r="C116" t="s">
        <v>363</v>
      </c>
      <c r="D116" t="s">
        <v>364</v>
      </c>
      <c r="E116">
        <v>2168</v>
      </c>
      <c r="F116">
        <v>30301</v>
      </c>
      <c r="G116">
        <v>1190</v>
      </c>
      <c r="H116">
        <v>12849</v>
      </c>
      <c r="I116" t="s">
        <v>365</v>
      </c>
      <c r="J116" t="s">
        <v>93</v>
      </c>
      <c r="K116" t="b">
        <v>0</v>
      </c>
      <c r="L116">
        <f t="shared" si="1"/>
        <v>3358</v>
      </c>
      <c r="M116">
        <f t="shared" si="1"/>
        <v>43150</v>
      </c>
      <c r="N116" t="b">
        <v>0</v>
      </c>
      <c r="O116">
        <v>0</v>
      </c>
      <c r="Q116">
        <v>0</v>
      </c>
      <c r="R116" t="b">
        <v>0</v>
      </c>
      <c r="X116" t="str">
        <v>aruba-remote-management</v>
      </c>
      <c r="Y116">
        <v>955</v>
      </c>
      <c r="AA116" t="str">
        <v>aruba-remote-management</v>
      </c>
      <c r="AB116">
        <v>6492</v>
      </c>
    </row>
    <row r="117" spans="1:28">
      <c r="A117" t="s">
        <v>24</v>
      </c>
      <c r="B117" t="s">
        <v>366</v>
      </c>
      <c r="C117" t="s">
        <v>367</v>
      </c>
      <c r="E117">
        <v>2299</v>
      </c>
      <c r="F117">
        <v>43951</v>
      </c>
      <c r="G117">
        <v>984</v>
      </c>
      <c r="H117">
        <v>14984</v>
      </c>
      <c r="J117" t="s">
        <v>22</v>
      </c>
      <c r="K117" t="b">
        <v>1</v>
      </c>
      <c r="L117">
        <f t="shared" si="1"/>
        <v>3283</v>
      </c>
      <c r="M117">
        <f t="shared" si="1"/>
        <v>58935</v>
      </c>
      <c r="N117" t="b">
        <v>0</v>
      </c>
      <c r="O117">
        <v>1</v>
      </c>
      <c r="P117" t="s">
        <v>368</v>
      </c>
      <c r="Q117">
        <v>2</v>
      </c>
      <c r="R117" t="b">
        <v>1</v>
      </c>
      <c r="X117" t="str">
        <v>aruba-rip</v>
      </c>
      <c r="Y117">
        <v>17</v>
      </c>
      <c r="AA117" t="str">
        <v>aruba-rip</v>
      </c>
      <c r="AB117">
        <v>48</v>
      </c>
    </row>
    <row r="118" spans="1:28">
      <c r="A118" t="s">
        <v>46</v>
      </c>
      <c r="B118" t="s">
        <v>369</v>
      </c>
      <c r="C118" t="s">
        <v>370</v>
      </c>
      <c r="E118">
        <v>2792</v>
      </c>
      <c r="F118">
        <v>121</v>
      </c>
      <c r="G118">
        <v>343</v>
      </c>
      <c r="H118">
        <v>345</v>
      </c>
      <c r="J118" t="s">
        <v>22</v>
      </c>
      <c r="K118" t="b">
        <v>1</v>
      </c>
      <c r="L118">
        <f t="shared" si="1"/>
        <v>3135</v>
      </c>
      <c r="M118">
        <f t="shared" si="1"/>
        <v>466</v>
      </c>
      <c r="N118" t="b">
        <v>0</v>
      </c>
      <c r="O118">
        <v>1</v>
      </c>
      <c r="P118" t="s">
        <v>371</v>
      </c>
      <c r="Q118">
        <v>2</v>
      </c>
      <c r="R118" t="b">
        <v>1</v>
      </c>
      <c r="X118" t="str">
        <v>aruba-rmon-alarm</v>
      </c>
      <c r="Y118">
        <v>4</v>
      </c>
      <c r="AA118" t="str">
        <v>aruba-rmon-alarm</v>
      </c>
      <c r="AB118">
        <v>44</v>
      </c>
    </row>
    <row r="119" spans="1:28">
      <c r="A119" t="s">
        <v>372</v>
      </c>
      <c r="B119" t="s">
        <v>373</v>
      </c>
      <c r="C119" t="s">
        <v>374</v>
      </c>
      <c r="E119">
        <v>1774</v>
      </c>
      <c r="F119">
        <v>20824</v>
      </c>
      <c r="G119">
        <v>1245</v>
      </c>
      <c r="H119">
        <v>11729</v>
      </c>
      <c r="J119" t="s">
        <v>22</v>
      </c>
      <c r="K119" t="b">
        <v>1</v>
      </c>
      <c r="L119">
        <f t="shared" si="1"/>
        <v>3019</v>
      </c>
      <c r="M119">
        <f t="shared" si="1"/>
        <v>32553</v>
      </c>
      <c r="N119" t="b">
        <v>0</v>
      </c>
      <c r="O119">
        <v>1</v>
      </c>
      <c r="P119" t="s">
        <v>33</v>
      </c>
      <c r="Q119">
        <v>2</v>
      </c>
      <c r="R119" t="b">
        <v>1</v>
      </c>
      <c r="X119" t="str">
        <v>aruba-role</v>
      </c>
      <c r="Y119">
        <v>3527</v>
      </c>
      <c r="AA119" t="str">
        <v>aruba-role</v>
      </c>
      <c r="AB119">
        <v>46221</v>
      </c>
    </row>
    <row r="120" spans="1:28">
      <c r="A120" t="s">
        <v>24</v>
      </c>
      <c r="B120" t="s">
        <v>375</v>
      </c>
      <c r="C120" t="s">
        <v>376</v>
      </c>
      <c r="E120">
        <v>2112</v>
      </c>
      <c r="F120">
        <v>44592</v>
      </c>
      <c r="G120">
        <v>841</v>
      </c>
      <c r="H120">
        <v>12308</v>
      </c>
      <c r="J120" t="s">
        <v>22</v>
      </c>
      <c r="K120" t="b">
        <v>1</v>
      </c>
      <c r="L120">
        <f t="shared" si="1"/>
        <v>2953</v>
      </c>
      <c r="M120">
        <f t="shared" si="1"/>
        <v>56900</v>
      </c>
      <c r="N120" t="b">
        <v>0</v>
      </c>
      <c r="O120">
        <v>1</v>
      </c>
      <c r="P120" t="s">
        <v>377</v>
      </c>
      <c r="Q120">
        <v>2</v>
      </c>
      <c r="R120" t="b">
        <v>1</v>
      </c>
      <c r="X120" t="str">
        <v>aruba-role-gpid</v>
      </c>
      <c r="Y120">
        <v>132</v>
      </c>
      <c r="AA120" t="str">
        <v>aruba-role-gpid</v>
      </c>
      <c r="AB120">
        <v>507</v>
      </c>
    </row>
    <row r="121" spans="1:28">
      <c r="A121" t="s">
        <v>378</v>
      </c>
      <c r="B121" t="s">
        <v>379</v>
      </c>
      <c r="C121" t="s">
        <v>380</v>
      </c>
      <c r="E121">
        <v>2288</v>
      </c>
      <c r="F121">
        <v>16048</v>
      </c>
      <c r="G121">
        <v>656</v>
      </c>
      <c r="H121">
        <v>9418</v>
      </c>
      <c r="J121" t="s">
        <v>22</v>
      </c>
      <c r="K121" t="b">
        <v>1</v>
      </c>
      <c r="L121">
        <f t="shared" si="1"/>
        <v>2944</v>
      </c>
      <c r="M121">
        <f t="shared" si="1"/>
        <v>25466</v>
      </c>
      <c r="N121" t="b">
        <v>0</v>
      </c>
      <c r="O121">
        <v>1</v>
      </c>
      <c r="P121" t="s">
        <v>381</v>
      </c>
      <c r="Q121">
        <v>2</v>
      </c>
      <c r="R121" t="b">
        <v>1</v>
      </c>
      <c r="X121" t="str">
        <v>aruba-routemap</v>
      </c>
      <c r="Y121">
        <v>301</v>
      </c>
      <c r="AA121" t="str">
        <v>aruba-routemap</v>
      </c>
      <c r="AB121">
        <v>1381</v>
      </c>
    </row>
    <row r="122" spans="1:28">
      <c r="A122" t="s">
        <v>378</v>
      </c>
      <c r="B122" t="s">
        <v>382</v>
      </c>
      <c r="C122" t="s">
        <v>383</v>
      </c>
      <c r="E122">
        <v>2288</v>
      </c>
      <c r="F122">
        <v>16048</v>
      </c>
      <c r="G122">
        <v>656</v>
      </c>
      <c r="H122">
        <v>9418</v>
      </c>
      <c r="J122" t="s">
        <v>22</v>
      </c>
      <c r="K122" t="b">
        <v>1</v>
      </c>
      <c r="L122">
        <f t="shared" si="1"/>
        <v>2944</v>
      </c>
      <c r="M122">
        <f t="shared" si="1"/>
        <v>25466</v>
      </c>
      <c r="N122" t="b">
        <v>0</v>
      </c>
      <c r="O122">
        <v>1</v>
      </c>
      <c r="P122" t="s">
        <v>384</v>
      </c>
      <c r="Q122">
        <v>2</v>
      </c>
      <c r="R122" t="b">
        <v>1</v>
      </c>
      <c r="X122" t="str">
        <v>aruba-sflow</v>
      </c>
      <c r="Y122">
        <v>395</v>
      </c>
      <c r="AA122" t="str">
        <v>aruba-sflow</v>
      </c>
      <c r="AB122">
        <v>4080</v>
      </c>
    </row>
    <row r="123" spans="1:28">
      <c r="A123" t="s">
        <v>378</v>
      </c>
      <c r="B123" t="s">
        <v>385</v>
      </c>
      <c r="C123" t="s">
        <v>386</v>
      </c>
      <c r="E123">
        <v>2288</v>
      </c>
      <c r="F123">
        <v>16048</v>
      </c>
      <c r="G123">
        <v>656</v>
      </c>
      <c r="H123">
        <v>9418</v>
      </c>
      <c r="J123" t="s">
        <v>22</v>
      </c>
      <c r="K123" t="b">
        <v>1</v>
      </c>
      <c r="L123">
        <f t="shared" si="1"/>
        <v>2944</v>
      </c>
      <c r="M123">
        <f t="shared" si="1"/>
        <v>25466</v>
      </c>
      <c r="N123" t="b">
        <v>0</v>
      </c>
      <c r="O123">
        <v>1</v>
      </c>
      <c r="P123" t="s">
        <v>387</v>
      </c>
      <c r="Q123">
        <v>1</v>
      </c>
      <c r="R123" t="b">
        <v>1</v>
      </c>
      <c r="X123" t="str">
        <v>aruba-smartlink</v>
      </c>
      <c r="Y123">
        <v>9</v>
      </c>
      <c r="AA123" t="str">
        <v>aruba-smartlink</v>
      </c>
      <c r="AB123">
        <v>15</v>
      </c>
    </row>
    <row r="124" spans="1:28">
      <c r="A124" t="s">
        <v>378</v>
      </c>
      <c r="B124" t="s">
        <v>388</v>
      </c>
      <c r="C124" t="s">
        <v>389</v>
      </c>
      <c r="E124">
        <v>2288</v>
      </c>
      <c r="F124">
        <v>16048</v>
      </c>
      <c r="G124">
        <v>656</v>
      </c>
      <c r="H124">
        <v>9418</v>
      </c>
      <c r="J124" t="s">
        <v>22</v>
      </c>
      <c r="K124" t="b">
        <v>1</v>
      </c>
      <c r="L124">
        <f t="shared" si="1"/>
        <v>2944</v>
      </c>
      <c r="M124">
        <f t="shared" si="1"/>
        <v>25466</v>
      </c>
      <c r="N124" t="b">
        <v>0</v>
      </c>
      <c r="O124">
        <v>1</v>
      </c>
      <c r="P124" t="s">
        <v>390</v>
      </c>
      <c r="Q124">
        <v>15</v>
      </c>
      <c r="R124" t="b">
        <v>1</v>
      </c>
      <c r="X124" t="str">
        <v>aruba-snmp</v>
      </c>
      <c r="Y124">
        <v>10577</v>
      </c>
      <c r="AA124" t="str">
        <v>aruba-snmp</v>
      </c>
      <c r="AB124">
        <v>133216</v>
      </c>
    </row>
    <row r="125" spans="1:28">
      <c r="A125" t="s">
        <v>59</v>
      </c>
      <c r="B125" t="s">
        <v>391</v>
      </c>
      <c r="C125" t="s">
        <v>392</v>
      </c>
      <c r="E125">
        <v>1925</v>
      </c>
      <c r="F125">
        <v>24280</v>
      </c>
      <c r="G125">
        <v>1005</v>
      </c>
      <c r="H125">
        <v>10332</v>
      </c>
      <c r="J125" t="s">
        <v>22</v>
      </c>
      <c r="K125" t="b">
        <v>1</v>
      </c>
      <c r="L125">
        <f t="shared" si="1"/>
        <v>2930</v>
      </c>
      <c r="M125">
        <f t="shared" si="1"/>
        <v>34612</v>
      </c>
      <c r="N125" t="b">
        <v>0</v>
      </c>
      <c r="O125">
        <v>1</v>
      </c>
      <c r="P125" t="s">
        <v>393</v>
      </c>
      <c r="Q125">
        <v>1</v>
      </c>
      <c r="R125" t="b">
        <v>1</v>
      </c>
      <c r="X125" t="str">
        <v>aruba-snmp-trap</v>
      </c>
      <c r="Y125">
        <v>400</v>
      </c>
      <c r="AA125" t="str">
        <v>aruba-snmp-trap</v>
      </c>
      <c r="AB125">
        <v>4861</v>
      </c>
    </row>
    <row r="126" spans="1:28">
      <c r="A126" t="s">
        <v>394</v>
      </c>
      <c r="B126" t="s">
        <v>395</v>
      </c>
      <c r="C126" t="s">
        <v>396</v>
      </c>
      <c r="E126">
        <v>2103</v>
      </c>
      <c r="F126">
        <v>28218</v>
      </c>
      <c r="G126">
        <v>826</v>
      </c>
      <c r="H126">
        <v>11550</v>
      </c>
      <c r="J126" t="s">
        <v>22</v>
      </c>
      <c r="K126" t="b">
        <v>1</v>
      </c>
      <c r="L126">
        <f t="shared" si="1"/>
        <v>2929</v>
      </c>
      <c r="M126">
        <f t="shared" si="1"/>
        <v>39768</v>
      </c>
      <c r="N126" t="b">
        <v>0</v>
      </c>
      <c r="O126">
        <v>0</v>
      </c>
      <c r="Q126">
        <v>0</v>
      </c>
      <c r="R126" t="b">
        <v>0</v>
      </c>
      <c r="X126" t="str">
        <v>aruba-static-mac</v>
      </c>
      <c r="Y126">
        <v>19</v>
      </c>
      <c r="AA126" t="str">
        <v>aruba-static-mac</v>
      </c>
      <c r="AB126">
        <v>33</v>
      </c>
    </row>
    <row r="127" spans="1:28">
      <c r="A127" t="s">
        <v>394</v>
      </c>
      <c r="B127" t="s">
        <v>397</v>
      </c>
      <c r="C127" t="s">
        <v>398</v>
      </c>
      <c r="E127">
        <v>2103</v>
      </c>
      <c r="F127">
        <v>28218</v>
      </c>
      <c r="G127">
        <v>826</v>
      </c>
      <c r="H127">
        <v>11550</v>
      </c>
      <c r="J127" t="s">
        <v>22</v>
      </c>
      <c r="K127" t="b">
        <v>1</v>
      </c>
      <c r="L127">
        <f t="shared" si="1"/>
        <v>2929</v>
      </c>
      <c r="M127">
        <f t="shared" si="1"/>
        <v>39768</v>
      </c>
      <c r="N127" t="b">
        <v>0</v>
      </c>
      <c r="O127">
        <v>0</v>
      </c>
      <c r="Q127">
        <v>0</v>
      </c>
      <c r="R127" t="b">
        <v>0</v>
      </c>
      <c r="X127" t="str">
        <v>aruba-static-route</v>
      </c>
      <c r="Y127">
        <v>11467</v>
      </c>
      <c r="AA127" t="str">
        <v>aruba-static-route</v>
      </c>
      <c r="AB127">
        <v>174219</v>
      </c>
    </row>
    <row r="128" spans="1:28">
      <c r="A128" t="s">
        <v>394</v>
      </c>
      <c r="B128" t="s">
        <v>399</v>
      </c>
      <c r="C128" t="s">
        <v>400</v>
      </c>
      <c r="E128">
        <v>2103</v>
      </c>
      <c r="F128">
        <v>28218</v>
      </c>
      <c r="G128">
        <v>826</v>
      </c>
      <c r="H128">
        <v>11550</v>
      </c>
      <c r="J128" t="s">
        <v>22</v>
      </c>
      <c r="K128" t="b">
        <v>1</v>
      </c>
      <c r="L128">
        <f t="shared" si="1"/>
        <v>2929</v>
      </c>
      <c r="M128">
        <f t="shared" si="1"/>
        <v>39768</v>
      </c>
      <c r="N128" t="b">
        <v>0</v>
      </c>
      <c r="O128">
        <v>1</v>
      </c>
      <c r="P128" t="s">
        <v>401</v>
      </c>
      <c r="Q128">
        <v>2</v>
      </c>
      <c r="R128" t="b">
        <v>1</v>
      </c>
      <c r="X128" t="str">
        <v>aruba-stp</v>
      </c>
      <c r="Y128">
        <v>16706</v>
      </c>
      <c r="AA128" t="str">
        <v>aruba-stp</v>
      </c>
      <c r="AB128">
        <v>219674</v>
      </c>
    </row>
    <row r="129" spans="1:28">
      <c r="A129" t="s">
        <v>394</v>
      </c>
      <c r="B129" t="s">
        <v>402</v>
      </c>
      <c r="C129" t="s">
        <v>403</v>
      </c>
      <c r="E129">
        <v>2103</v>
      </c>
      <c r="F129">
        <v>28218</v>
      </c>
      <c r="G129">
        <v>826</v>
      </c>
      <c r="H129">
        <v>11550</v>
      </c>
      <c r="J129" t="s">
        <v>22</v>
      </c>
      <c r="K129" t="b">
        <v>1</v>
      </c>
      <c r="L129">
        <f t="shared" si="1"/>
        <v>2929</v>
      </c>
      <c r="M129">
        <f t="shared" si="1"/>
        <v>39768</v>
      </c>
      <c r="N129" t="b">
        <v>0</v>
      </c>
      <c r="O129">
        <v>0</v>
      </c>
      <c r="Q129">
        <v>0</v>
      </c>
      <c r="R129" t="b">
        <v>0</v>
      </c>
      <c r="X129" t="str">
        <v>aruba-switch-chassis</v>
      </c>
      <c r="Y129">
        <v>949</v>
      </c>
      <c r="AA129" t="str">
        <v>aruba-switch-chassis</v>
      </c>
      <c r="AB129">
        <v>1846</v>
      </c>
    </row>
    <row r="130" spans="1:28">
      <c r="A130" t="s">
        <v>394</v>
      </c>
      <c r="B130" t="s">
        <v>404</v>
      </c>
      <c r="C130" t="s">
        <v>405</v>
      </c>
      <c r="E130">
        <v>2103</v>
      </c>
      <c r="F130">
        <v>28218</v>
      </c>
      <c r="G130">
        <v>826</v>
      </c>
      <c r="H130">
        <v>11550</v>
      </c>
      <c r="J130" t="s">
        <v>22</v>
      </c>
      <c r="K130" t="b">
        <v>1</v>
      </c>
      <c r="L130">
        <f t="shared" si="1"/>
        <v>2929</v>
      </c>
      <c r="M130">
        <f t="shared" si="1"/>
        <v>39768</v>
      </c>
      <c r="N130" t="b">
        <v>0</v>
      </c>
      <c r="O130">
        <v>1</v>
      </c>
      <c r="P130" t="s">
        <v>33</v>
      </c>
      <c r="Q130">
        <v>2</v>
      </c>
      <c r="R130" t="b">
        <v>1</v>
      </c>
      <c r="X130" t="str">
        <v>aruba-switch-profiles</v>
      </c>
      <c r="Y130">
        <v>1866</v>
      </c>
      <c r="AA130" t="str">
        <v>aruba-switch-profiles</v>
      </c>
      <c r="AB130">
        <v>8309</v>
      </c>
    </row>
    <row r="131" spans="1:28">
      <c r="A131" t="s">
        <v>394</v>
      </c>
      <c r="B131" t="s">
        <v>406</v>
      </c>
      <c r="C131" t="s">
        <v>407</v>
      </c>
      <c r="E131">
        <v>2100</v>
      </c>
      <c r="F131">
        <v>28218</v>
      </c>
      <c r="G131">
        <v>824</v>
      </c>
      <c r="H131">
        <v>11548</v>
      </c>
      <c r="J131" t="s">
        <v>22</v>
      </c>
      <c r="K131" t="b">
        <v>1</v>
      </c>
      <c r="L131">
        <f t="shared" ref="L131:M194" si="2">E131+G131</f>
        <v>2924</v>
      </c>
      <c r="M131">
        <f t="shared" si="2"/>
        <v>39766</v>
      </c>
      <c r="N131" t="b">
        <v>0</v>
      </c>
      <c r="O131">
        <v>1</v>
      </c>
      <c r="P131" t="s">
        <v>408</v>
      </c>
      <c r="Q131">
        <v>2</v>
      </c>
      <c r="R131" t="b">
        <v>1</v>
      </c>
      <c r="X131" t="str">
        <v>aruba-switch-stack</v>
      </c>
      <c r="Y131">
        <v>8723</v>
      </c>
      <c r="AA131" t="str">
        <v>aruba-switch-stack</v>
      </c>
      <c r="AB131">
        <v>110078</v>
      </c>
    </row>
    <row r="132" spans="1:28">
      <c r="A132" t="s">
        <v>378</v>
      </c>
      <c r="B132" t="s">
        <v>409</v>
      </c>
      <c r="C132" t="s">
        <v>410</v>
      </c>
      <c r="E132">
        <v>2199</v>
      </c>
      <c r="F132">
        <v>15835</v>
      </c>
      <c r="G132">
        <v>602</v>
      </c>
      <c r="H132">
        <v>9185</v>
      </c>
      <c r="J132" t="s">
        <v>22</v>
      </c>
      <c r="K132" t="b">
        <v>1</v>
      </c>
      <c r="L132">
        <f t="shared" si="2"/>
        <v>2801</v>
      </c>
      <c r="M132">
        <f t="shared" si="2"/>
        <v>25020</v>
      </c>
      <c r="N132" t="b">
        <v>0</v>
      </c>
      <c r="O132">
        <v>1</v>
      </c>
      <c r="P132" t="s">
        <v>411</v>
      </c>
      <c r="Q132">
        <v>2</v>
      </c>
      <c r="R132" t="b">
        <v>1</v>
      </c>
      <c r="X132" t="str">
        <v>aruba-switch-system</v>
      </c>
      <c r="Y132">
        <v>13687</v>
      </c>
      <c r="AA132" t="str">
        <v>aruba-switch-system</v>
      </c>
      <c r="AB132">
        <v>188844</v>
      </c>
    </row>
    <row r="133" spans="1:28">
      <c r="A133" t="s">
        <v>378</v>
      </c>
      <c r="B133" t="s">
        <v>412</v>
      </c>
      <c r="C133" t="s">
        <v>413</v>
      </c>
      <c r="E133">
        <v>2199</v>
      </c>
      <c r="F133">
        <v>15835</v>
      </c>
      <c r="G133">
        <v>602</v>
      </c>
      <c r="H133">
        <v>9185</v>
      </c>
      <c r="J133" t="s">
        <v>22</v>
      </c>
      <c r="K133" t="b">
        <v>1</v>
      </c>
      <c r="L133">
        <f t="shared" si="2"/>
        <v>2801</v>
      </c>
      <c r="M133">
        <f t="shared" si="2"/>
        <v>25020</v>
      </c>
      <c r="N133" t="b">
        <v>0</v>
      </c>
      <c r="O133">
        <v>1</v>
      </c>
      <c r="P133" t="s">
        <v>414</v>
      </c>
      <c r="Q133">
        <v>2</v>
      </c>
      <c r="R133" t="b">
        <v>1</v>
      </c>
      <c r="X133" t="str">
        <v>aruba-sw-port-profile</v>
      </c>
      <c r="Y133">
        <v>7779</v>
      </c>
      <c r="AA133" t="str">
        <v>aruba-sw-port-profile</v>
      </c>
      <c r="AB133">
        <v>41296</v>
      </c>
    </row>
    <row r="134" spans="1:28">
      <c r="A134" t="s">
        <v>378</v>
      </c>
      <c r="B134" t="s">
        <v>415</v>
      </c>
      <c r="C134" t="s">
        <v>416</v>
      </c>
      <c r="E134">
        <v>2199</v>
      </c>
      <c r="F134">
        <v>15835</v>
      </c>
      <c r="G134">
        <v>602</v>
      </c>
      <c r="H134">
        <v>9185</v>
      </c>
      <c r="J134" t="s">
        <v>22</v>
      </c>
      <c r="K134" t="b">
        <v>1</v>
      </c>
      <c r="L134">
        <f t="shared" si="2"/>
        <v>2801</v>
      </c>
      <c r="M134">
        <f t="shared" si="2"/>
        <v>25020</v>
      </c>
      <c r="N134" t="b">
        <v>0</v>
      </c>
      <c r="O134">
        <v>1</v>
      </c>
      <c r="P134" t="s">
        <v>417</v>
      </c>
      <c r="Q134">
        <v>2</v>
      </c>
      <c r="R134" t="b">
        <v>1</v>
      </c>
      <c r="X134" t="str">
        <v>aruba-sysmon</v>
      </c>
      <c r="Y134">
        <v>4</v>
      </c>
      <c r="AA134" t="str">
        <v>aruba-sysmon</v>
      </c>
      <c r="AB134">
        <v>4</v>
      </c>
    </row>
    <row r="135" spans="1:28">
      <c r="A135" t="s">
        <v>378</v>
      </c>
      <c r="B135" t="s">
        <v>418</v>
      </c>
      <c r="C135" t="s">
        <v>419</v>
      </c>
      <c r="E135">
        <v>2199</v>
      </c>
      <c r="F135">
        <v>15835</v>
      </c>
      <c r="G135">
        <v>602</v>
      </c>
      <c r="H135">
        <v>9185</v>
      </c>
      <c r="J135" t="s">
        <v>22</v>
      </c>
      <c r="K135" t="b">
        <v>1</v>
      </c>
      <c r="L135">
        <f t="shared" si="2"/>
        <v>2801</v>
      </c>
      <c r="M135">
        <f t="shared" si="2"/>
        <v>25020</v>
      </c>
      <c r="N135" t="b">
        <v>0</v>
      </c>
      <c r="O135">
        <v>1</v>
      </c>
      <c r="P135" t="s">
        <v>420</v>
      </c>
      <c r="Q135">
        <v>2</v>
      </c>
      <c r="R135" t="b">
        <v>1</v>
      </c>
      <c r="X135" t="str">
        <v>aruba-system-info</v>
      </c>
      <c r="Y135">
        <v>804</v>
      </c>
      <c r="AA135" t="str">
        <v>aruba-system-info</v>
      </c>
      <c r="AB135">
        <v>9623</v>
      </c>
    </row>
    <row r="136" spans="1:28">
      <c r="A136" t="s">
        <v>378</v>
      </c>
      <c r="B136" t="s">
        <v>421</v>
      </c>
      <c r="C136" t="s">
        <v>422</v>
      </c>
      <c r="E136">
        <v>2185</v>
      </c>
      <c r="F136">
        <v>15809</v>
      </c>
      <c r="G136">
        <v>599</v>
      </c>
      <c r="H136">
        <v>9132</v>
      </c>
      <c r="J136" t="s">
        <v>22</v>
      </c>
      <c r="K136" t="b">
        <v>1</v>
      </c>
      <c r="L136">
        <f t="shared" si="2"/>
        <v>2784</v>
      </c>
      <c r="M136">
        <f t="shared" si="2"/>
        <v>24941</v>
      </c>
      <c r="N136" t="b">
        <v>0</v>
      </c>
      <c r="O136">
        <v>1</v>
      </c>
      <c r="P136" t="s">
        <v>423</v>
      </c>
      <c r="Q136">
        <v>2</v>
      </c>
      <c r="R136" t="b">
        <v>1</v>
      </c>
      <c r="X136" t="str">
        <v>aruba-track-object</v>
      </c>
      <c r="Y136">
        <v>30</v>
      </c>
      <c r="AA136" t="str">
        <v>aruba-track-object</v>
      </c>
      <c r="AB136">
        <v>94</v>
      </c>
    </row>
    <row r="137" spans="1:28">
      <c r="A137" t="s">
        <v>378</v>
      </c>
      <c r="B137" t="s">
        <v>424</v>
      </c>
      <c r="C137" t="s">
        <v>425</v>
      </c>
      <c r="E137">
        <v>2185</v>
      </c>
      <c r="F137">
        <v>15809</v>
      </c>
      <c r="G137">
        <v>599</v>
      </c>
      <c r="H137">
        <v>9132</v>
      </c>
      <c r="J137" t="s">
        <v>22</v>
      </c>
      <c r="K137" t="b">
        <v>1</v>
      </c>
      <c r="L137">
        <f t="shared" si="2"/>
        <v>2784</v>
      </c>
      <c r="M137">
        <f t="shared" si="2"/>
        <v>24941</v>
      </c>
      <c r="N137" t="b">
        <v>0</v>
      </c>
      <c r="O137">
        <v>1</v>
      </c>
      <c r="P137" t="s">
        <v>426</v>
      </c>
      <c r="Q137">
        <v>2</v>
      </c>
      <c r="R137" t="b">
        <v>1</v>
      </c>
      <c r="X137" t="str">
        <v>aruba-traffic-insight</v>
      </c>
      <c r="Y137">
        <v>48</v>
      </c>
      <c r="AA137" t="str">
        <v>aruba-traffic-insight</v>
      </c>
      <c r="AB137">
        <v>129</v>
      </c>
    </row>
    <row r="138" spans="1:28">
      <c r="A138" t="s">
        <v>378</v>
      </c>
      <c r="B138" t="s">
        <v>427</v>
      </c>
      <c r="C138" t="s">
        <v>428</v>
      </c>
      <c r="E138">
        <v>2185</v>
      </c>
      <c r="F138">
        <v>15809</v>
      </c>
      <c r="G138">
        <v>599</v>
      </c>
      <c r="H138">
        <v>9132</v>
      </c>
      <c r="J138" t="s">
        <v>22</v>
      </c>
      <c r="K138" t="b">
        <v>1</v>
      </c>
      <c r="L138">
        <f t="shared" si="2"/>
        <v>2784</v>
      </c>
      <c r="M138">
        <f t="shared" si="2"/>
        <v>24941</v>
      </c>
      <c r="N138" t="b">
        <v>0</v>
      </c>
      <c r="O138">
        <v>1</v>
      </c>
      <c r="P138" t="s">
        <v>429</v>
      </c>
      <c r="Q138">
        <v>2</v>
      </c>
      <c r="R138" t="b">
        <v>1</v>
      </c>
      <c r="X138" t="str">
        <v>aruba-ubt</v>
      </c>
      <c r="Y138">
        <v>406</v>
      </c>
      <c r="AA138" t="str">
        <v>aruba-ubt</v>
      </c>
      <c r="AB138">
        <v>6695</v>
      </c>
    </row>
    <row r="139" spans="1:28" hidden="1">
      <c r="A139" t="s">
        <v>192</v>
      </c>
      <c r="B139" t="s">
        <v>430</v>
      </c>
      <c r="C139" t="s">
        <v>431</v>
      </c>
      <c r="D139" s="3" t="s">
        <v>333</v>
      </c>
      <c r="E139">
        <v>2757</v>
      </c>
      <c r="F139">
        <v>1</v>
      </c>
      <c r="G139">
        <v>3</v>
      </c>
      <c r="H139">
        <v>3</v>
      </c>
      <c r="J139" t="s">
        <v>93</v>
      </c>
      <c r="K139" t="b">
        <v>1</v>
      </c>
      <c r="L139">
        <f t="shared" si="2"/>
        <v>2760</v>
      </c>
      <c r="M139">
        <v>4000</v>
      </c>
      <c r="N139" t="b">
        <v>0</v>
      </c>
      <c r="O139">
        <v>0</v>
      </c>
      <c r="Q139">
        <v>0</v>
      </c>
      <c r="R139" t="b">
        <v>0</v>
      </c>
      <c r="X139" t="str">
        <v>aruba-udp-broadcast-forwarder</v>
      </c>
      <c r="Y139">
        <v>60</v>
      </c>
      <c r="AA139" t="str">
        <v>aruba-udp-broadcast-forwarder</v>
      </c>
      <c r="AB139">
        <v>282</v>
      </c>
    </row>
    <row r="140" spans="1:28" hidden="1">
      <c r="A140" t="s">
        <v>432</v>
      </c>
      <c r="B140" t="s">
        <v>433</v>
      </c>
      <c r="C140" s="4" t="s">
        <v>434</v>
      </c>
      <c r="D140" s="3" t="s">
        <v>435</v>
      </c>
      <c r="E140">
        <v>2372</v>
      </c>
      <c r="F140">
        <v>10929</v>
      </c>
      <c r="G140">
        <v>353</v>
      </c>
      <c r="H140">
        <v>4097</v>
      </c>
      <c r="J140" t="s">
        <v>93</v>
      </c>
      <c r="K140" t="b">
        <v>0</v>
      </c>
      <c r="L140">
        <f t="shared" si="2"/>
        <v>2725</v>
      </c>
      <c r="M140">
        <f t="shared" si="2"/>
        <v>15026</v>
      </c>
      <c r="N140" t="b">
        <v>0</v>
      </c>
      <c r="O140">
        <v>0</v>
      </c>
      <c r="Q140">
        <v>0</v>
      </c>
      <c r="R140" t="b">
        <v>0</v>
      </c>
      <c r="X140" t="str">
        <v>aruba-ufd</v>
      </c>
      <c r="Y140">
        <v>13</v>
      </c>
      <c r="AA140" t="str">
        <v>aruba-ufd</v>
      </c>
      <c r="AB140">
        <v>403</v>
      </c>
    </row>
    <row r="141" spans="1:28" hidden="1">
      <c r="A141" t="s">
        <v>432</v>
      </c>
      <c r="B141" t="s">
        <v>436</v>
      </c>
      <c r="C141" s="4" t="s">
        <v>437</v>
      </c>
      <c r="D141" s="3" t="s">
        <v>435</v>
      </c>
      <c r="E141">
        <v>2372</v>
      </c>
      <c r="F141">
        <v>10929</v>
      </c>
      <c r="G141">
        <v>353</v>
      </c>
      <c r="H141">
        <v>4097</v>
      </c>
      <c r="J141" t="s">
        <v>93</v>
      </c>
      <c r="K141" t="b">
        <v>0</v>
      </c>
      <c r="L141">
        <f t="shared" si="2"/>
        <v>2725</v>
      </c>
      <c r="M141">
        <f t="shared" si="2"/>
        <v>15026</v>
      </c>
      <c r="N141" t="b">
        <v>0</v>
      </c>
      <c r="O141">
        <v>0</v>
      </c>
      <c r="Q141">
        <v>0</v>
      </c>
      <c r="R141" t="b">
        <v>0</v>
      </c>
      <c r="X141" t="str">
        <v>aruba-vlan</v>
      </c>
      <c r="Y141">
        <v>18638</v>
      </c>
      <c r="AA141" t="str">
        <v>aruba-vlan</v>
      </c>
      <c r="AB141">
        <v>221565</v>
      </c>
    </row>
    <row r="142" spans="1:28">
      <c r="A142" t="s">
        <v>438</v>
      </c>
      <c r="B142" t="s">
        <v>439</v>
      </c>
      <c r="C142" t="s">
        <v>440</v>
      </c>
      <c r="E142">
        <v>2034</v>
      </c>
      <c r="F142">
        <v>37264</v>
      </c>
      <c r="G142">
        <v>667</v>
      </c>
      <c r="H142">
        <v>13789</v>
      </c>
      <c r="J142" t="s">
        <v>22</v>
      </c>
      <c r="K142" t="b">
        <v>1</v>
      </c>
      <c r="L142">
        <f t="shared" si="2"/>
        <v>2701</v>
      </c>
      <c r="M142">
        <f t="shared" si="2"/>
        <v>51053</v>
      </c>
      <c r="N142" t="b">
        <v>0</v>
      </c>
      <c r="O142">
        <v>1</v>
      </c>
      <c r="P142" t="s">
        <v>33</v>
      </c>
      <c r="Q142">
        <v>2</v>
      </c>
      <c r="R142" t="b">
        <v>1</v>
      </c>
      <c r="X142" t="str">
        <v>aruba-vlan-range</v>
      </c>
      <c r="Y142">
        <v>3358</v>
      </c>
      <c r="AA142" t="str">
        <v>aruba-vlan-range</v>
      </c>
      <c r="AB142">
        <v>43150</v>
      </c>
    </row>
    <row r="143" spans="1:28">
      <c r="A143" t="s">
        <v>438</v>
      </c>
      <c r="B143" t="s">
        <v>441</v>
      </c>
      <c r="C143" t="s">
        <v>442</v>
      </c>
      <c r="E143">
        <v>2034</v>
      </c>
      <c r="F143">
        <v>37264</v>
      </c>
      <c r="G143">
        <v>667</v>
      </c>
      <c r="H143">
        <v>13789</v>
      </c>
      <c r="J143" t="s">
        <v>22</v>
      </c>
      <c r="K143" t="b">
        <v>1</v>
      </c>
      <c r="L143">
        <f t="shared" si="2"/>
        <v>2701</v>
      </c>
      <c r="M143">
        <f t="shared" si="2"/>
        <v>51053</v>
      </c>
      <c r="N143" t="b">
        <v>0</v>
      </c>
      <c r="O143">
        <v>1</v>
      </c>
      <c r="P143" t="s">
        <v>443</v>
      </c>
      <c r="Q143">
        <v>2</v>
      </c>
      <c r="R143" t="b">
        <v>1</v>
      </c>
      <c r="X143" t="str">
        <v>aruba-vrf</v>
      </c>
      <c r="Y143">
        <v>1935</v>
      </c>
      <c r="AA143" t="str">
        <v>aruba-vrf</v>
      </c>
      <c r="AB143">
        <v>21799</v>
      </c>
    </row>
    <row r="144" spans="1:28" hidden="1">
      <c r="A144" t="s">
        <v>37</v>
      </c>
      <c r="B144" t="s">
        <v>444</v>
      </c>
      <c r="C144" t="s">
        <v>445</v>
      </c>
      <c r="D144" t="s">
        <v>446</v>
      </c>
      <c r="E144">
        <v>2301</v>
      </c>
      <c r="F144">
        <v>39797</v>
      </c>
      <c r="G144">
        <v>399</v>
      </c>
      <c r="H144">
        <v>8806</v>
      </c>
      <c r="J144" t="s">
        <v>93</v>
      </c>
      <c r="K144" t="b">
        <v>1</v>
      </c>
      <c r="L144">
        <f t="shared" si="2"/>
        <v>2700</v>
      </c>
      <c r="M144">
        <f t="shared" si="2"/>
        <v>48603</v>
      </c>
      <c r="N144" t="b">
        <v>0</v>
      </c>
      <c r="O144">
        <v>0.33329999999999999</v>
      </c>
      <c r="P144" t="s">
        <v>267</v>
      </c>
      <c r="Q144">
        <v>2</v>
      </c>
      <c r="R144" t="b">
        <v>1</v>
      </c>
      <c r="X144" t="str">
        <v>aruba-vrrp</v>
      </c>
      <c r="Y144">
        <v>258</v>
      </c>
      <c r="AA144" t="str">
        <v>aruba-vrrp</v>
      </c>
      <c r="AB144">
        <v>583</v>
      </c>
    </row>
    <row r="145" spans="1:28" hidden="1">
      <c r="A145" t="s">
        <v>37</v>
      </c>
      <c r="B145" t="s">
        <v>447</v>
      </c>
      <c r="C145" t="s">
        <v>448</v>
      </c>
      <c r="D145" t="s">
        <v>446</v>
      </c>
      <c r="E145">
        <v>2301</v>
      </c>
      <c r="F145">
        <v>39797</v>
      </c>
      <c r="G145">
        <v>399</v>
      </c>
      <c r="H145">
        <v>8806</v>
      </c>
      <c r="J145" t="s">
        <v>93</v>
      </c>
      <c r="K145" t="b">
        <v>1</v>
      </c>
      <c r="L145">
        <f t="shared" si="2"/>
        <v>2700</v>
      </c>
      <c r="M145">
        <f t="shared" si="2"/>
        <v>48603</v>
      </c>
      <c r="N145" t="b">
        <v>0</v>
      </c>
      <c r="O145">
        <v>0</v>
      </c>
      <c r="Q145">
        <v>0</v>
      </c>
      <c r="R145" t="b">
        <v>0</v>
      </c>
      <c r="X145" t="str">
        <v>aruba-vrrp-interface</v>
      </c>
      <c r="Y145">
        <v>168</v>
      </c>
      <c r="AA145" t="str">
        <v>aruba-vrrp-interface</v>
      </c>
      <c r="AB145">
        <v>358</v>
      </c>
    </row>
    <row r="146" spans="1:28" hidden="1">
      <c r="A146" t="s">
        <v>37</v>
      </c>
      <c r="B146" t="s">
        <v>449</v>
      </c>
      <c r="C146" t="s">
        <v>450</v>
      </c>
      <c r="D146" t="s">
        <v>446</v>
      </c>
      <c r="E146">
        <v>2299</v>
      </c>
      <c r="F146">
        <v>39797</v>
      </c>
      <c r="G146">
        <v>399</v>
      </c>
      <c r="H146">
        <v>8806</v>
      </c>
      <c r="J146" t="s">
        <v>93</v>
      </c>
      <c r="K146" t="b">
        <v>1</v>
      </c>
      <c r="L146">
        <f t="shared" si="2"/>
        <v>2698</v>
      </c>
      <c r="M146">
        <f t="shared" si="2"/>
        <v>48603</v>
      </c>
      <c r="N146" t="b">
        <v>0</v>
      </c>
      <c r="O146">
        <v>0</v>
      </c>
      <c r="Q146">
        <v>0</v>
      </c>
      <c r="R146" t="b">
        <v>0</v>
      </c>
      <c r="X146" t="str">
        <v>aruba-vsf-template</v>
      </c>
      <c r="Y146">
        <v>8521</v>
      </c>
      <c r="AA146" t="str">
        <v>aruba-vsf-template</v>
      </c>
      <c r="AB146">
        <v>109554</v>
      </c>
    </row>
    <row r="147" spans="1:28" hidden="1">
      <c r="A147" t="s">
        <v>37</v>
      </c>
      <c r="B147" t="s">
        <v>451</v>
      </c>
      <c r="C147" t="s">
        <v>452</v>
      </c>
      <c r="D147" t="s">
        <v>446</v>
      </c>
      <c r="E147">
        <v>2299</v>
      </c>
      <c r="F147">
        <v>39797</v>
      </c>
      <c r="G147">
        <v>399</v>
      </c>
      <c r="H147">
        <v>8806</v>
      </c>
      <c r="J147" t="s">
        <v>93</v>
      </c>
      <c r="K147" t="b">
        <v>1</v>
      </c>
      <c r="L147">
        <f t="shared" si="2"/>
        <v>2698</v>
      </c>
      <c r="M147">
        <f t="shared" si="2"/>
        <v>48603</v>
      </c>
      <c r="N147" t="b">
        <v>0</v>
      </c>
      <c r="O147">
        <v>0.25</v>
      </c>
      <c r="P147" t="s">
        <v>290</v>
      </c>
      <c r="Q147">
        <v>2</v>
      </c>
      <c r="R147" t="b">
        <v>1</v>
      </c>
      <c r="X147" t="str">
        <v>aruba-vsx</v>
      </c>
      <c r="Y147">
        <v>1352</v>
      </c>
      <c r="AA147" t="str">
        <v>aruba-vsx</v>
      </c>
      <c r="AB147">
        <v>5037</v>
      </c>
    </row>
    <row r="148" spans="1:28">
      <c r="A148" t="s">
        <v>133</v>
      </c>
      <c r="B148" t="s">
        <v>453</v>
      </c>
      <c r="C148" t="s">
        <v>454</v>
      </c>
      <c r="E148">
        <v>2037</v>
      </c>
      <c r="F148">
        <v>40982</v>
      </c>
      <c r="G148">
        <v>595</v>
      </c>
      <c r="H148">
        <v>11587</v>
      </c>
      <c r="J148" t="s">
        <v>22</v>
      </c>
      <c r="K148" t="b">
        <v>1</v>
      </c>
      <c r="L148">
        <f t="shared" si="2"/>
        <v>2632</v>
      </c>
      <c r="M148">
        <f t="shared" si="2"/>
        <v>52569</v>
      </c>
      <c r="N148" t="b">
        <v>0</v>
      </c>
      <c r="O148">
        <v>1</v>
      </c>
      <c r="P148" t="s">
        <v>455</v>
      </c>
      <c r="Q148">
        <v>2</v>
      </c>
      <c r="R148" t="b">
        <v>1</v>
      </c>
      <c r="X148" t="str">
        <v>aruba-vsx-pair</v>
      </c>
      <c r="Y148">
        <v>1379</v>
      </c>
      <c r="AA148" t="str">
        <v>aruba-vsx-pair</v>
      </c>
      <c r="AB148">
        <v>5044</v>
      </c>
    </row>
    <row r="149" spans="1:28">
      <c r="A149" t="s">
        <v>133</v>
      </c>
      <c r="B149" t="s">
        <v>456</v>
      </c>
      <c r="C149" t="s">
        <v>457</v>
      </c>
      <c r="E149">
        <v>1981</v>
      </c>
      <c r="F149">
        <v>40851</v>
      </c>
      <c r="G149">
        <v>586</v>
      </c>
      <c r="H149">
        <v>11534</v>
      </c>
      <c r="J149" t="s">
        <v>22</v>
      </c>
      <c r="K149" t="b">
        <v>1</v>
      </c>
      <c r="L149">
        <f t="shared" si="2"/>
        <v>2567</v>
      </c>
      <c r="M149">
        <f t="shared" si="2"/>
        <v>52385</v>
      </c>
      <c r="N149" t="b">
        <v>0</v>
      </c>
      <c r="O149">
        <v>1</v>
      </c>
      <c r="P149" t="s">
        <v>458</v>
      </c>
      <c r="Q149">
        <v>2</v>
      </c>
      <c r="R149" t="b">
        <v>1</v>
      </c>
      <c r="X149" t="str">
        <v>Total</v>
      </c>
      <c r="Y149">
        <v>18638</v>
      </c>
      <c r="AA149" t="str">
        <v>Total</v>
      </c>
      <c r="AB149">
        <v>221565</v>
      </c>
    </row>
    <row r="150" spans="1:28" hidden="1">
      <c r="A150" t="s">
        <v>37</v>
      </c>
      <c r="B150" t="s">
        <v>459</v>
      </c>
      <c r="C150" t="s">
        <v>460</v>
      </c>
      <c r="D150" t="s">
        <v>446</v>
      </c>
      <c r="E150">
        <v>2193</v>
      </c>
      <c r="F150">
        <v>39138</v>
      </c>
      <c r="G150">
        <v>355</v>
      </c>
      <c r="H150">
        <v>8519</v>
      </c>
      <c r="J150" t="s">
        <v>93</v>
      </c>
      <c r="K150" t="b">
        <v>1</v>
      </c>
      <c r="L150">
        <f t="shared" si="2"/>
        <v>2548</v>
      </c>
      <c r="M150">
        <f t="shared" si="2"/>
        <v>47657</v>
      </c>
      <c r="N150" t="b">
        <v>0</v>
      </c>
      <c r="O150">
        <v>0.25</v>
      </c>
      <c r="P150" t="s">
        <v>351</v>
      </c>
      <c r="Q150">
        <v>2</v>
      </c>
      <c r="R150" t="b">
        <v>1</v>
      </c>
    </row>
    <row r="151" spans="1:28" hidden="1">
      <c r="A151" t="s">
        <v>235</v>
      </c>
      <c r="B151" t="s">
        <v>461</v>
      </c>
      <c r="C151" s="2" t="s">
        <v>462</v>
      </c>
      <c r="D151" s="7" t="s">
        <v>92</v>
      </c>
      <c r="E151">
        <v>2505</v>
      </c>
      <c r="F151">
        <v>85042</v>
      </c>
      <c r="G151">
        <v>0</v>
      </c>
      <c r="H151">
        <v>0</v>
      </c>
      <c r="J151" t="s">
        <v>93</v>
      </c>
      <c r="K151" t="b">
        <v>1</v>
      </c>
      <c r="L151">
        <f t="shared" si="2"/>
        <v>2505</v>
      </c>
      <c r="M151">
        <f t="shared" si="2"/>
        <v>85042</v>
      </c>
      <c r="N151" t="b">
        <v>0</v>
      </c>
      <c r="O151">
        <v>0</v>
      </c>
      <c r="Q151">
        <v>0</v>
      </c>
      <c r="R151" t="b">
        <v>0</v>
      </c>
    </row>
    <row r="152" spans="1:28">
      <c r="A152" t="s">
        <v>352</v>
      </c>
      <c r="B152" t="s">
        <v>463</v>
      </c>
      <c r="C152" t="s">
        <v>464</v>
      </c>
      <c r="E152">
        <v>1947</v>
      </c>
      <c r="F152">
        <v>25804</v>
      </c>
      <c r="G152">
        <v>487</v>
      </c>
      <c r="H152">
        <v>5185</v>
      </c>
      <c r="J152" t="s">
        <v>22</v>
      </c>
      <c r="K152" t="b">
        <v>1</v>
      </c>
      <c r="L152">
        <f t="shared" si="2"/>
        <v>2434</v>
      </c>
      <c r="M152">
        <f t="shared" si="2"/>
        <v>30989</v>
      </c>
      <c r="N152" t="b">
        <v>0</v>
      </c>
      <c r="O152">
        <v>1</v>
      </c>
      <c r="P152" t="s">
        <v>465</v>
      </c>
      <c r="Q152">
        <v>1</v>
      </c>
      <c r="R152" t="b">
        <v>1</v>
      </c>
    </row>
    <row r="153" spans="1:28">
      <c r="A153" t="s">
        <v>352</v>
      </c>
      <c r="B153" t="s">
        <v>466</v>
      </c>
      <c r="C153" t="s">
        <v>467</v>
      </c>
      <c r="E153">
        <v>1933</v>
      </c>
      <c r="F153">
        <v>25715</v>
      </c>
      <c r="G153">
        <v>482</v>
      </c>
      <c r="H153">
        <v>5258</v>
      </c>
      <c r="J153" t="s">
        <v>22</v>
      </c>
      <c r="K153" t="b">
        <v>1</v>
      </c>
      <c r="L153">
        <f t="shared" si="2"/>
        <v>2415</v>
      </c>
      <c r="M153">
        <f t="shared" si="2"/>
        <v>30973</v>
      </c>
      <c r="N153" t="b">
        <v>0</v>
      </c>
      <c r="O153">
        <v>1</v>
      </c>
      <c r="P153" t="s">
        <v>468</v>
      </c>
      <c r="Q153">
        <v>1</v>
      </c>
      <c r="R153" t="b">
        <v>1</v>
      </c>
    </row>
    <row r="154" spans="1:28">
      <c r="A154" t="s">
        <v>274</v>
      </c>
      <c r="B154" t="s">
        <v>469</v>
      </c>
      <c r="C154" t="s">
        <v>470</v>
      </c>
      <c r="E154">
        <v>2365</v>
      </c>
      <c r="F154">
        <v>1594</v>
      </c>
      <c r="G154">
        <v>41</v>
      </c>
      <c r="H154">
        <v>70</v>
      </c>
      <c r="J154" t="s">
        <v>22</v>
      </c>
      <c r="K154" t="b">
        <v>1</v>
      </c>
      <c r="L154">
        <f t="shared" si="2"/>
        <v>2406</v>
      </c>
      <c r="M154">
        <f t="shared" si="2"/>
        <v>1664</v>
      </c>
      <c r="N154" t="b">
        <v>1</v>
      </c>
      <c r="O154">
        <v>0</v>
      </c>
      <c r="Q154">
        <v>0</v>
      </c>
      <c r="R154" t="b">
        <v>0</v>
      </c>
    </row>
    <row r="155" spans="1:28">
      <c r="A155" t="s">
        <v>261</v>
      </c>
      <c r="B155" t="s">
        <v>471</v>
      </c>
      <c r="C155" t="s">
        <v>472</v>
      </c>
      <c r="E155">
        <v>2365</v>
      </c>
      <c r="F155">
        <v>1594</v>
      </c>
      <c r="G155">
        <v>39</v>
      </c>
      <c r="H155">
        <v>68</v>
      </c>
      <c r="J155" t="s">
        <v>22</v>
      </c>
      <c r="K155" t="b">
        <v>1</v>
      </c>
      <c r="L155">
        <f t="shared" si="2"/>
        <v>2404</v>
      </c>
      <c r="M155">
        <f t="shared" si="2"/>
        <v>1662</v>
      </c>
      <c r="N155" t="b">
        <v>1</v>
      </c>
      <c r="O155">
        <v>0</v>
      </c>
      <c r="Q155">
        <v>0</v>
      </c>
      <c r="R155" t="b">
        <v>0</v>
      </c>
    </row>
    <row r="156" spans="1:28" hidden="1">
      <c r="A156" t="s">
        <v>133</v>
      </c>
      <c r="B156" t="s">
        <v>473</v>
      </c>
      <c r="C156" s="5" t="s">
        <v>474</v>
      </c>
      <c r="D156" s="7" t="s">
        <v>92</v>
      </c>
      <c r="E156">
        <v>1771</v>
      </c>
      <c r="F156">
        <v>40851</v>
      </c>
      <c r="G156">
        <v>586</v>
      </c>
      <c r="H156">
        <v>11534</v>
      </c>
      <c r="J156" t="s">
        <v>93</v>
      </c>
      <c r="K156" t="b">
        <v>1</v>
      </c>
      <c r="L156">
        <f t="shared" si="2"/>
        <v>2357</v>
      </c>
      <c r="M156">
        <f t="shared" si="2"/>
        <v>52385</v>
      </c>
      <c r="N156" t="b">
        <v>0</v>
      </c>
      <c r="O156">
        <v>0</v>
      </c>
      <c r="Q156">
        <v>0</v>
      </c>
      <c r="R156" t="b">
        <v>0</v>
      </c>
    </row>
    <row r="157" spans="1:28">
      <c r="A157" t="s">
        <v>133</v>
      </c>
      <c r="B157" t="s">
        <v>475</v>
      </c>
      <c r="C157" t="s">
        <v>476</v>
      </c>
      <c r="E157">
        <v>1771</v>
      </c>
      <c r="F157">
        <v>40851</v>
      </c>
      <c r="G157">
        <v>586</v>
      </c>
      <c r="H157">
        <v>11534</v>
      </c>
      <c r="J157" t="s">
        <v>22</v>
      </c>
      <c r="K157" t="b">
        <v>1</v>
      </c>
      <c r="L157">
        <f t="shared" si="2"/>
        <v>2357</v>
      </c>
      <c r="M157">
        <f t="shared" si="2"/>
        <v>52385</v>
      </c>
      <c r="N157" t="b">
        <v>0</v>
      </c>
      <c r="O157">
        <v>1</v>
      </c>
      <c r="P157" t="s">
        <v>477</v>
      </c>
      <c r="Q157">
        <v>2</v>
      </c>
      <c r="R157" t="b">
        <v>1</v>
      </c>
    </row>
    <row r="158" spans="1:28">
      <c r="A158" t="s">
        <v>87</v>
      </c>
      <c r="B158" t="s">
        <v>478</v>
      </c>
      <c r="C158" t="s">
        <v>479</v>
      </c>
      <c r="E158">
        <v>1727</v>
      </c>
      <c r="F158">
        <v>32503</v>
      </c>
      <c r="G158">
        <v>613</v>
      </c>
      <c r="H158">
        <v>10501</v>
      </c>
      <c r="J158" t="s">
        <v>22</v>
      </c>
      <c r="K158" t="b">
        <v>1</v>
      </c>
      <c r="L158">
        <f t="shared" si="2"/>
        <v>2340</v>
      </c>
      <c r="M158">
        <f t="shared" si="2"/>
        <v>43004</v>
      </c>
      <c r="N158" t="b">
        <v>0</v>
      </c>
      <c r="O158">
        <v>1</v>
      </c>
      <c r="P158" t="s">
        <v>480</v>
      </c>
      <c r="Q158">
        <v>2</v>
      </c>
      <c r="R158" t="b">
        <v>1</v>
      </c>
    </row>
    <row r="159" spans="1:28">
      <c r="A159" t="s">
        <v>87</v>
      </c>
      <c r="B159" t="s">
        <v>481</v>
      </c>
      <c r="C159" t="s">
        <v>482</v>
      </c>
      <c r="E159">
        <v>1731</v>
      </c>
      <c r="F159">
        <v>32405</v>
      </c>
      <c r="G159">
        <v>608</v>
      </c>
      <c r="H159">
        <v>9959</v>
      </c>
      <c r="J159" t="s">
        <v>22</v>
      </c>
      <c r="K159" t="b">
        <v>1</v>
      </c>
      <c r="L159">
        <f t="shared" si="2"/>
        <v>2339</v>
      </c>
      <c r="M159">
        <f t="shared" si="2"/>
        <v>42364</v>
      </c>
      <c r="N159" t="b">
        <v>0</v>
      </c>
      <c r="O159">
        <v>1</v>
      </c>
      <c r="P159" t="s">
        <v>483</v>
      </c>
      <c r="Q159">
        <v>2</v>
      </c>
      <c r="R159" t="b">
        <v>1</v>
      </c>
    </row>
    <row r="160" spans="1:28">
      <c r="A160" t="s">
        <v>133</v>
      </c>
      <c r="B160" t="s">
        <v>484</v>
      </c>
      <c r="C160" t="s">
        <v>485</v>
      </c>
      <c r="E160">
        <v>1719</v>
      </c>
      <c r="F160">
        <v>39947</v>
      </c>
      <c r="G160">
        <v>564</v>
      </c>
      <c r="H160">
        <v>11308</v>
      </c>
      <c r="J160" t="s">
        <v>22</v>
      </c>
      <c r="K160" t="b">
        <v>1</v>
      </c>
      <c r="L160">
        <f t="shared" si="2"/>
        <v>2283</v>
      </c>
      <c r="M160">
        <f t="shared" si="2"/>
        <v>51255</v>
      </c>
      <c r="N160" t="b">
        <v>0</v>
      </c>
      <c r="O160">
        <v>1</v>
      </c>
      <c r="P160" t="s">
        <v>486</v>
      </c>
      <c r="Q160">
        <v>2</v>
      </c>
      <c r="R160" t="b">
        <v>1</v>
      </c>
    </row>
    <row r="161" spans="1:18">
      <c r="A161" t="s">
        <v>133</v>
      </c>
      <c r="B161" t="s">
        <v>487</v>
      </c>
      <c r="C161" t="s">
        <v>488</v>
      </c>
      <c r="E161">
        <v>1718</v>
      </c>
      <c r="F161">
        <v>39947</v>
      </c>
      <c r="G161">
        <v>564</v>
      </c>
      <c r="H161">
        <v>11308</v>
      </c>
      <c r="J161" t="s">
        <v>22</v>
      </c>
      <c r="K161" t="b">
        <v>1</v>
      </c>
      <c r="L161">
        <f t="shared" si="2"/>
        <v>2282</v>
      </c>
      <c r="M161">
        <f t="shared" si="2"/>
        <v>51255</v>
      </c>
      <c r="N161" t="b">
        <v>0</v>
      </c>
      <c r="O161">
        <v>1</v>
      </c>
      <c r="P161" t="s">
        <v>489</v>
      </c>
      <c r="Q161">
        <v>2</v>
      </c>
      <c r="R161" t="b">
        <v>1</v>
      </c>
    </row>
    <row r="162" spans="1:18" hidden="1">
      <c r="A162" t="s">
        <v>133</v>
      </c>
      <c r="B162" t="s">
        <v>490</v>
      </c>
      <c r="C162" s="5" t="s">
        <v>491</v>
      </c>
      <c r="D162" s="7" t="s">
        <v>92</v>
      </c>
      <c r="E162">
        <v>1613</v>
      </c>
      <c r="F162">
        <v>40848</v>
      </c>
      <c r="G162">
        <v>571</v>
      </c>
      <c r="H162">
        <v>11508</v>
      </c>
      <c r="J162" t="s">
        <v>93</v>
      </c>
      <c r="K162" t="b">
        <v>1</v>
      </c>
      <c r="L162">
        <f t="shared" si="2"/>
        <v>2184</v>
      </c>
      <c r="M162">
        <f t="shared" si="2"/>
        <v>52356</v>
      </c>
      <c r="N162" t="b">
        <v>0</v>
      </c>
      <c r="O162">
        <v>0</v>
      </c>
      <c r="Q162">
        <v>0</v>
      </c>
      <c r="R162" t="b">
        <v>0</v>
      </c>
    </row>
    <row r="163" spans="1:18" hidden="1">
      <c r="A163" t="s">
        <v>37</v>
      </c>
      <c r="B163" t="s">
        <v>492</v>
      </c>
      <c r="C163" t="s">
        <v>493</v>
      </c>
      <c r="D163" t="s">
        <v>446</v>
      </c>
      <c r="E163">
        <v>1885</v>
      </c>
      <c r="F163">
        <v>24036</v>
      </c>
      <c r="G163">
        <v>296</v>
      </c>
      <c r="H163">
        <v>7675</v>
      </c>
      <c r="J163" t="s">
        <v>93</v>
      </c>
      <c r="K163" t="b">
        <v>1</v>
      </c>
      <c r="L163">
        <f t="shared" si="2"/>
        <v>2181</v>
      </c>
      <c r="M163">
        <f t="shared" si="2"/>
        <v>31711</v>
      </c>
      <c r="N163" t="b">
        <v>0</v>
      </c>
      <c r="O163">
        <v>0.33329999999999999</v>
      </c>
      <c r="P163" t="s">
        <v>267</v>
      </c>
      <c r="Q163">
        <v>2</v>
      </c>
      <c r="R163" t="b">
        <v>1</v>
      </c>
    </row>
    <row r="164" spans="1:18" hidden="1">
      <c r="A164" t="s">
        <v>37</v>
      </c>
      <c r="B164" t="s">
        <v>494</v>
      </c>
      <c r="C164" t="s">
        <v>495</v>
      </c>
      <c r="D164" t="s">
        <v>446</v>
      </c>
      <c r="E164">
        <v>1881</v>
      </c>
      <c r="F164">
        <v>24036</v>
      </c>
      <c r="G164">
        <v>294</v>
      </c>
      <c r="H164">
        <v>7673</v>
      </c>
      <c r="J164" t="s">
        <v>93</v>
      </c>
      <c r="K164" t="b">
        <v>1</v>
      </c>
      <c r="L164">
        <f t="shared" si="2"/>
        <v>2175</v>
      </c>
      <c r="M164">
        <f t="shared" si="2"/>
        <v>31709</v>
      </c>
      <c r="N164" t="b">
        <v>0</v>
      </c>
      <c r="O164">
        <v>0</v>
      </c>
      <c r="Q164">
        <v>0</v>
      </c>
      <c r="R164" t="b">
        <v>0</v>
      </c>
    </row>
    <row r="165" spans="1:18" hidden="1">
      <c r="A165" t="s">
        <v>37</v>
      </c>
      <c r="B165" t="s">
        <v>496</v>
      </c>
      <c r="C165" t="s">
        <v>497</v>
      </c>
      <c r="D165" t="s">
        <v>446</v>
      </c>
      <c r="E165">
        <v>1881</v>
      </c>
      <c r="F165">
        <v>24036</v>
      </c>
      <c r="G165">
        <v>294</v>
      </c>
      <c r="H165">
        <v>7673</v>
      </c>
      <c r="J165" t="s">
        <v>93</v>
      </c>
      <c r="K165" t="b">
        <v>1</v>
      </c>
      <c r="L165">
        <f t="shared" si="2"/>
        <v>2175</v>
      </c>
      <c r="M165">
        <f t="shared" si="2"/>
        <v>31709</v>
      </c>
      <c r="N165" t="b">
        <v>0</v>
      </c>
      <c r="O165">
        <v>0.25</v>
      </c>
      <c r="P165" t="s">
        <v>290</v>
      </c>
      <c r="Q165">
        <v>2</v>
      </c>
      <c r="R165" t="b">
        <v>1</v>
      </c>
    </row>
    <row r="166" spans="1:18">
      <c r="A166" t="s">
        <v>498</v>
      </c>
      <c r="B166" t="s">
        <v>499</v>
      </c>
      <c r="C166" t="s">
        <v>500</v>
      </c>
      <c r="E166">
        <v>1665</v>
      </c>
      <c r="F166">
        <v>18525</v>
      </c>
      <c r="G166">
        <v>468</v>
      </c>
      <c r="H166">
        <v>4816</v>
      </c>
      <c r="J166" t="s">
        <v>22</v>
      </c>
      <c r="K166" t="b">
        <v>1</v>
      </c>
      <c r="L166">
        <f t="shared" si="2"/>
        <v>2133</v>
      </c>
      <c r="M166">
        <f t="shared" si="2"/>
        <v>23341</v>
      </c>
      <c r="N166" t="b">
        <v>0</v>
      </c>
      <c r="O166">
        <v>1</v>
      </c>
      <c r="P166" t="s">
        <v>33</v>
      </c>
      <c r="Q166">
        <v>2</v>
      </c>
      <c r="R166" t="b">
        <v>1</v>
      </c>
    </row>
    <row r="167" spans="1:18" hidden="1">
      <c r="A167" t="s">
        <v>133</v>
      </c>
      <c r="B167" t="s">
        <v>501</v>
      </c>
      <c r="C167" s="2" t="s">
        <v>502</v>
      </c>
      <c r="D167" t="s">
        <v>503</v>
      </c>
      <c r="E167">
        <v>1564</v>
      </c>
      <c r="F167">
        <v>39944</v>
      </c>
      <c r="G167">
        <v>549</v>
      </c>
      <c r="H167">
        <v>11285</v>
      </c>
      <c r="I167" t="s">
        <v>504</v>
      </c>
      <c r="J167" t="s">
        <v>93</v>
      </c>
      <c r="K167" t="b">
        <v>1</v>
      </c>
      <c r="L167">
        <f t="shared" si="2"/>
        <v>2113</v>
      </c>
      <c r="M167">
        <f t="shared" si="2"/>
        <v>51229</v>
      </c>
      <c r="N167" t="b">
        <v>0</v>
      </c>
      <c r="O167">
        <v>0</v>
      </c>
      <c r="Q167">
        <v>0</v>
      </c>
      <c r="R167" t="b">
        <v>0</v>
      </c>
    </row>
    <row r="168" spans="1:18">
      <c r="A168" t="s">
        <v>352</v>
      </c>
      <c r="B168" t="s">
        <v>505</v>
      </c>
      <c r="C168" t="s">
        <v>506</v>
      </c>
      <c r="E168">
        <v>1677</v>
      </c>
      <c r="F168">
        <v>20836</v>
      </c>
      <c r="G168">
        <v>425</v>
      </c>
      <c r="H168">
        <v>4202</v>
      </c>
      <c r="J168" t="s">
        <v>22</v>
      </c>
      <c r="K168" t="b">
        <v>1</v>
      </c>
      <c r="L168">
        <f t="shared" si="2"/>
        <v>2102</v>
      </c>
      <c r="M168">
        <f t="shared" si="2"/>
        <v>25038</v>
      </c>
      <c r="N168" t="b">
        <v>0</v>
      </c>
      <c r="O168">
        <v>1</v>
      </c>
      <c r="P168" t="s">
        <v>507</v>
      </c>
      <c r="Q168">
        <v>1</v>
      </c>
      <c r="R168" t="b">
        <v>1</v>
      </c>
    </row>
    <row r="169" spans="1:18">
      <c r="A169" t="s">
        <v>24</v>
      </c>
      <c r="B169" t="s">
        <v>508</v>
      </c>
      <c r="C169" t="s">
        <v>509</v>
      </c>
      <c r="E169">
        <v>1418</v>
      </c>
      <c r="F169">
        <v>16397</v>
      </c>
      <c r="G169">
        <v>680</v>
      </c>
      <c r="H169">
        <v>5207</v>
      </c>
      <c r="J169" t="s">
        <v>22</v>
      </c>
      <c r="K169" t="b">
        <v>1</v>
      </c>
      <c r="L169">
        <f t="shared" si="2"/>
        <v>2098</v>
      </c>
      <c r="M169">
        <f t="shared" si="2"/>
        <v>21604</v>
      </c>
      <c r="N169" t="b">
        <v>0</v>
      </c>
      <c r="O169">
        <v>1</v>
      </c>
      <c r="P169" t="s">
        <v>510</v>
      </c>
      <c r="Q169">
        <v>4</v>
      </c>
      <c r="R169" t="b">
        <v>1</v>
      </c>
    </row>
    <row r="170" spans="1:18">
      <c r="A170" t="s">
        <v>498</v>
      </c>
      <c r="B170" t="s">
        <v>511</v>
      </c>
      <c r="C170" t="s">
        <v>512</v>
      </c>
      <c r="E170">
        <v>1628</v>
      </c>
      <c r="F170">
        <v>18392</v>
      </c>
      <c r="G170">
        <v>454</v>
      </c>
      <c r="H170">
        <v>4793</v>
      </c>
      <c r="J170" t="s">
        <v>22</v>
      </c>
      <c r="K170" t="b">
        <v>1</v>
      </c>
      <c r="L170">
        <f t="shared" si="2"/>
        <v>2082</v>
      </c>
      <c r="M170">
        <f t="shared" si="2"/>
        <v>23185</v>
      </c>
      <c r="N170" t="b">
        <v>0</v>
      </c>
      <c r="O170">
        <v>1</v>
      </c>
      <c r="P170" t="s">
        <v>513</v>
      </c>
      <c r="Q170">
        <v>2</v>
      </c>
      <c r="R170" t="b">
        <v>1</v>
      </c>
    </row>
    <row r="171" spans="1:18">
      <c r="A171" t="s">
        <v>24</v>
      </c>
      <c r="B171" t="s">
        <v>514</v>
      </c>
      <c r="C171" t="s">
        <v>515</v>
      </c>
      <c r="E171">
        <v>1516</v>
      </c>
      <c r="F171">
        <v>29983</v>
      </c>
      <c r="G171">
        <v>560</v>
      </c>
      <c r="H171">
        <v>7398</v>
      </c>
      <c r="J171" t="s">
        <v>22</v>
      </c>
      <c r="K171" t="b">
        <v>1</v>
      </c>
      <c r="L171">
        <f t="shared" si="2"/>
        <v>2076</v>
      </c>
      <c r="M171">
        <f t="shared" si="2"/>
        <v>37381</v>
      </c>
      <c r="N171" t="b">
        <v>0</v>
      </c>
      <c r="O171">
        <v>1</v>
      </c>
      <c r="P171" t="s">
        <v>516</v>
      </c>
      <c r="Q171">
        <v>2</v>
      </c>
      <c r="R171" t="b">
        <v>1</v>
      </c>
    </row>
    <row r="172" spans="1:18" hidden="1">
      <c r="A172" t="s">
        <v>361</v>
      </c>
      <c r="B172" t="s">
        <v>517</v>
      </c>
      <c r="C172" s="4" t="s">
        <v>518</v>
      </c>
      <c r="D172" t="s">
        <v>519</v>
      </c>
      <c r="E172">
        <v>2000</v>
      </c>
      <c r="F172">
        <v>148</v>
      </c>
      <c r="G172">
        <v>76</v>
      </c>
      <c r="H172">
        <v>87</v>
      </c>
      <c r="I172" t="s">
        <v>520</v>
      </c>
      <c r="J172" t="s">
        <v>93</v>
      </c>
      <c r="K172" t="b">
        <v>0</v>
      </c>
      <c r="L172">
        <f t="shared" si="2"/>
        <v>2076</v>
      </c>
      <c r="M172">
        <f t="shared" si="2"/>
        <v>235</v>
      </c>
      <c r="N172" t="b">
        <v>1</v>
      </c>
      <c r="O172">
        <v>0</v>
      </c>
      <c r="Q172">
        <v>0</v>
      </c>
      <c r="R172" t="b">
        <v>0</v>
      </c>
    </row>
    <row r="173" spans="1:18">
      <c r="A173" t="s">
        <v>24</v>
      </c>
      <c r="B173" t="s">
        <v>521</v>
      </c>
      <c r="C173" t="s">
        <v>522</v>
      </c>
      <c r="E173">
        <v>1506</v>
      </c>
      <c r="F173">
        <v>30529</v>
      </c>
      <c r="G173">
        <v>563</v>
      </c>
      <c r="H173">
        <v>8297</v>
      </c>
      <c r="J173" t="s">
        <v>22</v>
      </c>
      <c r="K173" t="b">
        <v>1</v>
      </c>
      <c r="L173">
        <f t="shared" si="2"/>
        <v>2069</v>
      </c>
      <c r="M173">
        <f t="shared" si="2"/>
        <v>38826</v>
      </c>
      <c r="N173" t="b">
        <v>0</v>
      </c>
      <c r="O173">
        <v>1</v>
      </c>
      <c r="P173" t="s">
        <v>523</v>
      </c>
      <c r="Q173">
        <v>2</v>
      </c>
      <c r="R173" t="b">
        <v>1</v>
      </c>
    </row>
    <row r="174" spans="1:18">
      <c r="A174" t="s">
        <v>378</v>
      </c>
      <c r="B174" t="s">
        <v>524</v>
      </c>
      <c r="C174" t="s">
        <v>525</v>
      </c>
      <c r="E174">
        <v>1711</v>
      </c>
      <c r="F174">
        <v>11396</v>
      </c>
      <c r="G174">
        <v>328</v>
      </c>
      <c r="H174">
        <v>6547</v>
      </c>
      <c r="J174" t="s">
        <v>22</v>
      </c>
      <c r="K174" t="b">
        <v>1</v>
      </c>
      <c r="L174">
        <f t="shared" si="2"/>
        <v>2039</v>
      </c>
      <c r="M174">
        <f t="shared" si="2"/>
        <v>17943</v>
      </c>
      <c r="N174" t="b">
        <v>0</v>
      </c>
      <c r="O174">
        <v>1</v>
      </c>
      <c r="P174" t="s">
        <v>526</v>
      </c>
      <c r="Q174">
        <v>2</v>
      </c>
      <c r="R174" t="b">
        <v>1</v>
      </c>
    </row>
    <row r="175" spans="1:18">
      <c r="A175" t="s">
        <v>498</v>
      </c>
      <c r="B175" t="s">
        <v>527</v>
      </c>
      <c r="C175" t="s">
        <v>528</v>
      </c>
      <c r="E175">
        <v>1616</v>
      </c>
      <c r="F175">
        <v>18275</v>
      </c>
      <c r="G175">
        <v>421</v>
      </c>
      <c r="H175">
        <v>4690</v>
      </c>
      <c r="J175" t="s">
        <v>22</v>
      </c>
      <c r="K175" t="b">
        <v>1</v>
      </c>
      <c r="L175">
        <f t="shared" si="2"/>
        <v>2037</v>
      </c>
      <c r="M175">
        <f t="shared" si="2"/>
        <v>22965</v>
      </c>
      <c r="N175" t="b">
        <v>0</v>
      </c>
      <c r="O175">
        <v>1</v>
      </c>
      <c r="P175" t="s">
        <v>529</v>
      </c>
      <c r="Q175">
        <v>2</v>
      </c>
      <c r="R175" t="b">
        <v>1</v>
      </c>
    </row>
    <row r="176" spans="1:18">
      <c r="A176" t="s">
        <v>498</v>
      </c>
      <c r="B176" t="s">
        <v>530</v>
      </c>
      <c r="C176" t="s">
        <v>531</v>
      </c>
      <c r="E176">
        <v>1616</v>
      </c>
      <c r="F176">
        <v>18275</v>
      </c>
      <c r="G176">
        <v>421</v>
      </c>
      <c r="H176">
        <v>4690</v>
      </c>
      <c r="J176" t="s">
        <v>22</v>
      </c>
      <c r="K176" t="b">
        <v>1</v>
      </c>
      <c r="L176">
        <f t="shared" si="2"/>
        <v>2037</v>
      </c>
      <c r="M176">
        <f t="shared" si="2"/>
        <v>22965</v>
      </c>
      <c r="N176" t="b">
        <v>0</v>
      </c>
      <c r="O176">
        <v>1</v>
      </c>
      <c r="P176" t="s">
        <v>532</v>
      </c>
      <c r="Q176">
        <v>2</v>
      </c>
      <c r="R176" t="b">
        <v>1</v>
      </c>
    </row>
    <row r="177" spans="1:18" hidden="1">
      <c r="A177" t="s">
        <v>533</v>
      </c>
      <c r="B177" t="s">
        <v>534</v>
      </c>
      <c r="C177" s="8" t="s">
        <v>535</v>
      </c>
      <c r="D177" t="s">
        <v>93</v>
      </c>
      <c r="E177">
        <v>1622</v>
      </c>
      <c r="F177">
        <v>14648</v>
      </c>
      <c r="G177">
        <v>369</v>
      </c>
      <c r="H177">
        <v>6232</v>
      </c>
      <c r="J177" t="s">
        <v>93</v>
      </c>
      <c r="K177" t="b">
        <v>0</v>
      </c>
      <c r="L177">
        <f t="shared" si="2"/>
        <v>1991</v>
      </c>
      <c r="M177">
        <f t="shared" si="2"/>
        <v>20880</v>
      </c>
      <c r="N177" t="b">
        <v>0</v>
      </c>
      <c r="O177">
        <v>0</v>
      </c>
      <c r="Q177">
        <v>0</v>
      </c>
      <c r="R177" t="b">
        <v>0</v>
      </c>
    </row>
    <row r="178" spans="1:18">
      <c r="A178" t="s">
        <v>24</v>
      </c>
      <c r="B178" t="s">
        <v>536</v>
      </c>
      <c r="C178" t="s">
        <v>537</v>
      </c>
      <c r="E178">
        <v>1356</v>
      </c>
      <c r="F178">
        <v>16914</v>
      </c>
      <c r="G178">
        <v>624</v>
      </c>
      <c r="H178">
        <v>2227</v>
      </c>
      <c r="J178" t="s">
        <v>22</v>
      </c>
      <c r="K178" t="b">
        <v>1</v>
      </c>
      <c r="L178">
        <f t="shared" si="2"/>
        <v>1980</v>
      </c>
      <c r="M178">
        <f t="shared" si="2"/>
        <v>19141</v>
      </c>
      <c r="N178" t="b">
        <v>0</v>
      </c>
      <c r="O178">
        <v>1</v>
      </c>
      <c r="P178" t="s">
        <v>538</v>
      </c>
      <c r="Q178">
        <v>2</v>
      </c>
      <c r="R178" t="b">
        <v>1</v>
      </c>
    </row>
    <row r="179" spans="1:18">
      <c r="A179" t="s">
        <v>102</v>
      </c>
      <c r="B179" t="s">
        <v>539</v>
      </c>
      <c r="C179" t="s">
        <v>540</v>
      </c>
      <c r="E179">
        <v>1473</v>
      </c>
      <c r="F179">
        <v>21397</v>
      </c>
      <c r="G179">
        <v>479</v>
      </c>
      <c r="H179">
        <v>9521</v>
      </c>
      <c r="J179" t="s">
        <v>22</v>
      </c>
      <c r="K179" t="b">
        <v>1</v>
      </c>
      <c r="L179">
        <f t="shared" si="2"/>
        <v>1952</v>
      </c>
      <c r="M179">
        <f t="shared" si="2"/>
        <v>30918</v>
      </c>
      <c r="N179" t="b">
        <v>0</v>
      </c>
      <c r="O179">
        <v>1</v>
      </c>
      <c r="P179" t="s">
        <v>541</v>
      </c>
      <c r="Q179">
        <v>2</v>
      </c>
      <c r="R179" t="b">
        <v>1</v>
      </c>
    </row>
    <row r="180" spans="1:18">
      <c r="A180" t="s">
        <v>102</v>
      </c>
      <c r="B180" t="s">
        <v>542</v>
      </c>
      <c r="C180" t="s">
        <v>543</v>
      </c>
      <c r="E180">
        <v>1473</v>
      </c>
      <c r="F180">
        <v>21397</v>
      </c>
      <c r="G180">
        <v>479</v>
      </c>
      <c r="H180">
        <v>9521</v>
      </c>
      <c r="J180" t="s">
        <v>22</v>
      </c>
      <c r="K180" t="b">
        <v>1</v>
      </c>
      <c r="L180">
        <f t="shared" si="2"/>
        <v>1952</v>
      </c>
      <c r="M180">
        <f t="shared" si="2"/>
        <v>30918</v>
      </c>
      <c r="N180" t="b">
        <v>0</v>
      </c>
      <c r="O180">
        <v>1</v>
      </c>
      <c r="P180" t="s">
        <v>544</v>
      </c>
      <c r="Q180">
        <v>2</v>
      </c>
      <c r="R180" t="b">
        <v>1</v>
      </c>
    </row>
    <row r="181" spans="1:18">
      <c r="A181" t="s">
        <v>545</v>
      </c>
      <c r="B181" t="s">
        <v>546</v>
      </c>
      <c r="C181" t="s">
        <v>547</v>
      </c>
      <c r="E181">
        <v>1297</v>
      </c>
      <c r="F181">
        <v>14872</v>
      </c>
      <c r="G181">
        <v>638</v>
      </c>
      <c r="H181">
        <v>6927</v>
      </c>
      <c r="J181" t="s">
        <v>22</v>
      </c>
      <c r="K181" t="b">
        <v>1</v>
      </c>
      <c r="L181">
        <f t="shared" si="2"/>
        <v>1935</v>
      </c>
      <c r="M181">
        <f t="shared" si="2"/>
        <v>21799</v>
      </c>
      <c r="N181" t="b">
        <v>0</v>
      </c>
      <c r="O181">
        <v>1</v>
      </c>
      <c r="P181" t="s">
        <v>548</v>
      </c>
      <c r="Q181">
        <v>2</v>
      </c>
      <c r="R181" t="b">
        <v>1</v>
      </c>
    </row>
    <row r="182" spans="1:18">
      <c r="A182" t="s">
        <v>352</v>
      </c>
      <c r="B182" t="s">
        <v>549</v>
      </c>
      <c r="C182" t="s">
        <v>550</v>
      </c>
      <c r="E182">
        <v>1500</v>
      </c>
      <c r="F182">
        <v>17666</v>
      </c>
      <c r="G182">
        <v>407</v>
      </c>
      <c r="H182">
        <v>3756</v>
      </c>
      <c r="J182" t="s">
        <v>22</v>
      </c>
      <c r="K182" t="b">
        <v>1</v>
      </c>
      <c r="L182">
        <f t="shared" si="2"/>
        <v>1907</v>
      </c>
      <c r="M182">
        <f t="shared" si="2"/>
        <v>21422</v>
      </c>
      <c r="N182" t="b">
        <v>0</v>
      </c>
      <c r="O182">
        <v>1</v>
      </c>
      <c r="P182" t="s">
        <v>551</v>
      </c>
      <c r="Q182">
        <v>1</v>
      </c>
      <c r="R182" t="b">
        <v>1</v>
      </c>
    </row>
    <row r="183" spans="1:18">
      <c r="A183" t="s">
        <v>59</v>
      </c>
      <c r="B183" t="s">
        <v>552</v>
      </c>
      <c r="C183" t="s">
        <v>553</v>
      </c>
      <c r="E183">
        <v>1870</v>
      </c>
      <c r="F183">
        <v>13217</v>
      </c>
      <c r="G183">
        <v>0</v>
      </c>
      <c r="H183">
        <v>0</v>
      </c>
      <c r="J183" t="s">
        <v>22</v>
      </c>
      <c r="K183" t="b">
        <v>1</v>
      </c>
      <c r="L183">
        <f t="shared" si="2"/>
        <v>1870</v>
      </c>
      <c r="M183">
        <f t="shared" si="2"/>
        <v>13217</v>
      </c>
      <c r="N183" t="b">
        <v>0</v>
      </c>
      <c r="O183">
        <v>1</v>
      </c>
      <c r="P183" t="s">
        <v>554</v>
      </c>
      <c r="Q183">
        <v>2</v>
      </c>
      <c r="R183" t="b">
        <v>1</v>
      </c>
    </row>
    <row r="184" spans="1:18">
      <c r="A184" t="s">
        <v>59</v>
      </c>
      <c r="B184" t="s">
        <v>555</v>
      </c>
      <c r="C184" t="s">
        <v>556</v>
      </c>
      <c r="E184">
        <v>1870</v>
      </c>
      <c r="F184">
        <v>13217</v>
      </c>
      <c r="G184">
        <v>0</v>
      </c>
      <c r="H184">
        <v>0</v>
      </c>
      <c r="J184" t="s">
        <v>22</v>
      </c>
      <c r="K184" t="b">
        <v>1</v>
      </c>
      <c r="L184">
        <f t="shared" si="2"/>
        <v>1870</v>
      </c>
      <c r="M184">
        <f t="shared" si="2"/>
        <v>13217</v>
      </c>
      <c r="N184" t="b">
        <v>0</v>
      </c>
      <c r="O184">
        <v>1</v>
      </c>
      <c r="P184" t="s">
        <v>557</v>
      </c>
      <c r="Q184">
        <v>2</v>
      </c>
      <c r="R184" t="b">
        <v>1</v>
      </c>
    </row>
    <row r="185" spans="1:18">
      <c r="A185" t="s">
        <v>59</v>
      </c>
      <c r="B185" t="s">
        <v>558</v>
      </c>
      <c r="C185" t="s">
        <v>559</v>
      </c>
      <c r="E185">
        <v>1870</v>
      </c>
      <c r="F185">
        <v>13217</v>
      </c>
      <c r="G185">
        <v>0</v>
      </c>
      <c r="H185">
        <v>0</v>
      </c>
      <c r="J185" t="s">
        <v>22</v>
      </c>
      <c r="K185" t="b">
        <v>1</v>
      </c>
      <c r="L185">
        <f t="shared" si="2"/>
        <v>1870</v>
      </c>
      <c r="M185">
        <f t="shared" si="2"/>
        <v>13217</v>
      </c>
      <c r="N185" t="b">
        <v>0</v>
      </c>
      <c r="O185">
        <v>1</v>
      </c>
      <c r="P185" t="s">
        <v>560</v>
      </c>
      <c r="Q185">
        <v>2</v>
      </c>
      <c r="R185" t="b">
        <v>1</v>
      </c>
    </row>
    <row r="186" spans="1:18" hidden="1">
      <c r="A186" t="s">
        <v>561</v>
      </c>
      <c r="B186" t="s">
        <v>562</v>
      </c>
      <c r="C186" s="5" t="s">
        <v>563</v>
      </c>
      <c r="D186" t="s">
        <v>93</v>
      </c>
      <c r="E186">
        <v>1161</v>
      </c>
      <c r="F186">
        <v>5098</v>
      </c>
      <c r="G186">
        <v>705</v>
      </c>
      <c r="H186">
        <v>3211</v>
      </c>
      <c r="J186" t="s">
        <v>93</v>
      </c>
      <c r="K186" t="b">
        <v>0</v>
      </c>
      <c r="L186">
        <f t="shared" si="2"/>
        <v>1866</v>
      </c>
      <c r="M186">
        <f t="shared" si="2"/>
        <v>8309</v>
      </c>
      <c r="N186" t="b">
        <v>0</v>
      </c>
      <c r="O186">
        <v>0</v>
      </c>
      <c r="Q186">
        <v>0</v>
      </c>
      <c r="R186" t="b">
        <v>0</v>
      </c>
    </row>
    <row r="187" spans="1:18" hidden="1">
      <c r="A187" t="s">
        <v>561</v>
      </c>
      <c r="B187" t="s">
        <v>564</v>
      </c>
      <c r="C187" s="5" t="s">
        <v>565</v>
      </c>
      <c r="D187" t="s">
        <v>93</v>
      </c>
      <c r="E187">
        <v>1161</v>
      </c>
      <c r="F187">
        <v>5098</v>
      </c>
      <c r="G187">
        <v>705</v>
      </c>
      <c r="H187">
        <v>3211</v>
      </c>
      <c r="J187" t="s">
        <v>93</v>
      </c>
      <c r="K187" t="b">
        <v>0</v>
      </c>
      <c r="L187">
        <f t="shared" si="2"/>
        <v>1866</v>
      </c>
      <c r="M187">
        <f t="shared" si="2"/>
        <v>8309</v>
      </c>
      <c r="N187" t="b">
        <v>0</v>
      </c>
      <c r="O187">
        <v>0</v>
      </c>
      <c r="Q187">
        <v>0</v>
      </c>
      <c r="R187" t="b">
        <v>0</v>
      </c>
    </row>
    <row r="188" spans="1:18">
      <c r="A188" t="s">
        <v>356</v>
      </c>
      <c r="B188" t="s">
        <v>566</v>
      </c>
      <c r="C188" t="s">
        <v>567</v>
      </c>
      <c r="E188">
        <v>977</v>
      </c>
      <c r="F188">
        <v>12693</v>
      </c>
      <c r="G188">
        <v>884</v>
      </c>
      <c r="H188">
        <v>7384</v>
      </c>
      <c r="J188" t="s">
        <v>22</v>
      </c>
      <c r="K188" t="b">
        <v>1</v>
      </c>
      <c r="L188">
        <f t="shared" si="2"/>
        <v>1861</v>
      </c>
      <c r="M188">
        <f t="shared" si="2"/>
        <v>20077</v>
      </c>
      <c r="N188" t="b">
        <v>0</v>
      </c>
      <c r="O188">
        <v>0</v>
      </c>
      <c r="Q188">
        <v>0</v>
      </c>
      <c r="R188" t="b">
        <v>0</v>
      </c>
    </row>
    <row r="189" spans="1:18" hidden="1">
      <c r="A189" t="s">
        <v>568</v>
      </c>
      <c r="B189" t="s">
        <v>569</v>
      </c>
      <c r="C189" t="s">
        <v>570</v>
      </c>
      <c r="D189" t="s">
        <v>435</v>
      </c>
      <c r="E189">
        <v>1839</v>
      </c>
      <c r="F189">
        <v>22856</v>
      </c>
      <c r="G189">
        <v>0</v>
      </c>
      <c r="H189">
        <v>0</v>
      </c>
      <c r="J189" t="s">
        <v>93</v>
      </c>
      <c r="K189" t="b">
        <v>0</v>
      </c>
      <c r="L189">
        <f t="shared" si="2"/>
        <v>1839</v>
      </c>
      <c r="M189">
        <f t="shared" si="2"/>
        <v>22856</v>
      </c>
      <c r="N189" t="b">
        <v>0</v>
      </c>
      <c r="O189">
        <v>0</v>
      </c>
      <c r="Q189">
        <v>0</v>
      </c>
      <c r="R189" t="b">
        <v>0</v>
      </c>
    </row>
    <row r="190" spans="1:18" hidden="1">
      <c r="A190" t="s">
        <v>568</v>
      </c>
      <c r="B190" t="s">
        <v>571</v>
      </c>
      <c r="C190" t="s">
        <v>572</v>
      </c>
      <c r="D190" t="s">
        <v>435</v>
      </c>
      <c r="E190">
        <v>1839</v>
      </c>
      <c r="F190">
        <v>22856</v>
      </c>
      <c r="G190">
        <v>0</v>
      </c>
      <c r="H190">
        <v>0</v>
      </c>
      <c r="J190" t="s">
        <v>93</v>
      </c>
      <c r="K190" t="b">
        <v>0</v>
      </c>
      <c r="L190">
        <f t="shared" si="2"/>
        <v>1839</v>
      </c>
      <c r="M190">
        <f t="shared" si="2"/>
        <v>22856</v>
      </c>
      <c r="N190" t="b">
        <v>0</v>
      </c>
      <c r="O190">
        <v>0</v>
      </c>
      <c r="Q190">
        <v>0</v>
      </c>
      <c r="R190" t="b">
        <v>0</v>
      </c>
    </row>
    <row r="191" spans="1:18">
      <c r="A191" t="s">
        <v>573</v>
      </c>
      <c r="B191" t="s">
        <v>574</v>
      </c>
      <c r="C191" t="s">
        <v>575</v>
      </c>
      <c r="E191">
        <v>1395</v>
      </c>
      <c r="F191">
        <v>27745</v>
      </c>
      <c r="G191">
        <v>431</v>
      </c>
      <c r="H191">
        <v>6029</v>
      </c>
      <c r="J191" t="s">
        <v>22</v>
      </c>
      <c r="K191" t="b">
        <v>1</v>
      </c>
      <c r="L191">
        <f t="shared" si="2"/>
        <v>1826</v>
      </c>
      <c r="M191">
        <f t="shared" si="2"/>
        <v>33774</v>
      </c>
      <c r="N191" t="b">
        <v>0</v>
      </c>
      <c r="O191">
        <v>1</v>
      </c>
      <c r="P191" t="s">
        <v>33</v>
      </c>
      <c r="Q191">
        <v>2</v>
      </c>
      <c r="R191" t="b">
        <v>1</v>
      </c>
    </row>
    <row r="192" spans="1:18">
      <c r="A192" t="s">
        <v>24</v>
      </c>
      <c r="B192" t="s">
        <v>576</v>
      </c>
      <c r="C192" t="s">
        <v>577</v>
      </c>
      <c r="E192">
        <v>1349</v>
      </c>
      <c r="F192">
        <v>28233</v>
      </c>
      <c r="G192">
        <v>464</v>
      </c>
      <c r="H192">
        <v>7068</v>
      </c>
      <c r="J192" t="s">
        <v>22</v>
      </c>
      <c r="K192" t="b">
        <v>1</v>
      </c>
      <c r="L192">
        <f t="shared" si="2"/>
        <v>1813</v>
      </c>
      <c r="M192">
        <f t="shared" si="2"/>
        <v>35301</v>
      </c>
      <c r="N192" t="b">
        <v>0</v>
      </c>
      <c r="O192">
        <v>1</v>
      </c>
      <c r="P192" t="s">
        <v>578</v>
      </c>
      <c r="Q192">
        <v>2</v>
      </c>
      <c r="R192" t="b">
        <v>1</v>
      </c>
    </row>
    <row r="193" spans="1:18">
      <c r="A193" t="s">
        <v>394</v>
      </c>
      <c r="B193" t="s">
        <v>579</v>
      </c>
      <c r="C193" t="s">
        <v>580</v>
      </c>
      <c r="E193">
        <v>1313</v>
      </c>
      <c r="F193">
        <v>21815</v>
      </c>
      <c r="G193">
        <v>486</v>
      </c>
      <c r="H193">
        <v>7397</v>
      </c>
      <c r="J193" t="s">
        <v>22</v>
      </c>
      <c r="K193" t="b">
        <v>1</v>
      </c>
      <c r="L193">
        <f t="shared" si="2"/>
        <v>1799</v>
      </c>
      <c r="M193">
        <f t="shared" si="2"/>
        <v>29212</v>
      </c>
      <c r="N193" t="b">
        <v>0</v>
      </c>
      <c r="O193">
        <v>1</v>
      </c>
      <c r="P193" t="s">
        <v>581</v>
      </c>
      <c r="Q193">
        <v>2</v>
      </c>
      <c r="R193" t="b">
        <v>1</v>
      </c>
    </row>
    <row r="194" spans="1:18">
      <c r="A194" t="s">
        <v>192</v>
      </c>
      <c r="B194" t="s">
        <v>582</v>
      </c>
      <c r="C194" t="s">
        <v>583</v>
      </c>
      <c r="E194">
        <v>1728</v>
      </c>
      <c r="F194">
        <v>25</v>
      </c>
      <c r="G194">
        <v>20</v>
      </c>
      <c r="H194">
        <v>38</v>
      </c>
      <c r="J194" t="s">
        <v>22</v>
      </c>
      <c r="K194" t="b">
        <v>1</v>
      </c>
      <c r="L194">
        <f t="shared" si="2"/>
        <v>1748</v>
      </c>
      <c r="M194">
        <f t="shared" si="2"/>
        <v>63</v>
      </c>
      <c r="N194" t="b">
        <v>0</v>
      </c>
      <c r="O194">
        <v>1</v>
      </c>
      <c r="P194" t="s">
        <v>584</v>
      </c>
      <c r="Q194">
        <v>2</v>
      </c>
      <c r="R194" t="b">
        <v>1</v>
      </c>
    </row>
    <row r="195" spans="1:18">
      <c r="A195" t="s">
        <v>352</v>
      </c>
      <c r="B195" t="s">
        <v>585</v>
      </c>
      <c r="C195" t="s">
        <v>586</v>
      </c>
      <c r="E195">
        <v>1264</v>
      </c>
      <c r="F195">
        <v>21216</v>
      </c>
      <c r="G195">
        <v>453</v>
      </c>
      <c r="H195">
        <v>5733</v>
      </c>
      <c r="J195" t="s">
        <v>22</v>
      </c>
      <c r="K195" t="b">
        <v>1</v>
      </c>
      <c r="L195">
        <f t="shared" ref="L195:M258" si="3">E195+G195</f>
        <v>1717</v>
      </c>
      <c r="M195">
        <f t="shared" si="3"/>
        <v>26949</v>
      </c>
      <c r="N195" t="b">
        <v>0</v>
      </c>
      <c r="O195">
        <v>1</v>
      </c>
      <c r="P195" t="s">
        <v>587</v>
      </c>
      <c r="Q195">
        <v>1</v>
      </c>
      <c r="R195" t="b">
        <v>1</v>
      </c>
    </row>
    <row r="196" spans="1:18">
      <c r="A196" t="s">
        <v>24</v>
      </c>
      <c r="B196" t="s">
        <v>588</v>
      </c>
      <c r="C196" t="s">
        <v>589</v>
      </c>
      <c r="E196">
        <v>1116</v>
      </c>
      <c r="F196">
        <v>5705</v>
      </c>
      <c r="G196">
        <v>588</v>
      </c>
      <c r="H196">
        <v>2275</v>
      </c>
      <c r="J196" t="s">
        <v>22</v>
      </c>
      <c r="K196" t="b">
        <v>1</v>
      </c>
      <c r="L196">
        <f t="shared" si="3"/>
        <v>1704</v>
      </c>
      <c r="M196">
        <f t="shared" si="3"/>
        <v>7980</v>
      </c>
      <c r="N196" t="b">
        <v>0</v>
      </c>
      <c r="O196">
        <v>1</v>
      </c>
      <c r="P196" t="s">
        <v>71</v>
      </c>
      <c r="Q196">
        <v>2</v>
      </c>
      <c r="R196" t="b">
        <v>1</v>
      </c>
    </row>
    <row r="197" spans="1:18">
      <c r="A197" t="s">
        <v>192</v>
      </c>
      <c r="B197" t="s">
        <v>590</v>
      </c>
      <c r="C197" t="s">
        <v>591</v>
      </c>
      <c r="E197">
        <v>1327</v>
      </c>
      <c r="F197">
        <v>14300</v>
      </c>
      <c r="G197">
        <v>371</v>
      </c>
      <c r="H197">
        <v>4852</v>
      </c>
      <c r="J197" t="s">
        <v>22</v>
      </c>
      <c r="K197" t="b">
        <v>1</v>
      </c>
      <c r="L197">
        <f t="shared" si="3"/>
        <v>1698</v>
      </c>
      <c r="M197">
        <f t="shared" si="3"/>
        <v>19152</v>
      </c>
      <c r="N197" t="b">
        <v>0</v>
      </c>
      <c r="O197">
        <v>1</v>
      </c>
      <c r="P197" t="s">
        <v>592</v>
      </c>
      <c r="Q197">
        <v>2</v>
      </c>
      <c r="R197" t="b">
        <v>1</v>
      </c>
    </row>
    <row r="198" spans="1:18" hidden="1">
      <c r="A198" t="s">
        <v>87</v>
      </c>
      <c r="B198" t="s">
        <v>593</v>
      </c>
      <c r="C198" t="s">
        <v>594</v>
      </c>
      <c r="D198" t="s">
        <v>595</v>
      </c>
      <c r="E198">
        <v>701</v>
      </c>
      <c r="F198">
        <v>6351</v>
      </c>
      <c r="G198">
        <v>995</v>
      </c>
      <c r="H198">
        <v>7294</v>
      </c>
      <c r="I198" t="s">
        <v>596</v>
      </c>
      <c r="J198" t="s">
        <v>93</v>
      </c>
      <c r="K198" t="b">
        <v>1</v>
      </c>
      <c r="L198">
        <f t="shared" si="3"/>
        <v>1696</v>
      </c>
      <c r="M198">
        <f t="shared" si="3"/>
        <v>13645</v>
      </c>
      <c r="N198" t="b">
        <v>0</v>
      </c>
      <c r="O198">
        <v>0</v>
      </c>
      <c r="Q198">
        <v>0</v>
      </c>
      <c r="R198" t="b">
        <v>0</v>
      </c>
    </row>
    <row r="199" spans="1:18">
      <c r="A199" t="s">
        <v>372</v>
      </c>
      <c r="B199" t="s">
        <v>597</v>
      </c>
      <c r="C199" t="s">
        <v>598</v>
      </c>
      <c r="E199">
        <v>702</v>
      </c>
      <c r="F199">
        <v>6178</v>
      </c>
      <c r="G199">
        <v>984</v>
      </c>
      <c r="H199">
        <v>7419</v>
      </c>
      <c r="J199" t="s">
        <v>22</v>
      </c>
      <c r="K199" t="b">
        <v>1</v>
      </c>
      <c r="L199">
        <f t="shared" si="3"/>
        <v>1686</v>
      </c>
      <c r="M199">
        <f t="shared" si="3"/>
        <v>13597</v>
      </c>
      <c r="N199" t="b">
        <v>0</v>
      </c>
      <c r="O199">
        <v>1</v>
      </c>
      <c r="P199" t="s">
        <v>599</v>
      </c>
      <c r="Q199">
        <v>2</v>
      </c>
      <c r="R199" t="b">
        <v>1</v>
      </c>
    </row>
    <row r="200" spans="1:18" hidden="1">
      <c r="A200" t="s">
        <v>600</v>
      </c>
      <c r="B200" t="s">
        <v>601</v>
      </c>
      <c r="C200" s="5" t="s">
        <v>602</v>
      </c>
      <c r="D200" t="s">
        <v>93</v>
      </c>
      <c r="E200">
        <v>683</v>
      </c>
      <c r="F200">
        <v>5648</v>
      </c>
      <c r="G200">
        <v>986</v>
      </c>
      <c r="H200">
        <v>7295</v>
      </c>
      <c r="I200" t="s">
        <v>603</v>
      </c>
      <c r="J200" t="s">
        <v>93</v>
      </c>
      <c r="K200" t="b">
        <v>0</v>
      </c>
      <c r="L200">
        <f t="shared" si="3"/>
        <v>1669</v>
      </c>
      <c r="M200">
        <f t="shared" si="3"/>
        <v>12943</v>
      </c>
      <c r="N200" t="b">
        <v>0</v>
      </c>
      <c r="O200">
        <v>0</v>
      </c>
      <c r="Q200">
        <v>0</v>
      </c>
      <c r="R200" t="b">
        <v>0</v>
      </c>
    </row>
    <row r="201" spans="1:18" hidden="1">
      <c r="A201" t="s">
        <v>600</v>
      </c>
      <c r="B201" t="s">
        <v>604</v>
      </c>
      <c r="C201" s="5" t="s">
        <v>605</v>
      </c>
      <c r="D201" t="s">
        <v>93</v>
      </c>
      <c r="E201" t="s">
        <v>603</v>
      </c>
      <c r="F201">
        <v>5601</v>
      </c>
      <c r="G201">
        <v>986</v>
      </c>
      <c r="H201">
        <v>7292</v>
      </c>
      <c r="I201" t="s">
        <v>603</v>
      </c>
      <c r="J201" t="s">
        <v>93</v>
      </c>
      <c r="K201" t="b">
        <v>0</v>
      </c>
      <c r="L201">
        <v>1669</v>
      </c>
      <c r="M201">
        <f t="shared" si="3"/>
        <v>12893</v>
      </c>
      <c r="N201" t="b">
        <v>0</v>
      </c>
      <c r="O201">
        <v>0</v>
      </c>
      <c r="Q201">
        <v>0</v>
      </c>
      <c r="R201" t="b">
        <v>0</v>
      </c>
    </row>
    <row r="202" spans="1:18" hidden="1">
      <c r="A202" t="s">
        <v>568</v>
      </c>
      <c r="B202" t="s">
        <v>606</v>
      </c>
      <c r="C202" t="s">
        <v>607</v>
      </c>
      <c r="D202" t="s">
        <v>435</v>
      </c>
      <c r="E202">
        <v>1661</v>
      </c>
      <c r="F202">
        <v>22223</v>
      </c>
      <c r="G202">
        <v>0</v>
      </c>
      <c r="H202">
        <v>0</v>
      </c>
      <c r="J202" t="s">
        <v>93</v>
      </c>
      <c r="K202" t="b">
        <v>0</v>
      </c>
      <c r="L202">
        <f t="shared" si="3"/>
        <v>1661</v>
      </c>
      <c r="M202">
        <f t="shared" si="3"/>
        <v>22223</v>
      </c>
      <c r="N202" t="b">
        <v>0</v>
      </c>
      <c r="O202">
        <v>0</v>
      </c>
      <c r="Q202">
        <v>0</v>
      </c>
      <c r="R202" t="b">
        <v>0</v>
      </c>
    </row>
    <row r="203" spans="1:18">
      <c r="A203" t="s">
        <v>205</v>
      </c>
      <c r="B203" t="s">
        <v>608</v>
      </c>
      <c r="C203" t="s">
        <v>609</v>
      </c>
      <c r="E203">
        <v>1059</v>
      </c>
      <c r="F203">
        <v>2515</v>
      </c>
      <c r="G203">
        <v>600</v>
      </c>
      <c r="H203">
        <v>1909</v>
      </c>
      <c r="J203" t="s">
        <v>22</v>
      </c>
      <c r="K203" t="b">
        <v>1</v>
      </c>
      <c r="L203">
        <f t="shared" si="3"/>
        <v>1659</v>
      </c>
      <c r="M203">
        <f t="shared" si="3"/>
        <v>4424</v>
      </c>
      <c r="N203" t="b">
        <v>0</v>
      </c>
      <c r="O203">
        <v>1</v>
      </c>
      <c r="P203" t="s">
        <v>83</v>
      </c>
      <c r="Q203">
        <v>2</v>
      </c>
      <c r="R203" t="b">
        <v>1</v>
      </c>
    </row>
    <row r="204" spans="1:18">
      <c r="A204" t="s">
        <v>24</v>
      </c>
      <c r="B204" t="s">
        <v>610</v>
      </c>
      <c r="C204" t="s">
        <v>611</v>
      </c>
      <c r="E204">
        <v>1192</v>
      </c>
      <c r="F204">
        <v>20578</v>
      </c>
      <c r="G204">
        <v>445</v>
      </c>
      <c r="H204">
        <v>2759</v>
      </c>
      <c r="J204" t="s">
        <v>22</v>
      </c>
      <c r="K204" t="b">
        <v>1</v>
      </c>
      <c r="L204">
        <f t="shared" si="3"/>
        <v>1637</v>
      </c>
      <c r="M204">
        <f t="shared" si="3"/>
        <v>23337</v>
      </c>
      <c r="N204" t="b">
        <v>0</v>
      </c>
      <c r="O204">
        <v>1</v>
      </c>
      <c r="P204" t="s">
        <v>612</v>
      </c>
      <c r="Q204">
        <v>2</v>
      </c>
      <c r="R204" t="b">
        <v>1</v>
      </c>
    </row>
    <row r="205" spans="1:18" hidden="1">
      <c r="A205" t="s">
        <v>600</v>
      </c>
      <c r="B205" t="s">
        <v>613</v>
      </c>
      <c r="C205" t="s">
        <v>614</v>
      </c>
      <c r="D205" t="s">
        <v>93</v>
      </c>
      <c r="E205">
        <v>659</v>
      </c>
      <c r="F205">
        <v>5402</v>
      </c>
      <c r="G205">
        <v>974</v>
      </c>
      <c r="H205">
        <v>7161</v>
      </c>
      <c r="I205" t="s">
        <v>603</v>
      </c>
      <c r="J205" t="s">
        <v>93</v>
      </c>
      <c r="K205" t="b">
        <v>0</v>
      </c>
      <c r="L205">
        <f t="shared" si="3"/>
        <v>1633</v>
      </c>
      <c r="M205">
        <f t="shared" si="3"/>
        <v>12563</v>
      </c>
      <c r="N205" t="b">
        <v>0</v>
      </c>
      <c r="O205">
        <v>0</v>
      </c>
      <c r="Q205">
        <v>0</v>
      </c>
      <c r="R205" t="b">
        <v>0</v>
      </c>
    </row>
    <row r="206" spans="1:18" hidden="1">
      <c r="A206" t="s">
        <v>248</v>
      </c>
      <c r="B206" t="s">
        <v>615</v>
      </c>
      <c r="C206" s="5" t="s">
        <v>616</v>
      </c>
      <c r="D206" t="s">
        <v>93</v>
      </c>
      <c r="E206">
        <v>1145</v>
      </c>
      <c r="F206">
        <v>2306</v>
      </c>
      <c r="G206">
        <v>482</v>
      </c>
      <c r="H206">
        <v>1198</v>
      </c>
      <c r="J206" t="s">
        <v>93</v>
      </c>
      <c r="K206" t="b">
        <v>1</v>
      </c>
      <c r="L206">
        <f t="shared" si="3"/>
        <v>1627</v>
      </c>
      <c r="M206">
        <f t="shared" si="3"/>
        <v>3504</v>
      </c>
      <c r="N206" t="b">
        <v>0</v>
      </c>
      <c r="O206">
        <v>0</v>
      </c>
      <c r="Q206">
        <v>0</v>
      </c>
      <c r="R206" t="b">
        <v>0</v>
      </c>
    </row>
    <row r="207" spans="1:18" hidden="1">
      <c r="A207" t="s">
        <v>248</v>
      </c>
      <c r="B207" t="s">
        <v>617</v>
      </c>
      <c r="C207" s="5" t="s">
        <v>618</v>
      </c>
      <c r="D207" t="s">
        <v>93</v>
      </c>
      <c r="E207">
        <v>1145</v>
      </c>
      <c r="F207">
        <v>2306</v>
      </c>
      <c r="G207">
        <v>482</v>
      </c>
      <c r="H207">
        <v>1198</v>
      </c>
      <c r="J207" t="s">
        <v>93</v>
      </c>
      <c r="K207" t="b">
        <v>1</v>
      </c>
      <c r="L207">
        <f t="shared" si="3"/>
        <v>1627</v>
      </c>
      <c r="M207">
        <f t="shared" si="3"/>
        <v>3504</v>
      </c>
      <c r="N207" t="b">
        <v>0</v>
      </c>
      <c r="O207">
        <v>0</v>
      </c>
      <c r="Q207">
        <v>0</v>
      </c>
      <c r="R207" t="b">
        <v>0</v>
      </c>
    </row>
    <row r="208" spans="1:18" hidden="1">
      <c r="A208" t="s">
        <v>248</v>
      </c>
      <c r="B208" t="s">
        <v>619</v>
      </c>
      <c r="C208" s="5" t="s">
        <v>620</v>
      </c>
      <c r="D208" t="s">
        <v>93</v>
      </c>
      <c r="E208">
        <v>1145</v>
      </c>
      <c r="F208">
        <v>2306</v>
      </c>
      <c r="G208">
        <v>482</v>
      </c>
      <c r="H208">
        <v>1198</v>
      </c>
      <c r="J208" t="s">
        <v>93</v>
      </c>
      <c r="K208" t="b">
        <v>1</v>
      </c>
      <c r="L208">
        <f t="shared" si="3"/>
        <v>1627</v>
      </c>
      <c r="M208">
        <f t="shared" si="3"/>
        <v>3504</v>
      </c>
      <c r="N208" t="b">
        <v>0</v>
      </c>
      <c r="O208">
        <v>0</v>
      </c>
      <c r="Q208">
        <v>0</v>
      </c>
      <c r="R208" t="b">
        <v>0</v>
      </c>
    </row>
    <row r="209" spans="1:18" hidden="1">
      <c r="A209" t="s">
        <v>248</v>
      </c>
      <c r="B209" t="s">
        <v>621</v>
      </c>
      <c r="C209" s="5" t="s">
        <v>622</v>
      </c>
      <c r="D209" t="s">
        <v>93</v>
      </c>
      <c r="E209">
        <v>1145</v>
      </c>
      <c r="F209">
        <v>2306</v>
      </c>
      <c r="G209">
        <v>482</v>
      </c>
      <c r="H209">
        <v>1198</v>
      </c>
      <c r="J209" t="s">
        <v>93</v>
      </c>
      <c r="K209" t="b">
        <v>1</v>
      </c>
      <c r="L209">
        <f t="shared" si="3"/>
        <v>1627</v>
      </c>
      <c r="M209">
        <f t="shared" si="3"/>
        <v>3504</v>
      </c>
      <c r="N209" t="b">
        <v>0</v>
      </c>
      <c r="O209">
        <v>0</v>
      </c>
      <c r="Q209">
        <v>0</v>
      </c>
      <c r="R209" t="b">
        <v>0</v>
      </c>
    </row>
    <row r="210" spans="1:18">
      <c r="A210" t="s">
        <v>19</v>
      </c>
      <c r="B210" t="s">
        <v>623</v>
      </c>
      <c r="C210" t="s">
        <v>624</v>
      </c>
      <c r="E210">
        <v>1302</v>
      </c>
      <c r="F210">
        <v>17123</v>
      </c>
      <c r="G210">
        <v>322</v>
      </c>
      <c r="H210">
        <v>7355</v>
      </c>
      <c r="J210" t="s">
        <v>22</v>
      </c>
      <c r="K210" t="b">
        <v>1</v>
      </c>
      <c r="L210">
        <f t="shared" si="3"/>
        <v>1624</v>
      </c>
      <c r="M210">
        <f t="shared" si="3"/>
        <v>24478</v>
      </c>
      <c r="N210" t="b">
        <v>0</v>
      </c>
      <c r="O210">
        <v>1</v>
      </c>
      <c r="P210" t="s">
        <v>625</v>
      </c>
      <c r="Q210">
        <v>2</v>
      </c>
      <c r="R210" t="b">
        <v>1</v>
      </c>
    </row>
    <row r="211" spans="1:18" hidden="1">
      <c r="A211" t="s">
        <v>87</v>
      </c>
      <c r="B211" t="s">
        <v>626</v>
      </c>
      <c r="C211" t="s">
        <v>627</v>
      </c>
      <c r="D211" t="s">
        <v>595</v>
      </c>
      <c r="E211">
        <v>1191</v>
      </c>
      <c r="F211">
        <v>20123</v>
      </c>
      <c r="G211">
        <v>408</v>
      </c>
      <c r="H211">
        <v>9322</v>
      </c>
      <c r="I211" t="s">
        <v>628</v>
      </c>
      <c r="J211" t="s">
        <v>93</v>
      </c>
      <c r="K211" t="b">
        <v>1</v>
      </c>
      <c r="L211">
        <f t="shared" si="3"/>
        <v>1599</v>
      </c>
      <c r="M211">
        <f t="shared" si="3"/>
        <v>29445</v>
      </c>
      <c r="N211" t="b">
        <v>0</v>
      </c>
      <c r="O211">
        <v>0</v>
      </c>
      <c r="Q211">
        <v>0</v>
      </c>
      <c r="R211" t="b">
        <v>0</v>
      </c>
    </row>
    <row r="212" spans="1:18">
      <c r="A212" t="s">
        <v>372</v>
      </c>
      <c r="B212" t="s">
        <v>629</v>
      </c>
      <c r="C212" t="s">
        <v>630</v>
      </c>
      <c r="E212">
        <v>639</v>
      </c>
      <c r="F212">
        <v>5748</v>
      </c>
      <c r="G212">
        <v>952</v>
      </c>
      <c r="H212">
        <v>6586</v>
      </c>
      <c r="J212" t="s">
        <v>22</v>
      </c>
      <c r="K212" t="b">
        <v>1</v>
      </c>
      <c r="L212">
        <f t="shared" si="3"/>
        <v>1591</v>
      </c>
      <c r="M212">
        <f t="shared" si="3"/>
        <v>12334</v>
      </c>
      <c r="N212" t="b">
        <v>0</v>
      </c>
      <c r="O212">
        <v>1</v>
      </c>
      <c r="P212" t="s">
        <v>631</v>
      </c>
      <c r="Q212">
        <v>2</v>
      </c>
      <c r="R212" t="b">
        <v>1</v>
      </c>
    </row>
    <row r="213" spans="1:18">
      <c r="A213" t="s">
        <v>235</v>
      </c>
      <c r="B213" t="s">
        <v>632</v>
      </c>
      <c r="C213" t="s">
        <v>633</v>
      </c>
      <c r="E213">
        <v>1572</v>
      </c>
      <c r="F213">
        <v>5</v>
      </c>
      <c r="G213">
        <v>0</v>
      </c>
      <c r="H213">
        <v>0</v>
      </c>
      <c r="J213" t="s">
        <v>22</v>
      </c>
      <c r="K213" t="b">
        <v>1</v>
      </c>
      <c r="L213">
        <f t="shared" si="3"/>
        <v>1572</v>
      </c>
      <c r="M213">
        <f t="shared" si="3"/>
        <v>5</v>
      </c>
      <c r="N213" t="b">
        <v>0</v>
      </c>
      <c r="O213">
        <v>1</v>
      </c>
      <c r="P213" t="s">
        <v>634</v>
      </c>
      <c r="Q213">
        <v>2</v>
      </c>
      <c r="R213" t="b">
        <v>1</v>
      </c>
    </row>
    <row r="214" spans="1:18">
      <c r="A214" t="s">
        <v>37</v>
      </c>
      <c r="B214" t="s">
        <v>635</v>
      </c>
      <c r="C214" t="s">
        <v>636</v>
      </c>
      <c r="E214">
        <v>1195</v>
      </c>
      <c r="F214">
        <v>21056</v>
      </c>
      <c r="G214">
        <v>377</v>
      </c>
      <c r="H214">
        <v>8284</v>
      </c>
      <c r="J214" t="s">
        <v>22</v>
      </c>
      <c r="K214" t="b">
        <v>1</v>
      </c>
      <c r="L214">
        <f t="shared" si="3"/>
        <v>1572</v>
      </c>
      <c r="M214">
        <f t="shared" si="3"/>
        <v>29340</v>
      </c>
      <c r="N214" t="b">
        <v>0</v>
      </c>
      <c r="O214">
        <v>1</v>
      </c>
      <c r="P214" t="s">
        <v>637</v>
      </c>
      <c r="Q214">
        <v>2</v>
      </c>
      <c r="R214" t="b">
        <v>1</v>
      </c>
    </row>
    <row r="215" spans="1:18" hidden="1">
      <c r="A215" t="s">
        <v>533</v>
      </c>
      <c r="B215" t="s">
        <v>638</v>
      </c>
      <c r="C215" s="8" t="s">
        <v>639</v>
      </c>
      <c r="D215" t="s">
        <v>93</v>
      </c>
      <c r="E215">
        <v>1264</v>
      </c>
      <c r="F215">
        <v>11211</v>
      </c>
      <c r="G215">
        <v>300</v>
      </c>
      <c r="H215">
        <v>5080</v>
      </c>
      <c r="J215" t="s">
        <v>93</v>
      </c>
      <c r="K215" t="b">
        <v>0</v>
      </c>
      <c r="L215">
        <f t="shared" si="3"/>
        <v>1564</v>
      </c>
      <c r="M215">
        <f t="shared" si="3"/>
        <v>16291</v>
      </c>
      <c r="N215" t="b">
        <v>0</v>
      </c>
      <c r="O215">
        <v>0</v>
      </c>
      <c r="Q215">
        <v>0</v>
      </c>
      <c r="R215" t="b">
        <v>0</v>
      </c>
    </row>
    <row r="216" spans="1:18">
      <c r="A216" t="s">
        <v>192</v>
      </c>
      <c r="B216" t="s">
        <v>640</v>
      </c>
      <c r="C216" t="s">
        <v>641</v>
      </c>
      <c r="E216">
        <v>1264</v>
      </c>
      <c r="F216">
        <v>11211</v>
      </c>
      <c r="G216">
        <v>299</v>
      </c>
      <c r="H216">
        <v>5079</v>
      </c>
      <c r="J216" t="s">
        <v>22</v>
      </c>
      <c r="K216" t="b">
        <v>1</v>
      </c>
      <c r="L216">
        <f t="shared" si="3"/>
        <v>1563</v>
      </c>
      <c r="M216">
        <f t="shared" si="3"/>
        <v>16290</v>
      </c>
      <c r="N216" t="b">
        <v>0</v>
      </c>
      <c r="O216">
        <v>0</v>
      </c>
      <c r="Q216">
        <v>0</v>
      </c>
      <c r="R216" t="b">
        <v>0</v>
      </c>
    </row>
    <row r="217" spans="1:18" hidden="1">
      <c r="A217" t="s">
        <v>87</v>
      </c>
      <c r="B217" t="s">
        <v>642</v>
      </c>
      <c r="C217" t="s">
        <v>643</v>
      </c>
      <c r="D217" t="s">
        <v>595</v>
      </c>
      <c r="E217">
        <v>1163</v>
      </c>
      <c r="F217">
        <v>19443</v>
      </c>
      <c r="G217">
        <v>392</v>
      </c>
      <c r="H217">
        <v>8885</v>
      </c>
      <c r="I217" t="s">
        <v>628</v>
      </c>
      <c r="J217" t="s">
        <v>93</v>
      </c>
      <c r="K217" t="b">
        <v>1</v>
      </c>
      <c r="L217">
        <f t="shared" si="3"/>
        <v>1555</v>
      </c>
      <c r="M217">
        <f t="shared" si="3"/>
        <v>28328</v>
      </c>
      <c r="N217" t="b">
        <v>0</v>
      </c>
      <c r="O217">
        <v>0</v>
      </c>
      <c r="Q217">
        <v>0</v>
      </c>
      <c r="R217" t="b">
        <v>0</v>
      </c>
    </row>
    <row r="218" spans="1:18">
      <c r="A218" t="s">
        <v>37</v>
      </c>
      <c r="B218" t="s">
        <v>644</v>
      </c>
      <c r="C218" t="s">
        <v>645</v>
      </c>
      <c r="E218">
        <v>1074</v>
      </c>
      <c r="F218">
        <v>12577</v>
      </c>
      <c r="G218">
        <v>458</v>
      </c>
      <c r="H218">
        <v>6570</v>
      </c>
      <c r="J218" t="s">
        <v>22</v>
      </c>
      <c r="K218" t="b">
        <v>1</v>
      </c>
      <c r="L218">
        <f t="shared" si="3"/>
        <v>1532</v>
      </c>
      <c r="M218">
        <f t="shared" si="3"/>
        <v>19147</v>
      </c>
      <c r="N218" t="b">
        <v>0</v>
      </c>
      <c r="O218">
        <v>1</v>
      </c>
      <c r="P218" t="s">
        <v>646</v>
      </c>
      <c r="Q218">
        <v>2</v>
      </c>
      <c r="R218" t="b">
        <v>1</v>
      </c>
    </row>
    <row r="219" spans="1:18" hidden="1">
      <c r="A219" t="s">
        <v>133</v>
      </c>
      <c r="B219" t="s">
        <v>647</v>
      </c>
      <c r="C219" t="s">
        <v>648</v>
      </c>
      <c r="D219" s="7" t="s">
        <v>649</v>
      </c>
      <c r="E219">
        <v>1432</v>
      </c>
      <c r="F219">
        <v>4013</v>
      </c>
      <c r="G219">
        <v>97</v>
      </c>
      <c r="H219">
        <v>2356</v>
      </c>
      <c r="J219" t="s">
        <v>93</v>
      </c>
      <c r="K219" t="b">
        <v>1</v>
      </c>
      <c r="L219">
        <f t="shared" si="3"/>
        <v>1529</v>
      </c>
      <c r="M219">
        <f t="shared" si="3"/>
        <v>6369</v>
      </c>
      <c r="N219" t="b">
        <v>0</v>
      </c>
      <c r="O219">
        <v>0</v>
      </c>
      <c r="Q219">
        <v>0</v>
      </c>
      <c r="R219" t="b">
        <v>0</v>
      </c>
    </row>
    <row r="220" spans="1:18" hidden="1">
      <c r="A220" t="s">
        <v>568</v>
      </c>
      <c r="B220" t="s">
        <v>650</v>
      </c>
      <c r="C220" t="s">
        <v>651</v>
      </c>
      <c r="D220" t="s">
        <v>435</v>
      </c>
      <c r="E220">
        <v>1512</v>
      </c>
      <c r="F220">
        <v>19391</v>
      </c>
      <c r="G220">
        <v>0</v>
      </c>
      <c r="H220">
        <v>0</v>
      </c>
      <c r="J220" t="s">
        <v>93</v>
      </c>
      <c r="K220" t="b">
        <v>0</v>
      </c>
      <c r="L220">
        <f t="shared" si="3"/>
        <v>1512</v>
      </c>
      <c r="M220">
        <f t="shared" si="3"/>
        <v>19391</v>
      </c>
      <c r="N220" t="b">
        <v>0</v>
      </c>
      <c r="O220">
        <v>0</v>
      </c>
      <c r="Q220">
        <v>0</v>
      </c>
      <c r="R220" t="b">
        <v>0</v>
      </c>
    </row>
    <row r="221" spans="1:18">
      <c r="A221" t="s">
        <v>352</v>
      </c>
      <c r="B221" t="s">
        <v>652</v>
      </c>
      <c r="C221" t="s">
        <v>653</v>
      </c>
      <c r="E221">
        <v>1110</v>
      </c>
      <c r="F221">
        <v>21564</v>
      </c>
      <c r="G221">
        <v>397</v>
      </c>
      <c r="H221">
        <v>4131</v>
      </c>
      <c r="J221" t="s">
        <v>22</v>
      </c>
      <c r="K221" t="b">
        <v>1</v>
      </c>
      <c r="L221">
        <f t="shared" si="3"/>
        <v>1507</v>
      </c>
      <c r="M221">
        <f t="shared" si="3"/>
        <v>25695</v>
      </c>
      <c r="N221" t="b">
        <v>0</v>
      </c>
      <c r="O221">
        <v>1</v>
      </c>
      <c r="P221" t="s">
        <v>654</v>
      </c>
      <c r="Q221">
        <v>1</v>
      </c>
      <c r="R221" t="b">
        <v>1</v>
      </c>
    </row>
    <row r="222" spans="1:18">
      <c r="A222" t="s">
        <v>438</v>
      </c>
      <c r="B222" t="s">
        <v>655</v>
      </c>
      <c r="C222" t="s">
        <v>656</v>
      </c>
      <c r="E222">
        <v>1503</v>
      </c>
      <c r="F222">
        <v>27430</v>
      </c>
      <c r="G222">
        <v>0</v>
      </c>
      <c r="H222">
        <v>0</v>
      </c>
      <c r="J222" t="s">
        <v>22</v>
      </c>
      <c r="K222" t="b">
        <v>1</v>
      </c>
      <c r="L222">
        <f t="shared" si="3"/>
        <v>1503</v>
      </c>
      <c r="M222">
        <f t="shared" si="3"/>
        <v>27430</v>
      </c>
      <c r="N222" t="b">
        <v>0</v>
      </c>
      <c r="O222">
        <v>0</v>
      </c>
      <c r="Q222">
        <v>0</v>
      </c>
      <c r="R222" t="b">
        <v>0</v>
      </c>
    </row>
    <row r="223" spans="1:18">
      <c r="A223" t="s">
        <v>372</v>
      </c>
      <c r="B223" t="s">
        <v>657</v>
      </c>
      <c r="C223" t="s">
        <v>658</v>
      </c>
      <c r="E223">
        <v>1151</v>
      </c>
      <c r="F223">
        <v>14429</v>
      </c>
      <c r="G223">
        <v>338</v>
      </c>
      <c r="H223">
        <v>4728</v>
      </c>
      <c r="J223" t="s">
        <v>22</v>
      </c>
      <c r="K223" t="b">
        <v>1</v>
      </c>
      <c r="L223">
        <f t="shared" si="3"/>
        <v>1489</v>
      </c>
      <c r="M223">
        <f t="shared" si="3"/>
        <v>19157</v>
      </c>
      <c r="N223" t="b">
        <v>0</v>
      </c>
      <c r="O223">
        <v>1</v>
      </c>
      <c r="P223" t="s">
        <v>659</v>
      </c>
      <c r="Q223">
        <v>2</v>
      </c>
      <c r="R223" t="b">
        <v>1</v>
      </c>
    </row>
    <row r="224" spans="1:18">
      <c r="A224" t="s">
        <v>24</v>
      </c>
      <c r="B224" t="s">
        <v>660</v>
      </c>
      <c r="C224" t="s">
        <v>661</v>
      </c>
      <c r="E224">
        <v>1071</v>
      </c>
      <c r="F224">
        <v>18812</v>
      </c>
      <c r="G224">
        <v>370</v>
      </c>
      <c r="H224">
        <v>4656</v>
      </c>
      <c r="J224" t="s">
        <v>22</v>
      </c>
      <c r="K224" t="b">
        <v>1</v>
      </c>
      <c r="L224">
        <f t="shared" si="3"/>
        <v>1441</v>
      </c>
      <c r="M224">
        <f t="shared" si="3"/>
        <v>23468</v>
      </c>
      <c r="N224" t="b">
        <v>0</v>
      </c>
      <c r="O224">
        <v>1</v>
      </c>
      <c r="P224" t="s">
        <v>662</v>
      </c>
      <c r="Q224">
        <v>2</v>
      </c>
      <c r="R224" t="b">
        <v>1</v>
      </c>
    </row>
    <row r="225" spans="1:18">
      <c r="A225" t="s">
        <v>87</v>
      </c>
      <c r="B225" t="s">
        <v>663</v>
      </c>
      <c r="C225" t="s">
        <v>664</v>
      </c>
      <c r="E225">
        <v>1053</v>
      </c>
      <c r="F225">
        <v>14657</v>
      </c>
      <c r="G225">
        <v>381</v>
      </c>
      <c r="H225">
        <v>6012</v>
      </c>
      <c r="J225" t="s">
        <v>22</v>
      </c>
      <c r="K225" t="b">
        <v>1</v>
      </c>
      <c r="L225">
        <f t="shared" si="3"/>
        <v>1434</v>
      </c>
      <c r="M225">
        <f t="shared" si="3"/>
        <v>20669</v>
      </c>
      <c r="N225" t="b">
        <v>0</v>
      </c>
      <c r="O225">
        <v>1</v>
      </c>
      <c r="P225" t="s">
        <v>665</v>
      </c>
      <c r="Q225">
        <v>2</v>
      </c>
      <c r="R225" t="b">
        <v>1</v>
      </c>
    </row>
    <row r="226" spans="1:18">
      <c r="A226" t="s">
        <v>87</v>
      </c>
      <c r="B226" t="s">
        <v>666</v>
      </c>
      <c r="C226" t="s">
        <v>667</v>
      </c>
      <c r="E226">
        <v>1041</v>
      </c>
      <c r="F226">
        <v>14786</v>
      </c>
      <c r="G226">
        <v>378</v>
      </c>
      <c r="H226">
        <v>5916</v>
      </c>
      <c r="J226" t="s">
        <v>22</v>
      </c>
      <c r="K226" t="b">
        <v>1</v>
      </c>
      <c r="L226">
        <f t="shared" si="3"/>
        <v>1419</v>
      </c>
      <c r="M226">
        <f t="shared" si="3"/>
        <v>20702</v>
      </c>
      <c r="N226" t="b">
        <v>0</v>
      </c>
      <c r="O226">
        <v>1</v>
      </c>
      <c r="P226" t="s">
        <v>668</v>
      </c>
      <c r="Q226">
        <v>2</v>
      </c>
      <c r="R226" t="b">
        <v>1</v>
      </c>
    </row>
    <row r="227" spans="1:18">
      <c r="A227" t="s">
        <v>498</v>
      </c>
      <c r="B227" t="s">
        <v>669</v>
      </c>
      <c r="C227" t="s">
        <v>670</v>
      </c>
      <c r="E227">
        <v>1120</v>
      </c>
      <c r="F227">
        <v>13350</v>
      </c>
      <c r="G227">
        <v>273</v>
      </c>
      <c r="H227">
        <v>2875</v>
      </c>
      <c r="J227" t="s">
        <v>22</v>
      </c>
      <c r="K227" t="b">
        <v>1</v>
      </c>
      <c r="L227">
        <f t="shared" si="3"/>
        <v>1393</v>
      </c>
      <c r="M227">
        <f t="shared" si="3"/>
        <v>16225</v>
      </c>
      <c r="N227" t="b">
        <v>0</v>
      </c>
      <c r="O227">
        <v>1</v>
      </c>
      <c r="P227" t="s">
        <v>671</v>
      </c>
      <c r="Q227">
        <v>2</v>
      </c>
      <c r="R227" t="b">
        <v>1</v>
      </c>
    </row>
    <row r="228" spans="1:18" hidden="1">
      <c r="A228" t="s">
        <v>672</v>
      </c>
      <c r="B228" t="s">
        <v>673</v>
      </c>
      <c r="C228" t="s">
        <v>674</v>
      </c>
      <c r="D228" t="s">
        <v>93</v>
      </c>
      <c r="E228">
        <v>866</v>
      </c>
      <c r="F228">
        <v>3216</v>
      </c>
      <c r="G228">
        <v>513</v>
      </c>
      <c r="H228">
        <v>1828</v>
      </c>
      <c r="I228" t="s">
        <v>675</v>
      </c>
      <c r="J228" t="s">
        <v>93</v>
      </c>
      <c r="K228" t="b">
        <v>0</v>
      </c>
      <c r="L228">
        <f t="shared" si="3"/>
        <v>1379</v>
      </c>
      <c r="M228">
        <f t="shared" si="3"/>
        <v>5044</v>
      </c>
      <c r="N228" t="b">
        <v>0</v>
      </c>
      <c r="O228">
        <v>0</v>
      </c>
      <c r="Q228">
        <v>0</v>
      </c>
      <c r="R228" t="b">
        <v>0</v>
      </c>
    </row>
    <row r="229" spans="1:18" hidden="1">
      <c r="A229" t="s">
        <v>672</v>
      </c>
      <c r="B229" t="s">
        <v>676</v>
      </c>
      <c r="C229" t="s">
        <v>677</v>
      </c>
      <c r="D229" t="s">
        <v>93</v>
      </c>
      <c r="E229">
        <v>854</v>
      </c>
      <c r="F229">
        <v>3194</v>
      </c>
      <c r="G229">
        <v>511</v>
      </c>
      <c r="H229">
        <v>1809</v>
      </c>
      <c r="I229" t="s">
        <v>675</v>
      </c>
      <c r="J229" t="s">
        <v>93</v>
      </c>
      <c r="K229" t="b">
        <v>0</v>
      </c>
      <c r="L229">
        <f t="shared" si="3"/>
        <v>1365</v>
      </c>
      <c r="M229">
        <f t="shared" si="3"/>
        <v>5003</v>
      </c>
      <c r="N229" t="b">
        <v>0</v>
      </c>
      <c r="O229">
        <v>0</v>
      </c>
      <c r="Q229">
        <v>0</v>
      </c>
      <c r="R229" t="b">
        <v>0</v>
      </c>
    </row>
    <row r="230" spans="1:18">
      <c r="A230" t="s">
        <v>678</v>
      </c>
      <c r="B230" t="s">
        <v>679</v>
      </c>
      <c r="C230" t="s">
        <v>680</v>
      </c>
      <c r="E230">
        <v>847</v>
      </c>
      <c r="F230">
        <v>3216</v>
      </c>
      <c r="G230">
        <v>505</v>
      </c>
      <c r="H230">
        <v>1821</v>
      </c>
      <c r="J230" t="s">
        <v>22</v>
      </c>
      <c r="K230" t="b">
        <v>1</v>
      </c>
      <c r="L230">
        <f t="shared" si="3"/>
        <v>1352</v>
      </c>
      <c r="M230">
        <f t="shared" si="3"/>
        <v>5037</v>
      </c>
      <c r="N230" t="b">
        <v>0</v>
      </c>
      <c r="O230">
        <v>1</v>
      </c>
      <c r="P230" t="s">
        <v>681</v>
      </c>
      <c r="Q230">
        <v>2</v>
      </c>
      <c r="R230" t="b">
        <v>1</v>
      </c>
    </row>
    <row r="231" spans="1:18">
      <c r="A231" t="s">
        <v>30</v>
      </c>
      <c r="B231" t="s">
        <v>682</v>
      </c>
      <c r="C231" t="s">
        <v>683</v>
      </c>
      <c r="E231">
        <v>875</v>
      </c>
      <c r="F231">
        <v>14835</v>
      </c>
      <c r="G231">
        <v>475</v>
      </c>
      <c r="H231">
        <v>7765</v>
      </c>
      <c r="J231" t="s">
        <v>22</v>
      </c>
      <c r="K231" t="b">
        <v>1</v>
      </c>
      <c r="L231">
        <f t="shared" si="3"/>
        <v>1350</v>
      </c>
      <c r="M231">
        <f t="shared" si="3"/>
        <v>22600</v>
      </c>
      <c r="N231" t="b">
        <v>0</v>
      </c>
      <c r="O231">
        <v>1</v>
      </c>
      <c r="P231" t="s">
        <v>684</v>
      </c>
      <c r="Q231">
        <v>2</v>
      </c>
      <c r="R231" t="b">
        <v>1</v>
      </c>
    </row>
    <row r="232" spans="1:18" hidden="1">
      <c r="A232" t="s">
        <v>37</v>
      </c>
      <c r="B232" t="s">
        <v>685</v>
      </c>
      <c r="C232" t="s">
        <v>686</v>
      </c>
      <c r="D232" t="s">
        <v>519</v>
      </c>
      <c r="E232">
        <v>1278</v>
      </c>
      <c r="F232">
        <v>223</v>
      </c>
      <c r="G232">
        <v>61</v>
      </c>
      <c r="H232">
        <v>757</v>
      </c>
      <c r="J232" t="s">
        <v>93</v>
      </c>
      <c r="K232" t="b">
        <v>1</v>
      </c>
      <c r="L232">
        <f t="shared" si="3"/>
        <v>1339</v>
      </c>
      <c r="M232">
        <v>1980</v>
      </c>
      <c r="N232" t="b">
        <v>0</v>
      </c>
      <c r="O232">
        <v>0</v>
      </c>
      <c r="Q232">
        <v>0</v>
      </c>
      <c r="R232" t="b">
        <v>0</v>
      </c>
    </row>
    <row r="233" spans="1:18">
      <c r="A233" t="s">
        <v>394</v>
      </c>
      <c r="B233" t="s">
        <v>687</v>
      </c>
      <c r="C233" t="s">
        <v>688</v>
      </c>
      <c r="E233">
        <v>946</v>
      </c>
      <c r="F233">
        <v>5738</v>
      </c>
      <c r="G233">
        <v>383</v>
      </c>
      <c r="H233">
        <v>4304</v>
      </c>
      <c r="J233" t="s">
        <v>22</v>
      </c>
      <c r="K233" t="b">
        <v>1</v>
      </c>
      <c r="L233">
        <f t="shared" si="3"/>
        <v>1329</v>
      </c>
      <c r="M233">
        <f t="shared" si="3"/>
        <v>10042</v>
      </c>
      <c r="N233" t="b">
        <v>0</v>
      </c>
      <c r="O233">
        <v>1</v>
      </c>
      <c r="P233" t="s">
        <v>689</v>
      </c>
      <c r="Q233">
        <v>2</v>
      </c>
      <c r="R233" t="b">
        <v>1</v>
      </c>
    </row>
    <row r="234" spans="1:18" hidden="1">
      <c r="A234" t="s">
        <v>690</v>
      </c>
      <c r="B234" t="s">
        <v>691</v>
      </c>
      <c r="C234" t="s">
        <v>692</v>
      </c>
      <c r="D234" t="s">
        <v>435</v>
      </c>
      <c r="E234">
        <v>1327</v>
      </c>
      <c r="F234">
        <v>14300</v>
      </c>
      <c r="G234">
        <v>0</v>
      </c>
      <c r="H234">
        <v>0</v>
      </c>
      <c r="J234" t="s">
        <v>93</v>
      </c>
      <c r="K234" t="b">
        <v>0</v>
      </c>
      <c r="L234">
        <f t="shared" si="3"/>
        <v>1327</v>
      </c>
      <c r="M234">
        <f t="shared" si="3"/>
        <v>14300</v>
      </c>
      <c r="N234" t="b">
        <v>0</v>
      </c>
      <c r="O234">
        <v>0</v>
      </c>
      <c r="Q234">
        <v>0</v>
      </c>
      <c r="R234" t="b">
        <v>0</v>
      </c>
    </row>
    <row r="235" spans="1:18" hidden="1">
      <c r="A235" t="s">
        <v>87</v>
      </c>
      <c r="B235" t="s">
        <v>693</v>
      </c>
      <c r="C235" t="s">
        <v>694</v>
      </c>
      <c r="D235" t="s">
        <v>595</v>
      </c>
      <c r="E235">
        <v>984</v>
      </c>
      <c r="F235">
        <v>16207</v>
      </c>
      <c r="G235">
        <v>340</v>
      </c>
      <c r="H235">
        <v>6676</v>
      </c>
      <c r="I235" t="s">
        <v>628</v>
      </c>
      <c r="J235" t="s">
        <v>93</v>
      </c>
      <c r="K235" t="b">
        <v>1</v>
      </c>
      <c r="L235">
        <f t="shared" si="3"/>
        <v>1324</v>
      </c>
      <c r="M235">
        <f t="shared" si="3"/>
        <v>22883</v>
      </c>
      <c r="N235" t="b">
        <v>0</v>
      </c>
      <c r="O235">
        <v>0</v>
      </c>
      <c r="Q235">
        <v>0</v>
      </c>
      <c r="R235" t="b">
        <v>0</v>
      </c>
    </row>
    <row r="236" spans="1:18" hidden="1">
      <c r="A236" t="s">
        <v>37</v>
      </c>
      <c r="B236" t="s">
        <v>695</v>
      </c>
      <c r="C236" t="s">
        <v>696</v>
      </c>
      <c r="D236" t="s">
        <v>519</v>
      </c>
      <c r="E236">
        <v>1270</v>
      </c>
      <c r="F236">
        <v>176</v>
      </c>
      <c r="G236">
        <v>50</v>
      </c>
      <c r="H236">
        <v>675</v>
      </c>
      <c r="J236" t="s">
        <v>93</v>
      </c>
      <c r="K236" t="b">
        <v>1</v>
      </c>
      <c r="L236">
        <f t="shared" si="3"/>
        <v>1320</v>
      </c>
      <c r="M236">
        <v>1851</v>
      </c>
      <c r="N236" t="b">
        <v>0</v>
      </c>
      <c r="O236">
        <v>0</v>
      </c>
      <c r="Q236">
        <v>0</v>
      </c>
      <c r="R236" t="b">
        <v>0</v>
      </c>
    </row>
    <row r="237" spans="1:18" hidden="1">
      <c r="A237" t="s">
        <v>361</v>
      </c>
      <c r="B237" t="s">
        <v>697</v>
      </c>
      <c r="C237" t="s">
        <v>698</v>
      </c>
      <c r="D237" t="s">
        <v>519</v>
      </c>
      <c r="E237">
        <v>958</v>
      </c>
      <c r="F237">
        <v>15311</v>
      </c>
      <c r="G237">
        <v>347</v>
      </c>
      <c r="H237">
        <v>4317</v>
      </c>
      <c r="I237" t="s">
        <v>699</v>
      </c>
      <c r="J237" t="s">
        <v>93</v>
      </c>
      <c r="K237" t="b">
        <v>0</v>
      </c>
      <c r="L237">
        <f t="shared" si="3"/>
        <v>1305</v>
      </c>
      <c r="M237">
        <f t="shared" si="3"/>
        <v>19628</v>
      </c>
      <c r="N237" t="b">
        <v>0</v>
      </c>
      <c r="O237">
        <v>0</v>
      </c>
      <c r="Q237">
        <v>0</v>
      </c>
      <c r="R237" t="b">
        <v>0</v>
      </c>
    </row>
    <row r="238" spans="1:18">
      <c r="A238" t="s">
        <v>248</v>
      </c>
      <c r="B238" t="s">
        <v>700</v>
      </c>
      <c r="C238" t="s">
        <v>701</v>
      </c>
      <c r="E238">
        <v>954</v>
      </c>
      <c r="F238">
        <v>19440</v>
      </c>
      <c r="G238">
        <v>351</v>
      </c>
      <c r="H238">
        <v>5486</v>
      </c>
      <c r="J238" t="s">
        <v>22</v>
      </c>
      <c r="K238" t="b">
        <v>1</v>
      </c>
      <c r="L238">
        <f t="shared" si="3"/>
        <v>1305</v>
      </c>
      <c r="M238">
        <f t="shared" si="3"/>
        <v>24926</v>
      </c>
      <c r="N238" t="b">
        <v>0</v>
      </c>
      <c r="O238">
        <v>1</v>
      </c>
      <c r="P238" t="s">
        <v>702</v>
      </c>
      <c r="Q238">
        <v>2</v>
      </c>
      <c r="R238" t="b">
        <v>1</v>
      </c>
    </row>
    <row r="239" spans="1:18">
      <c r="A239" t="s">
        <v>19</v>
      </c>
      <c r="B239" t="s">
        <v>703</v>
      </c>
      <c r="C239" t="s">
        <v>704</v>
      </c>
      <c r="E239">
        <v>958</v>
      </c>
      <c r="F239">
        <v>15311</v>
      </c>
      <c r="G239">
        <v>345</v>
      </c>
      <c r="H239">
        <v>4315</v>
      </c>
      <c r="J239" t="s">
        <v>22</v>
      </c>
      <c r="K239" t="b">
        <v>1</v>
      </c>
      <c r="L239">
        <f t="shared" si="3"/>
        <v>1303</v>
      </c>
      <c r="M239">
        <f t="shared" si="3"/>
        <v>19626</v>
      </c>
      <c r="N239" t="b">
        <v>0</v>
      </c>
      <c r="O239">
        <v>1</v>
      </c>
      <c r="P239" t="s">
        <v>705</v>
      </c>
      <c r="Q239">
        <v>2</v>
      </c>
      <c r="R239" t="b">
        <v>1</v>
      </c>
    </row>
    <row r="240" spans="1:18" hidden="1">
      <c r="A240" t="s">
        <v>706</v>
      </c>
      <c r="B240" t="s">
        <v>707</v>
      </c>
      <c r="C240" s="8" t="s">
        <v>708</v>
      </c>
      <c r="D240" t="s">
        <v>93</v>
      </c>
      <c r="E240">
        <v>836</v>
      </c>
      <c r="F240">
        <v>2571</v>
      </c>
      <c r="G240">
        <v>464</v>
      </c>
      <c r="H240">
        <v>1181</v>
      </c>
      <c r="J240" t="s">
        <v>93</v>
      </c>
      <c r="K240" t="b">
        <v>0</v>
      </c>
      <c r="L240">
        <f t="shared" si="3"/>
        <v>1300</v>
      </c>
      <c r="M240">
        <f t="shared" si="3"/>
        <v>3752</v>
      </c>
      <c r="N240" t="b">
        <v>0</v>
      </c>
      <c r="O240">
        <v>0</v>
      </c>
      <c r="Q240">
        <v>0</v>
      </c>
      <c r="R240" t="b">
        <v>0</v>
      </c>
    </row>
    <row r="241" spans="1:18" hidden="1">
      <c r="A241" t="s">
        <v>706</v>
      </c>
      <c r="B241" t="s">
        <v>709</v>
      </c>
      <c r="C241" s="8" t="s">
        <v>710</v>
      </c>
      <c r="D241" t="s">
        <v>93</v>
      </c>
      <c r="E241">
        <v>836</v>
      </c>
      <c r="F241">
        <v>2571</v>
      </c>
      <c r="G241">
        <v>464</v>
      </c>
      <c r="H241">
        <v>1181</v>
      </c>
      <c r="I241" t="s">
        <v>711</v>
      </c>
      <c r="J241" t="s">
        <v>93</v>
      </c>
      <c r="K241" t="b">
        <v>0</v>
      </c>
      <c r="L241">
        <f t="shared" si="3"/>
        <v>1300</v>
      </c>
      <c r="M241">
        <f t="shared" si="3"/>
        <v>3752</v>
      </c>
      <c r="N241" t="b">
        <v>0</v>
      </c>
      <c r="O241">
        <v>0</v>
      </c>
      <c r="Q241">
        <v>0</v>
      </c>
      <c r="R241" t="b">
        <v>0</v>
      </c>
    </row>
    <row r="242" spans="1:18">
      <c r="A242" t="s">
        <v>498</v>
      </c>
      <c r="B242" t="s">
        <v>712</v>
      </c>
      <c r="C242" t="s">
        <v>713</v>
      </c>
      <c r="E242">
        <v>1061</v>
      </c>
      <c r="F242">
        <v>7987</v>
      </c>
      <c r="G242">
        <v>227</v>
      </c>
      <c r="H242">
        <v>2777</v>
      </c>
      <c r="J242" t="s">
        <v>22</v>
      </c>
      <c r="K242" t="b">
        <v>1</v>
      </c>
      <c r="L242">
        <f t="shared" si="3"/>
        <v>1288</v>
      </c>
      <c r="M242">
        <f t="shared" si="3"/>
        <v>10764</v>
      </c>
      <c r="N242" t="b">
        <v>0</v>
      </c>
      <c r="O242">
        <v>1</v>
      </c>
      <c r="P242" t="s">
        <v>714</v>
      </c>
      <c r="Q242">
        <v>2</v>
      </c>
      <c r="R242" t="b">
        <v>1</v>
      </c>
    </row>
    <row r="243" spans="1:18">
      <c r="A243" t="s">
        <v>43</v>
      </c>
      <c r="B243" t="s">
        <v>715</v>
      </c>
      <c r="C243" t="s">
        <v>716</v>
      </c>
      <c r="E243">
        <v>839</v>
      </c>
      <c r="F243">
        <v>3731</v>
      </c>
      <c r="G243">
        <v>449</v>
      </c>
      <c r="H243">
        <v>2211</v>
      </c>
      <c r="J243" t="s">
        <v>22</v>
      </c>
      <c r="K243" t="b">
        <v>1</v>
      </c>
      <c r="L243">
        <f t="shared" si="3"/>
        <v>1288</v>
      </c>
      <c r="M243">
        <f t="shared" si="3"/>
        <v>5942</v>
      </c>
      <c r="N243" t="b">
        <v>0</v>
      </c>
      <c r="O243">
        <v>1</v>
      </c>
      <c r="P243" t="s">
        <v>201</v>
      </c>
      <c r="Q243">
        <v>2</v>
      </c>
      <c r="R243" t="b">
        <v>1</v>
      </c>
    </row>
    <row r="244" spans="1:18">
      <c r="A244" t="s">
        <v>248</v>
      </c>
      <c r="B244" t="s">
        <v>717</v>
      </c>
      <c r="C244" t="s">
        <v>718</v>
      </c>
      <c r="E244">
        <v>893</v>
      </c>
      <c r="F244">
        <v>20782</v>
      </c>
      <c r="G244">
        <v>391</v>
      </c>
      <c r="H244">
        <v>6633</v>
      </c>
      <c r="J244" t="s">
        <v>22</v>
      </c>
      <c r="K244" t="b">
        <v>1</v>
      </c>
      <c r="L244">
        <f t="shared" si="3"/>
        <v>1284</v>
      </c>
      <c r="M244">
        <f t="shared" si="3"/>
        <v>27415</v>
      </c>
      <c r="N244" t="b">
        <v>0</v>
      </c>
      <c r="O244">
        <v>1</v>
      </c>
      <c r="P244" t="s">
        <v>719</v>
      </c>
      <c r="Q244">
        <v>2</v>
      </c>
      <c r="R244" t="b">
        <v>1</v>
      </c>
    </row>
    <row r="245" spans="1:18" hidden="1">
      <c r="A245" t="s">
        <v>672</v>
      </c>
      <c r="B245" t="s">
        <v>720</v>
      </c>
      <c r="C245" s="8" t="s">
        <v>721</v>
      </c>
      <c r="D245" t="s">
        <v>93</v>
      </c>
      <c r="E245">
        <v>774</v>
      </c>
      <c r="F245">
        <v>3216</v>
      </c>
      <c r="G245">
        <v>492</v>
      </c>
      <c r="H245">
        <v>1803</v>
      </c>
      <c r="I245" t="s">
        <v>675</v>
      </c>
      <c r="J245" t="s">
        <v>93</v>
      </c>
      <c r="K245" t="b">
        <v>0</v>
      </c>
      <c r="L245">
        <f t="shared" si="3"/>
        <v>1266</v>
      </c>
      <c r="M245">
        <f t="shared" si="3"/>
        <v>5019</v>
      </c>
      <c r="N245" t="b">
        <v>0</v>
      </c>
      <c r="O245">
        <v>0</v>
      </c>
      <c r="Q245">
        <v>0</v>
      </c>
      <c r="R245" t="b">
        <v>0</v>
      </c>
    </row>
    <row r="246" spans="1:18">
      <c r="A246" t="s">
        <v>678</v>
      </c>
      <c r="B246" t="s">
        <v>722</v>
      </c>
      <c r="C246" t="s">
        <v>723</v>
      </c>
      <c r="E246">
        <v>774</v>
      </c>
      <c r="F246">
        <v>3216</v>
      </c>
      <c r="G246">
        <v>492</v>
      </c>
      <c r="H246">
        <v>1803</v>
      </c>
      <c r="J246" t="s">
        <v>22</v>
      </c>
      <c r="K246" t="b">
        <v>1</v>
      </c>
      <c r="L246">
        <f t="shared" si="3"/>
        <v>1266</v>
      </c>
      <c r="M246">
        <f t="shared" si="3"/>
        <v>5019</v>
      </c>
      <c r="N246" t="b">
        <v>0</v>
      </c>
      <c r="O246">
        <v>1</v>
      </c>
      <c r="P246" t="s">
        <v>724</v>
      </c>
      <c r="Q246">
        <v>2</v>
      </c>
      <c r="R246" t="b">
        <v>1</v>
      </c>
    </row>
    <row r="247" spans="1:18">
      <c r="A247" t="s">
        <v>678</v>
      </c>
      <c r="B247" t="s">
        <v>725</v>
      </c>
      <c r="C247" t="s">
        <v>726</v>
      </c>
      <c r="E247">
        <v>774</v>
      </c>
      <c r="F247">
        <v>3216</v>
      </c>
      <c r="G247">
        <v>492</v>
      </c>
      <c r="H247">
        <v>1803</v>
      </c>
      <c r="J247" t="s">
        <v>22</v>
      </c>
      <c r="K247" t="b">
        <v>1</v>
      </c>
      <c r="L247">
        <f t="shared" si="3"/>
        <v>1266</v>
      </c>
      <c r="M247">
        <f t="shared" si="3"/>
        <v>5019</v>
      </c>
      <c r="N247" t="b">
        <v>0</v>
      </c>
      <c r="O247">
        <v>1</v>
      </c>
      <c r="P247" t="s">
        <v>727</v>
      </c>
      <c r="Q247">
        <v>2</v>
      </c>
      <c r="R247" t="b">
        <v>1</v>
      </c>
    </row>
    <row r="248" spans="1:18" hidden="1">
      <c r="A248" t="s">
        <v>706</v>
      </c>
      <c r="B248" t="s">
        <v>728</v>
      </c>
      <c r="C248" t="s">
        <v>729</v>
      </c>
      <c r="D248" t="s">
        <v>93</v>
      </c>
      <c r="E248">
        <v>784</v>
      </c>
      <c r="F248">
        <v>2451</v>
      </c>
      <c r="G248">
        <v>438</v>
      </c>
      <c r="H248">
        <v>1099</v>
      </c>
      <c r="I248" t="s">
        <v>711</v>
      </c>
      <c r="J248" t="s">
        <v>93</v>
      </c>
      <c r="K248" t="b">
        <v>0</v>
      </c>
      <c r="L248">
        <f t="shared" si="3"/>
        <v>1222</v>
      </c>
      <c r="M248">
        <f t="shared" si="3"/>
        <v>3550</v>
      </c>
      <c r="N248" t="b">
        <v>0</v>
      </c>
      <c r="O248">
        <v>0</v>
      </c>
      <c r="Q248">
        <v>0</v>
      </c>
      <c r="R248" t="b">
        <v>0</v>
      </c>
    </row>
    <row r="249" spans="1:18">
      <c r="A249" t="s">
        <v>24</v>
      </c>
      <c r="B249" t="s">
        <v>730</v>
      </c>
      <c r="C249" t="s">
        <v>731</v>
      </c>
      <c r="E249">
        <v>879</v>
      </c>
      <c r="F249">
        <v>6567</v>
      </c>
      <c r="G249">
        <v>282</v>
      </c>
      <c r="H249">
        <v>1965</v>
      </c>
      <c r="J249" t="s">
        <v>22</v>
      </c>
      <c r="K249" t="b">
        <v>1</v>
      </c>
      <c r="L249">
        <f t="shared" si="3"/>
        <v>1161</v>
      </c>
      <c r="M249">
        <f t="shared" si="3"/>
        <v>8532</v>
      </c>
      <c r="N249" t="b">
        <v>0</v>
      </c>
      <c r="O249">
        <v>1</v>
      </c>
      <c r="P249" t="s">
        <v>732</v>
      </c>
      <c r="Q249">
        <v>2</v>
      </c>
      <c r="R249" t="b">
        <v>1</v>
      </c>
    </row>
    <row r="250" spans="1:18">
      <c r="A250" t="s">
        <v>24</v>
      </c>
      <c r="B250" t="s">
        <v>733</v>
      </c>
      <c r="C250" t="s">
        <v>734</v>
      </c>
      <c r="E250">
        <v>878</v>
      </c>
      <c r="F250">
        <v>12796</v>
      </c>
      <c r="G250">
        <v>262</v>
      </c>
      <c r="H250">
        <v>2987</v>
      </c>
      <c r="J250" t="s">
        <v>22</v>
      </c>
      <c r="K250" t="b">
        <v>1</v>
      </c>
      <c r="L250">
        <f t="shared" si="3"/>
        <v>1140</v>
      </c>
      <c r="M250">
        <f t="shared" si="3"/>
        <v>15783</v>
      </c>
      <c r="N250" t="b">
        <v>0</v>
      </c>
      <c r="O250">
        <v>1</v>
      </c>
      <c r="P250" t="s">
        <v>735</v>
      </c>
      <c r="Q250">
        <v>2</v>
      </c>
      <c r="R250" t="b">
        <v>1</v>
      </c>
    </row>
    <row r="251" spans="1:18" hidden="1">
      <c r="A251" t="s">
        <v>672</v>
      </c>
      <c r="B251" t="s">
        <v>736</v>
      </c>
      <c r="C251" s="8" t="s">
        <v>737</v>
      </c>
      <c r="D251" t="s">
        <v>93</v>
      </c>
      <c r="E251">
        <v>704</v>
      </c>
      <c r="F251">
        <v>2768</v>
      </c>
      <c r="G251">
        <v>425</v>
      </c>
      <c r="H251">
        <v>1492</v>
      </c>
      <c r="I251" t="s">
        <v>675</v>
      </c>
      <c r="J251" t="s">
        <v>93</v>
      </c>
      <c r="K251" t="b">
        <v>0</v>
      </c>
      <c r="L251">
        <f t="shared" si="3"/>
        <v>1129</v>
      </c>
      <c r="M251">
        <f t="shared" si="3"/>
        <v>4260</v>
      </c>
      <c r="N251" t="b">
        <v>0</v>
      </c>
      <c r="O251">
        <v>0</v>
      </c>
      <c r="Q251">
        <v>0</v>
      </c>
      <c r="R251" t="b">
        <v>0</v>
      </c>
    </row>
    <row r="252" spans="1:18">
      <c r="A252" t="s">
        <v>678</v>
      </c>
      <c r="B252" t="s">
        <v>738</v>
      </c>
      <c r="C252" t="s">
        <v>739</v>
      </c>
      <c r="E252">
        <v>704</v>
      </c>
      <c r="F252">
        <v>2768</v>
      </c>
      <c r="G252">
        <v>425</v>
      </c>
      <c r="H252">
        <v>1492</v>
      </c>
      <c r="J252" t="s">
        <v>22</v>
      </c>
      <c r="K252" t="b">
        <v>1</v>
      </c>
      <c r="L252">
        <f t="shared" si="3"/>
        <v>1129</v>
      </c>
      <c r="M252">
        <f t="shared" si="3"/>
        <v>4260</v>
      </c>
      <c r="N252" t="b">
        <v>0</v>
      </c>
      <c r="O252">
        <v>1</v>
      </c>
      <c r="P252" t="s">
        <v>740</v>
      </c>
      <c r="Q252">
        <v>2</v>
      </c>
      <c r="R252" t="b">
        <v>1</v>
      </c>
    </row>
    <row r="253" spans="1:18">
      <c r="A253" t="s">
        <v>160</v>
      </c>
      <c r="B253" t="s">
        <v>741</v>
      </c>
      <c r="C253" t="s">
        <v>742</v>
      </c>
      <c r="E253">
        <v>826</v>
      </c>
      <c r="F253">
        <v>6368</v>
      </c>
      <c r="G253">
        <v>291</v>
      </c>
      <c r="H253">
        <v>1403</v>
      </c>
      <c r="J253" t="s">
        <v>22</v>
      </c>
      <c r="K253" t="b">
        <v>1</v>
      </c>
      <c r="L253">
        <f t="shared" si="3"/>
        <v>1117</v>
      </c>
      <c r="M253">
        <f t="shared" si="3"/>
        <v>7771</v>
      </c>
      <c r="N253" t="b">
        <v>0</v>
      </c>
      <c r="O253">
        <v>1</v>
      </c>
      <c r="P253" t="s">
        <v>743</v>
      </c>
      <c r="Q253">
        <v>2</v>
      </c>
      <c r="R253" t="b">
        <v>1</v>
      </c>
    </row>
    <row r="254" spans="1:18">
      <c r="A254" t="s">
        <v>176</v>
      </c>
      <c r="B254" t="s">
        <v>744</v>
      </c>
      <c r="C254" t="s">
        <v>745</v>
      </c>
      <c r="E254">
        <v>826</v>
      </c>
      <c r="F254">
        <v>6368</v>
      </c>
      <c r="G254">
        <v>291</v>
      </c>
      <c r="H254">
        <v>1403</v>
      </c>
      <c r="J254" t="s">
        <v>22</v>
      </c>
      <c r="K254" t="b">
        <v>1</v>
      </c>
      <c r="L254">
        <f t="shared" si="3"/>
        <v>1117</v>
      </c>
      <c r="M254">
        <f t="shared" si="3"/>
        <v>7771</v>
      </c>
      <c r="N254" t="b">
        <v>0</v>
      </c>
      <c r="O254">
        <v>1</v>
      </c>
      <c r="P254" t="s">
        <v>746</v>
      </c>
      <c r="Q254">
        <v>2</v>
      </c>
      <c r="R254" t="b">
        <v>1</v>
      </c>
    </row>
    <row r="255" spans="1:18">
      <c r="A255" t="s">
        <v>352</v>
      </c>
      <c r="B255" t="s">
        <v>747</v>
      </c>
      <c r="C255" t="s">
        <v>748</v>
      </c>
      <c r="E255">
        <v>851</v>
      </c>
      <c r="F255">
        <v>11910</v>
      </c>
      <c r="G255">
        <v>262</v>
      </c>
      <c r="H255">
        <v>2669</v>
      </c>
      <c r="J255" t="s">
        <v>22</v>
      </c>
      <c r="K255" t="b">
        <v>1</v>
      </c>
      <c r="L255">
        <f t="shared" si="3"/>
        <v>1113</v>
      </c>
      <c r="M255">
        <f t="shared" si="3"/>
        <v>14579</v>
      </c>
      <c r="N255" t="b">
        <v>0</v>
      </c>
      <c r="O255">
        <v>1</v>
      </c>
      <c r="P255" t="s">
        <v>749</v>
      </c>
      <c r="Q255">
        <v>1</v>
      </c>
      <c r="R255" t="b">
        <v>1</v>
      </c>
    </row>
    <row r="256" spans="1:18">
      <c r="A256" t="s">
        <v>573</v>
      </c>
      <c r="B256" t="s">
        <v>750</v>
      </c>
      <c r="C256" t="s">
        <v>751</v>
      </c>
      <c r="E256">
        <v>866</v>
      </c>
      <c r="F256">
        <v>20902</v>
      </c>
      <c r="G256">
        <v>240</v>
      </c>
      <c r="H256">
        <v>3240</v>
      </c>
      <c r="J256" t="s">
        <v>22</v>
      </c>
      <c r="K256" t="b">
        <v>1</v>
      </c>
      <c r="L256">
        <f t="shared" si="3"/>
        <v>1106</v>
      </c>
      <c r="M256">
        <f t="shared" si="3"/>
        <v>24142</v>
      </c>
      <c r="N256" t="b">
        <v>0</v>
      </c>
      <c r="O256">
        <v>1</v>
      </c>
      <c r="P256" t="s">
        <v>752</v>
      </c>
      <c r="Q256">
        <v>2</v>
      </c>
      <c r="R256" t="b">
        <v>1</v>
      </c>
    </row>
    <row r="257" spans="1:18">
      <c r="A257" t="s">
        <v>678</v>
      </c>
      <c r="B257" t="s">
        <v>753</v>
      </c>
      <c r="C257" t="s">
        <v>754</v>
      </c>
      <c r="E257">
        <v>680</v>
      </c>
      <c r="F257">
        <v>2869</v>
      </c>
      <c r="G257">
        <v>422</v>
      </c>
      <c r="H257">
        <v>1639</v>
      </c>
      <c r="J257" t="s">
        <v>22</v>
      </c>
      <c r="K257" t="b">
        <v>1</v>
      </c>
      <c r="L257">
        <f t="shared" si="3"/>
        <v>1102</v>
      </c>
      <c r="M257">
        <f t="shared" si="3"/>
        <v>4508</v>
      </c>
      <c r="N257" t="b">
        <v>0</v>
      </c>
      <c r="O257">
        <v>1</v>
      </c>
      <c r="P257" t="s">
        <v>755</v>
      </c>
      <c r="Q257">
        <v>2</v>
      </c>
      <c r="R257" t="b">
        <v>1</v>
      </c>
    </row>
    <row r="258" spans="1:18">
      <c r="A258" t="s">
        <v>678</v>
      </c>
      <c r="B258" t="s">
        <v>756</v>
      </c>
      <c r="C258" t="s">
        <v>757</v>
      </c>
      <c r="E258">
        <v>680</v>
      </c>
      <c r="F258">
        <v>2869</v>
      </c>
      <c r="G258">
        <v>422</v>
      </c>
      <c r="H258">
        <v>1639</v>
      </c>
      <c r="J258" t="s">
        <v>22</v>
      </c>
      <c r="K258" t="b">
        <v>1</v>
      </c>
      <c r="L258">
        <f t="shared" si="3"/>
        <v>1102</v>
      </c>
      <c r="M258">
        <f t="shared" si="3"/>
        <v>4508</v>
      </c>
      <c r="N258" t="b">
        <v>0</v>
      </c>
      <c r="O258">
        <v>1</v>
      </c>
      <c r="P258" t="s">
        <v>758</v>
      </c>
      <c r="Q258">
        <v>2</v>
      </c>
      <c r="R258" t="b">
        <v>1</v>
      </c>
    </row>
    <row r="259" spans="1:18">
      <c r="A259" t="s">
        <v>678</v>
      </c>
      <c r="B259" t="s">
        <v>759</v>
      </c>
      <c r="C259" t="s">
        <v>760</v>
      </c>
      <c r="E259">
        <v>680</v>
      </c>
      <c r="F259">
        <v>2869</v>
      </c>
      <c r="G259">
        <v>422</v>
      </c>
      <c r="H259">
        <v>1639</v>
      </c>
      <c r="J259" t="s">
        <v>22</v>
      </c>
      <c r="K259" t="b">
        <v>1</v>
      </c>
      <c r="L259">
        <f t="shared" ref="L259:M322" si="4">E259+G259</f>
        <v>1102</v>
      </c>
      <c r="M259">
        <f t="shared" si="4"/>
        <v>4508</v>
      </c>
      <c r="N259" t="b">
        <v>0</v>
      </c>
      <c r="O259">
        <v>1</v>
      </c>
      <c r="P259" t="s">
        <v>761</v>
      </c>
      <c r="Q259">
        <v>2</v>
      </c>
      <c r="R259" t="b">
        <v>1</v>
      </c>
    </row>
    <row r="260" spans="1:18">
      <c r="A260" t="s">
        <v>678</v>
      </c>
      <c r="B260" t="s">
        <v>762</v>
      </c>
      <c r="C260" t="s">
        <v>763</v>
      </c>
      <c r="E260">
        <v>680</v>
      </c>
      <c r="F260">
        <v>2869</v>
      </c>
      <c r="G260">
        <v>422</v>
      </c>
      <c r="H260">
        <v>1639</v>
      </c>
      <c r="J260" t="s">
        <v>22</v>
      </c>
      <c r="K260" t="b">
        <v>1</v>
      </c>
      <c r="L260">
        <f t="shared" si="4"/>
        <v>1102</v>
      </c>
      <c r="M260">
        <f t="shared" si="4"/>
        <v>4508</v>
      </c>
      <c r="N260" t="b">
        <v>0</v>
      </c>
      <c r="O260">
        <v>1</v>
      </c>
      <c r="P260" t="s">
        <v>764</v>
      </c>
      <c r="Q260">
        <v>2</v>
      </c>
      <c r="R260" t="b">
        <v>1</v>
      </c>
    </row>
    <row r="261" spans="1:18">
      <c r="A261" t="s">
        <v>24</v>
      </c>
      <c r="B261" t="s">
        <v>765</v>
      </c>
      <c r="C261" t="s">
        <v>766</v>
      </c>
      <c r="E261">
        <v>863</v>
      </c>
      <c r="F261">
        <v>20902</v>
      </c>
      <c r="G261">
        <v>232</v>
      </c>
      <c r="H261">
        <v>3231</v>
      </c>
      <c r="J261" t="s">
        <v>22</v>
      </c>
      <c r="K261" t="b">
        <v>1</v>
      </c>
      <c r="L261">
        <f t="shared" si="4"/>
        <v>1095</v>
      </c>
      <c r="M261">
        <f t="shared" si="4"/>
        <v>24133</v>
      </c>
      <c r="N261" t="b">
        <v>0</v>
      </c>
      <c r="O261">
        <v>1</v>
      </c>
      <c r="P261" t="s">
        <v>767</v>
      </c>
      <c r="Q261">
        <v>2</v>
      </c>
      <c r="R261" t="b">
        <v>1</v>
      </c>
    </row>
    <row r="262" spans="1:18" hidden="1">
      <c r="A262" t="s">
        <v>768</v>
      </c>
      <c r="B262" t="s">
        <v>769</v>
      </c>
      <c r="C262" t="s">
        <v>770</v>
      </c>
      <c r="D262" t="s">
        <v>519</v>
      </c>
      <c r="E262">
        <v>833</v>
      </c>
      <c r="F262">
        <v>15530</v>
      </c>
      <c r="G262">
        <v>256</v>
      </c>
      <c r="H262">
        <v>3473</v>
      </c>
      <c r="I262" t="s">
        <v>771</v>
      </c>
      <c r="J262" t="s">
        <v>93</v>
      </c>
      <c r="K262" t="b">
        <v>0</v>
      </c>
      <c r="L262">
        <f t="shared" si="4"/>
        <v>1089</v>
      </c>
      <c r="M262">
        <f t="shared" si="4"/>
        <v>19003</v>
      </c>
      <c r="N262" t="b">
        <v>0</v>
      </c>
      <c r="O262">
        <v>0</v>
      </c>
      <c r="Q262">
        <v>0</v>
      </c>
      <c r="R262" t="b">
        <v>0</v>
      </c>
    </row>
    <row r="263" spans="1:18" hidden="1">
      <c r="A263" t="s">
        <v>361</v>
      </c>
      <c r="B263" t="s">
        <v>772</v>
      </c>
      <c r="C263" t="s">
        <v>773</v>
      </c>
      <c r="D263" t="s">
        <v>519</v>
      </c>
      <c r="E263">
        <v>781</v>
      </c>
      <c r="F263">
        <v>12903</v>
      </c>
      <c r="G263">
        <v>294</v>
      </c>
      <c r="H263">
        <v>3812</v>
      </c>
      <c r="I263" t="s">
        <v>520</v>
      </c>
      <c r="J263" t="s">
        <v>93</v>
      </c>
      <c r="K263" t="b">
        <v>0</v>
      </c>
      <c r="L263">
        <f t="shared" si="4"/>
        <v>1075</v>
      </c>
      <c r="M263">
        <f t="shared" si="4"/>
        <v>16715</v>
      </c>
      <c r="N263" t="b">
        <v>0</v>
      </c>
      <c r="O263">
        <v>0</v>
      </c>
      <c r="Q263">
        <v>0</v>
      </c>
      <c r="R263" t="b">
        <v>0</v>
      </c>
    </row>
    <row r="264" spans="1:18">
      <c r="A264" t="s">
        <v>30</v>
      </c>
      <c r="B264" t="s">
        <v>774</v>
      </c>
      <c r="C264" t="s">
        <v>775</v>
      </c>
      <c r="E264">
        <v>812</v>
      </c>
      <c r="F264">
        <v>8543</v>
      </c>
      <c r="G264">
        <v>260</v>
      </c>
      <c r="H264">
        <v>2631</v>
      </c>
      <c r="J264" t="s">
        <v>22</v>
      </c>
      <c r="K264" t="b">
        <v>1</v>
      </c>
      <c r="L264">
        <f t="shared" si="4"/>
        <v>1072</v>
      </c>
      <c r="M264">
        <f t="shared" si="4"/>
        <v>11174</v>
      </c>
      <c r="N264" t="b">
        <v>0</v>
      </c>
      <c r="O264">
        <v>1</v>
      </c>
      <c r="P264" t="s">
        <v>776</v>
      </c>
      <c r="Q264">
        <v>2</v>
      </c>
      <c r="R264" t="b">
        <v>1</v>
      </c>
    </row>
    <row r="265" spans="1:18" hidden="1">
      <c r="A265" t="s">
        <v>533</v>
      </c>
      <c r="B265" t="s">
        <v>777</v>
      </c>
      <c r="C265" s="8" t="s">
        <v>778</v>
      </c>
      <c r="D265" t="s">
        <v>93</v>
      </c>
      <c r="E265">
        <v>933</v>
      </c>
      <c r="F265">
        <v>6137</v>
      </c>
      <c r="G265">
        <v>137</v>
      </c>
      <c r="H265">
        <v>2741</v>
      </c>
      <c r="J265" t="s">
        <v>93</v>
      </c>
      <c r="K265" t="b">
        <v>0</v>
      </c>
      <c r="L265">
        <f t="shared" si="4"/>
        <v>1070</v>
      </c>
      <c r="M265">
        <f t="shared" si="4"/>
        <v>8878</v>
      </c>
      <c r="N265" t="b">
        <v>0</v>
      </c>
      <c r="O265">
        <v>0</v>
      </c>
      <c r="Q265">
        <v>0</v>
      </c>
      <c r="R265" t="b">
        <v>0</v>
      </c>
    </row>
    <row r="266" spans="1:18" hidden="1">
      <c r="A266" t="s">
        <v>192</v>
      </c>
      <c r="B266" t="s">
        <v>779</v>
      </c>
      <c r="C266" s="9" t="s">
        <v>780</v>
      </c>
      <c r="D266" t="s">
        <v>93</v>
      </c>
      <c r="E266">
        <v>933</v>
      </c>
      <c r="F266">
        <v>6137</v>
      </c>
      <c r="G266">
        <v>136</v>
      </c>
      <c r="H266">
        <v>2740</v>
      </c>
      <c r="J266" t="s">
        <v>93</v>
      </c>
      <c r="K266" t="b">
        <v>1</v>
      </c>
      <c r="L266">
        <f t="shared" si="4"/>
        <v>1069</v>
      </c>
      <c r="M266">
        <f t="shared" si="4"/>
        <v>8877</v>
      </c>
      <c r="N266" t="b">
        <v>0</v>
      </c>
      <c r="O266">
        <v>0</v>
      </c>
      <c r="Q266">
        <v>0</v>
      </c>
      <c r="R266" t="b">
        <v>0</v>
      </c>
    </row>
    <row r="267" spans="1:18">
      <c r="A267" t="s">
        <v>19</v>
      </c>
      <c r="B267" t="s">
        <v>781</v>
      </c>
      <c r="C267" t="s">
        <v>782</v>
      </c>
      <c r="E267">
        <v>781</v>
      </c>
      <c r="F267">
        <v>12903</v>
      </c>
      <c r="G267">
        <v>287</v>
      </c>
      <c r="H267">
        <v>3805</v>
      </c>
      <c r="J267" t="s">
        <v>22</v>
      </c>
      <c r="K267" t="b">
        <v>1</v>
      </c>
      <c r="L267">
        <f t="shared" si="4"/>
        <v>1068</v>
      </c>
      <c r="M267">
        <f t="shared" si="4"/>
        <v>16708</v>
      </c>
      <c r="N267" t="b">
        <v>0</v>
      </c>
      <c r="O267">
        <v>1</v>
      </c>
      <c r="P267" t="s">
        <v>783</v>
      </c>
      <c r="Q267">
        <v>2</v>
      </c>
      <c r="R267" t="b">
        <v>1</v>
      </c>
    </row>
    <row r="268" spans="1:18" hidden="1">
      <c r="A268" t="s">
        <v>706</v>
      </c>
      <c r="B268" t="s">
        <v>784</v>
      </c>
      <c r="C268" s="6" t="s">
        <v>785</v>
      </c>
      <c r="D268" t="s">
        <v>93</v>
      </c>
      <c r="E268">
        <v>676</v>
      </c>
      <c r="F268">
        <v>2116</v>
      </c>
      <c r="G268">
        <v>376</v>
      </c>
      <c r="H268">
        <v>949</v>
      </c>
      <c r="I268" t="s">
        <v>786</v>
      </c>
      <c r="J268" t="s">
        <v>93</v>
      </c>
      <c r="K268" t="b">
        <v>0</v>
      </c>
      <c r="L268">
        <f t="shared" si="4"/>
        <v>1052</v>
      </c>
      <c r="M268">
        <f t="shared" si="4"/>
        <v>3065</v>
      </c>
      <c r="N268" t="b">
        <v>0</v>
      </c>
      <c r="O268">
        <v>0</v>
      </c>
      <c r="Q268">
        <v>0</v>
      </c>
      <c r="R268" t="b">
        <v>0</v>
      </c>
    </row>
    <row r="269" spans="1:18">
      <c r="A269" t="s">
        <v>43</v>
      </c>
      <c r="B269" t="s">
        <v>787</v>
      </c>
      <c r="C269" t="s">
        <v>788</v>
      </c>
      <c r="E269">
        <v>703</v>
      </c>
      <c r="F269">
        <v>10173</v>
      </c>
      <c r="G269">
        <v>348</v>
      </c>
      <c r="H269">
        <v>7763</v>
      </c>
      <c r="J269" t="s">
        <v>22</v>
      </c>
      <c r="K269" t="b">
        <v>1</v>
      </c>
      <c r="L269">
        <f t="shared" si="4"/>
        <v>1051</v>
      </c>
      <c r="M269">
        <f t="shared" si="4"/>
        <v>17936</v>
      </c>
      <c r="N269" t="b">
        <v>0</v>
      </c>
      <c r="O269">
        <v>1</v>
      </c>
      <c r="P269" t="s">
        <v>789</v>
      </c>
      <c r="Q269">
        <v>2</v>
      </c>
      <c r="R269" t="b">
        <v>1</v>
      </c>
    </row>
    <row r="270" spans="1:18" hidden="1">
      <c r="A270" t="s">
        <v>790</v>
      </c>
      <c r="B270" t="s">
        <v>791</v>
      </c>
      <c r="C270" t="s">
        <v>792</v>
      </c>
      <c r="D270" t="s">
        <v>519</v>
      </c>
      <c r="E270">
        <v>506</v>
      </c>
      <c r="F270">
        <v>6241</v>
      </c>
      <c r="G270">
        <v>520</v>
      </c>
      <c r="H270">
        <v>3200</v>
      </c>
      <c r="I270" t="s">
        <v>793</v>
      </c>
      <c r="J270" t="s">
        <v>93</v>
      </c>
      <c r="K270" t="b">
        <v>0</v>
      </c>
      <c r="L270">
        <f t="shared" si="4"/>
        <v>1026</v>
      </c>
      <c r="M270">
        <f t="shared" si="4"/>
        <v>9441</v>
      </c>
      <c r="N270" t="b">
        <v>0</v>
      </c>
      <c r="O270">
        <v>0</v>
      </c>
      <c r="Q270">
        <v>0</v>
      </c>
      <c r="R270" t="b">
        <v>0</v>
      </c>
    </row>
    <row r="271" spans="1:18" hidden="1">
      <c r="A271" t="s">
        <v>87</v>
      </c>
      <c r="B271" t="s">
        <v>794</v>
      </c>
      <c r="C271" t="s">
        <v>795</v>
      </c>
      <c r="D271" t="s">
        <v>595</v>
      </c>
      <c r="E271">
        <v>777</v>
      </c>
      <c r="F271">
        <v>11624</v>
      </c>
      <c r="G271">
        <v>244</v>
      </c>
      <c r="H271">
        <v>2719</v>
      </c>
      <c r="I271" t="s">
        <v>628</v>
      </c>
      <c r="J271" t="s">
        <v>93</v>
      </c>
      <c r="K271" t="b">
        <v>1</v>
      </c>
      <c r="L271">
        <f t="shared" si="4"/>
        <v>1021</v>
      </c>
      <c r="M271">
        <f t="shared" si="4"/>
        <v>14343</v>
      </c>
      <c r="N271" t="b">
        <v>0</v>
      </c>
      <c r="O271">
        <v>0</v>
      </c>
      <c r="Q271">
        <v>0</v>
      </c>
      <c r="R271" t="b">
        <v>0</v>
      </c>
    </row>
    <row r="272" spans="1:18">
      <c r="A272" t="s">
        <v>352</v>
      </c>
      <c r="B272" t="s">
        <v>796</v>
      </c>
      <c r="C272" t="s">
        <v>797</v>
      </c>
      <c r="E272">
        <v>760</v>
      </c>
      <c r="F272">
        <v>12265</v>
      </c>
      <c r="G272">
        <v>247</v>
      </c>
      <c r="H272">
        <v>2167</v>
      </c>
      <c r="J272" t="s">
        <v>22</v>
      </c>
      <c r="K272" t="b">
        <v>1</v>
      </c>
      <c r="L272">
        <f t="shared" si="4"/>
        <v>1007</v>
      </c>
      <c r="M272">
        <f t="shared" si="4"/>
        <v>14432</v>
      </c>
      <c r="N272" t="b">
        <v>0</v>
      </c>
      <c r="O272">
        <v>1</v>
      </c>
      <c r="P272" t="s">
        <v>798</v>
      </c>
      <c r="Q272">
        <v>1</v>
      </c>
      <c r="R272" t="b">
        <v>1</v>
      </c>
    </row>
    <row r="273" spans="1:18" hidden="1">
      <c r="A273" t="s">
        <v>790</v>
      </c>
      <c r="B273" t="s">
        <v>799</v>
      </c>
      <c r="C273" t="s">
        <v>800</v>
      </c>
      <c r="D273" t="s">
        <v>519</v>
      </c>
      <c r="E273">
        <v>490</v>
      </c>
      <c r="F273">
        <v>6153</v>
      </c>
      <c r="G273">
        <v>508</v>
      </c>
      <c r="H273">
        <v>3109</v>
      </c>
      <c r="J273" t="s">
        <v>93</v>
      </c>
      <c r="K273" t="b">
        <v>0</v>
      </c>
      <c r="L273">
        <f t="shared" si="4"/>
        <v>998</v>
      </c>
      <c r="M273">
        <f t="shared" si="4"/>
        <v>9262</v>
      </c>
      <c r="N273" t="b">
        <v>0</v>
      </c>
      <c r="O273">
        <v>0</v>
      </c>
      <c r="Q273">
        <v>0</v>
      </c>
      <c r="R273" t="b">
        <v>0</v>
      </c>
    </row>
    <row r="274" spans="1:18">
      <c r="A274" t="s">
        <v>24</v>
      </c>
      <c r="B274" t="s">
        <v>801</v>
      </c>
      <c r="C274" t="s">
        <v>802</v>
      </c>
      <c r="E274">
        <v>637</v>
      </c>
      <c r="F274">
        <v>2286</v>
      </c>
      <c r="G274">
        <v>360</v>
      </c>
      <c r="H274">
        <v>1416</v>
      </c>
      <c r="J274" t="s">
        <v>22</v>
      </c>
      <c r="K274" t="b">
        <v>1</v>
      </c>
      <c r="L274">
        <f t="shared" si="4"/>
        <v>997</v>
      </c>
      <c r="M274">
        <f t="shared" si="4"/>
        <v>3702</v>
      </c>
      <c r="N274" t="b">
        <v>0</v>
      </c>
      <c r="O274">
        <v>1</v>
      </c>
      <c r="P274" t="s">
        <v>803</v>
      </c>
      <c r="Q274">
        <v>2</v>
      </c>
      <c r="R274" t="b">
        <v>1</v>
      </c>
    </row>
    <row r="275" spans="1:18">
      <c r="A275" t="s">
        <v>378</v>
      </c>
      <c r="B275" t="s">
        <v>804</v>
      </c>
      <c r="C275" t="s">
        <v>805</v>
      </c>
      <c r="E275">
        <v>617</v>
      </c>
      <c r="F275">
        <v>11716</v>
      </c>
      <c r="G275">
        <v>355</v>
      </c>
      <c r="H275">
        <v>6229</v>
      </c>
      <c r="J275" t="s">
        <v>22</v>
      </c>
      <c r="K275" t="b">
        <v>1</v>
      </c>
      <c r="L275">
        <f t="shared" si="4"/>
        <v>972</v>
      </c>
      <c r="M275">
        <f t="shared" si="4"/>
        <v>17945</v>
      </c>
      <c r="N275" t="b">
        <v>0</v>
      </c>
      <c r="O275">
        <v>1</v>
      </c>
      <c r="P275" t="s">
        <v>806</v>
      </c>
      <c r="Q275">
        <v>2</v>
      </c>
      <c r="R275" t="b">
        <v>1</v>
      </c>
    </row>
    <row r="276" spans="1:18" hidden="1">
      <c r="A276" t="s">
        <v>790</v>
      </c>
      <c r="B276" t="s">
        <v>807</v>
      </c>
      <c r="C276" t="s">
        <v>808</v>
      </c>
      <c r="D276" t="s">
        <v>519</v>
      </c>
      <c r="E276">
        <v>455</v>
      </c>
      <c r="F276">
        <v>5673</v>
      </c>
      <c r="G276">
        <v>501</v>
      </c>
      <c r="H276">
        <v>2844</v>
      </c>
      <c r="J276" t="s">
        <v>93</v>
      </c>
      <c r="K276" t="b">
        <v>0</v>
      </c>
      <c r="L276">
        <f t="shared" si="4"/>
        <v>956</v>
      </c>
      <c r="M276">
        <f t="shared" si="4"/>
        <v>8517</v>
      </c>
      <c r="N276" t="b">
        <v>0</v>
      </c>
      <c r="O276">
        <v>0</v>
      </c>
      <c r="Q276">
        <v>0</v>
      </c>
      <c r="R276" t="b">
        <v>0</v>
      </c>
    </row>
    <row r="277" spans="1:18" hidden="1">
      <c r="A277" t="s">
        <v>809</v>
      </c>
      <c r="B277" t="s">
        <v>810</v>
      </c>
      <c r="C277" s="2" t="s">
        <v>811</v>
      </c>
      <c r="D277" t="s">
        <v>93</v>
      </c>
      <c r="E277">
        <v>733</v>
      </c>
      <c r="F277">
        <v>3139</v>
      </c>
      <c r="G277">
        <v>222</v>
      </c>
      <c r="H277">
        <v>3353</v>
      </c>
      <c r="I277" t="s">
        <v>812</v>
      </c>
      <c r="J277" t="s">
        <v>93</v>
      </c>
      <c r="K277" t="b">
        <v>0</v>
      </c>
      <c r="L277">
        <f t="shared" si="4"/>
        <v>955</v>
      </c>
      <c r="M277">
        <f t="shared" si="4"/>
        <v>6492</v>
      </c>
      <c r="N277" t="b">
        <v>0</v>
      </c>
      <c r="O277">
        <v>0</v>
      </c>
      <c r="Q277">
        <v>0</v>
      </c>
      <c r="R277" t="b">
        <v>0</v>
      </c>
    </row>
    <row r="278" spans="1:18">
      <c r="A278" t="s">
        <v>378</v>
      </c>
      <c r="B278" t="s">
        <v>813</v>
      </c>
      <c r="C278" t="s">
        <v>814</v>
      </c>
      <c r="E278">
        <v>606</v>
      </c>
      <c r="F278">
        <v>11530</v>
      </c>
      <c r="G278">
        <v>348</v>
      </c>
      <c r="H278">
        <v>6098</v>
      </c>
      <c r="J278" t="s">
        <v>22</v>
      </c>
      <c r="K278" t="b">
        <v>1</v>
      </c>
      <c r="L278">
        <f t="shared" si="4"/>
        <v>954</v>
      </c>
      <c r="M278">
        <f t="shared" si="4"/>
        <v>17628</v>
      </c>
      <c r="N278" t="b">
        <v>0</v>
      </c>
      <c r="O278">
        <v>1</v>
      </c>
      <c r="P278" t="s">
        <v>815</v>
      </c>
      <c r="Q278">
        <v>2</v>
      </c>
      <c r="R278" t="b">
        <v>1</v>
      </c>
    </row>
    <row r="279" spans="1:18" hidden="1">
      <c r="A279" t="s">
        <v>816</v>
      </c>
      <c r="B279" t="s">
        <v>817</v>
      </c>
      <c r="C279" t="s">
        <v>818</v>
      </c>
      <c r="D279" t="s">
        <v>519</v>
      </c>
      <c r="E279">
        <v>793</v>
      </c>
      <c r="F279">
        <v>1196</v>
      </c>
      <c r="G279">
        <v>156</v>
      </c>
      <c r="H279">
        <v>650</v>
      </c>
      <c r="I279" t="s">
        <v>819</v>
      </c>
      <c r="J279" t="s">
        <v>93</v>
      </c>
      <c r="K279" t="b">
        <v>0</v>
      </c>
      <c r="L279">
        <f t="shared" si="4"/>
        <v>949</v>
      </c>
      <c r="M279">
        <f t="shared" si="4"/>
        <v>1846</v>
      </c>
      <c r="N279" t="b">
        <v>0</v>
      </c>
      <c r="O279">
        <v>0</v>
      </c>
      <c r="Q279">
        <v>0</v>
      </c>
      <c r="R279" t="b">
        <v>0</v>
      </c>
    </row>
    <row r="280" spans="1:18" hidden="1">
      <c r="A280" t="s">
        <v>816</v>
      </c>
      <c r="B280" t="s">
        <v>820</v>
      </c>
      <c r="C280" t="s">
        <v>821</v>
      </c>
      <c r="D280" t="s">
        <v>519</v>
      </c>
      <c r="E280">
        <v>793</v>
      </c>
      <c r="F280">
        <v>1196</v>
      </c>
      <c r="G280">
        <v>156</v>
      </c>
      <c r="H280">
        <v>650</v>
      </c>
      <c r="I280" t="s">
        <v>819</v>
      </c>
      <c r="J280" t="s">
        <v>93</v>
      </c>
      <c r="K280" t="b">
        <v>0</v>
      </c>
      <c r="L280">
        <f t="shared" si="4"/>
        <v>949</v>
      </c>
      <c r="M280">
        <f t="shared" si="4"/>
        <v>1846</v>
      </c>
      <c r="N280" t="b">
        <v>0</v>
      </c>
      <c r="O280">
        <v>0</v>
      </c>
      <c r="Q280">
        <v>0</v>
      </c>
      <c r="R280" t="b">
        <v>0</v>
      </c>
    </row>
    <row r="281" spans="1:18" hidden="1">
      <c r="A281" t="s">
        <v>672</v>
      </c>
      <c r="B281" t="s">
        <v>822</v>
      </c>
      <c r="C281" t="s">
        <v>823</v>
      </c>
      <c r="D281" t="s">
        <v>93</v>
      </c>
      <c r="E281">
        <v>594</v>
      </c>
      <c r="F281">
        <v>2532</v>
      </c>
      <c r="G281">
        <v>350</v>
      </c>
      <c r="H281">
        <v>1363</v>
      </c>
      <c r="I281" t="s">
        <v>675</v>
      </c>
      <c r="J281" t="s">
        <v>93</v>
      </c>
      <c r="K281" t="b">
        <v>0</v>
      </c>
      <c r="L281">
        <f t="shared" si="4"/>
        <v>944</v>
      </c>
      <c r="M281">
        <f t="shared" si="4"/>
        <v>3895</v>
      </c>
      <c r="N281" t="b">
        <v>0</v>
      </c>
      <c r="O281">
        <v>0</v>
      </c>
      <c r="Q281">
        <v>0</v>
      </c>
      <c r="R281" t="b">
        <v>0</v>
      </c>
    </row>
    <row r="282" spans="1:18" hidden="1">
      <c r="A282" t="s">
        <v>672</v>
      </c>
      <c r="B282" t="s">
        <v>824</v>
      </c>
      <c r="C282" t="s">
        <v>825</v>
      </c>
      <c r="D282" t="s">
        <v>93</v>
      </c>
      <c r="E282">
        <v>594</v>
      </c>
      <c r="F282">
        <v>2532</v>
      </c>
      <c r="G282">
        <v>350</v>
      </c>
      <c r="H282">
        <v>1363</v>
      </c>
      <c r="I282" t="s">
        <v>675</v>
      </c>
      <c r="J282" t="s">
        <v>93</v>
      </c>
      <c r="K282" t="b">
        <v>0</v>
      </c>
      <c r="L282">
        <f t="shared" si="4"/>
        <v>944</v>
      </c>
      <c r="M282">
        <f t="shared" si="4"/>
        <v>3895</v>
      </c>
      <c r="N282" t="b">
        <v>0</v>
      </c>
      <c r="O282">
        <v>0</v>
      </c>
      <c r="Q282">
        <v>0</v>
      </c>
      <c r="R282" t="b">
        <v>0</v>
      </c>
    </row>
    <row r="283" spans="1:18" hidden="1">
      <c r="A283" t="s">
        <v>672</v>
      </c>
      <c r="B283" t="s">
        <v>826</v>
      </c>
      <c r="C283" t="s">
        <v>827</v>
      </c>
      <c r="D283" t="s">
        <v>93</v>
      </c>
      <c r="E283">
        <v>594</v>
      </c>
      <c r="F283">
        <v>2532</v>
      </c>
      <c r="G283">
        <v>350</v>
      </c>
      <c r="H283">
        <v>1363</v>
      </c>
      <c r="I283" t="s">
        <v>675</v>
      </c>
      <c r="J283" t="s">
        <v>93</v>
      </c>
      <c r="K283" t="b">
        <v>0</v>
      </c>
      <c r="L283">
        <f t="shared" si="4"/>
        <v>944</v>
      </c>
      <c r="M283">
        <f t="shared" si="4"/>
        <v>3895</v>
      </c>
      <c r="N283" t="b">
        <v>0</v>
      </c>
      <c r="O283">
        <v>0</v>
      </c>
      <c r="Q283">
        <v>0</v>
      </c>
      <c r="R283" t="b">
        <v>0</v>
      </c>
    </row>
    <row r="284" spans="1:18">
      <c r="A284" t="s">
        <v>139</v>
      </c>
      <c r="B284" t="s">
        <v>828</v>
      </c>
      <c r="C284" t="s">
        <v>829</v>
      </c>
      <c r="E284">
        <v>941</v>
      </c>
      <c r="F284">
        <v>0</v>
      </c>
      <c r="G284">
        <v>0</v>
      </c>
      <c r="H284">
        <v>0</v>
      </c>
      <c r="J284" t="s">
        <v>22</v>
      </c>
      <c r="K284" t="b">
        <v>1</v>
      </c>
      <c r="L284">
        <f t="shared" si="4"/>
        <v>941</v>
      </c>
      <c r="M284">
        <f t="shared" si="4"/>
        <v>0</v>
      </c>
      <c r="N284" t="b">
        <v>0</v>
      </c>
      <c r="O284">
        <v>1</v>
      </c>
      <c r="P284" t="s">
        <v>830</v>
      </c>
      <c r="Q284">
        <v>2</v>
      </c>
      <c r="R284" t="b">
        <v>1</v>
      </c>
    </row>
    <row r="285" spans="1:18">
      <c r="A285" t="s">
        <v>139</v>
      </c>
      <c r="B285" t="s">
        <v>831</v>
      </c>
      <c r="C285" t="s">
        <v>832</v>
      </c>
      <c r="E285">
        <v>651</v>
      </c>
      <c r="F285">
        <v>0</v>
      </c>
      <c r="G285">
        <v>285</v>
      </c>
      <c r="H285">
        <v>3302</v>
      </c>
      <c r="J285" t="s">
        <v>22</v>
      </c>
      <c r="K285" t="b">
        <v>1</v>
      </c>
      <c r="L285">
        <f t="shared" si="4"/>
        <v>936</v>
      </c>
      <c r="M285">
        <f t="shared" si="4"/>
        <v>3302</v>
      </c>
      <c r="N285" t="b">
        <v>0</v>
      </c>
      <c r="O285">
        <v>1</v>
      </c>
      <c r="P285" t="s">
        <v>833</v>
      </c>
      <c r="Q285">
        <v>2</v>
      </c>
      <c r="R285" t="b">
        <v>1</v>
      </c>
    </row>
    <row r="286" spans="1:18" hidden="1">
      <c r="A286" t="s">
        <v>378</v>
      </c>
      <c r="B286" t="s">
        <v>834</v>
      </c>
      <c r="C286" s="5" t="s">
        <v>835</v>
      </c>
      <c r="D286" t="s">
        <v>93</v>
      </c>
      <c r="E286">
        <v>580</v>
      </c>
      <c r="F286">
        <v>10665</v>
      </c>
      <c r="G286">
        <v>354</v>
      </c>
      <c r="H286">
        <v>6290</v>
      </c>
      <c r="J286" t="s">
        <v>93</v>
      </c>
      <c r="K286" t="b">
        <v>1</v>
      </c>
      <c r="L286">
        <f t="shared" si="4"/>
        <v>934</v>
      </c>
      <c r="M286">
        <f t="shared" si="4"/>
        <v>16955</v>
      </c>
      <c r="N286" t="b">
        <v>0</v>
      </c>
      <c r="O286">
        <v>0</v>
      </c>
      <c r="Q286">
        <v>0</v>
      </c>
      <c r="R286" t="b">
        <v>0</v>
      </c>
    </row>
    <row r="287" spans="1:18">
      <c r="A287" t="s">
        <v>836</v>
      </c>
      <c r="B287" t="s">
        <v>837</v>
      </c>
      <c r="C287" t="s">
        <v>838</v>
      </c>
      <c r="E287">
        <v>476</v>
      </c>
      <c r="F287">
        <v>1573</v>
      </c>
      <c r="G287">
        <v>453</v>
      </c>
      <c r="H287">
        <v>1234</v>
      </c>
      <c r="J287" t="s">
        <v>22</v>
      </c>
      <c r="K287" t="b">
        <v>1</v>
      </c>
      <c r="L287">
        <f t="shared" si="4"/>
        <v>929</v>
      </c>
      <c r="M287">
        <f t="shared" si="4"/>
        <v>2807</v>
      </c>
      <c r="N287" t="b">
        <v>0</v>
      </c>
      <c r="O287">
        <v>0</v>
      </c>
      <c r="Q287">
        <v>0</v>
      </c>
      <c r="R287" t="b">
        <v>0</v>
      </c>
    </row>
    <row r="288" spans="1:18">
      <c r="A288" t="s">
        <v>836</v>
      </c>
      <c r="B288" t="s">
        <v>839</v>
      </c>
      <c r="C288" t="s">
        <v>840</v>
      </c>
      <c r="E288">
        <v>476</v>
      </c>
      <c r="F288">
        <v>1573</v>
      </c>
      <c r="G288">
        <v>453</v>
      </c>
      <c r="H288">
        <v>1234</v>
      </c>
      <c r="J288" t="s">
        <v>22</v>
      </c>
      <c r="K288" t="b">
        <v>1</v>
      </c>
      <c r="L288">
        <f t="shared" si="4"/>
        <v>929</v>
      </c>
      <c r="M288">
        <f t="shared" si="4"/>
        <v>2807</v>
      </c>
      <c r="N288" t="b">
        <v>0</v>
      </c>
      <c r="O288">
        <v>0</v>
      </c>
      <c r="Q288">
        <v>0</v>
      </c>
      <c r="R288" t="b">
        <v>0</v>
      </c>
    </row>
    <row r="289" spans="1:18">
      <c r="A289" t="s">
        <v>836</v>
      </c>
      <c r="B289" t="s">
        <v>841</v>
      </c>
      <c r="C289" t="s">
        <v>842</v>
      </c>
      <c r="E289">
        <v>476</v>
      </c>
      <c r="F289">
        <v>1573</v>
      </c>
      <c r="G289">
        <v>453</v>
      </c>
      <c r="H289">
        <v>1234</v>
      </c>
      <c r="J289" t="s">
        <v>22</v>
      </c>
      <c r="K289" t="b">
        <v>1</v>
      </c>
      <c r="L289">
        <f t="shared" si="4"/>
        <v>929</v>
      </c>
      <c r="M289">
        <f t="shared" si="4"/>
        <v>2807</v>
      </c>
      <c r="N289" t="b">
        <v>0</v>
      </c>
      <c r="O289">
        <v>1</v>
      </c>
      <c r="P289" t="s">
        <v>843</v>
      </c>
      <c r="Q289">
        <v>2</v>
      </c>
      <c r="R289" t="b">
        <v>1</v>
      </c>
    </row>
    <row r="290" spans="1:18">
      <c r="A290" t="s">
        <v>836</v>
      </c>
      <c r="B290" t="s">
        <v>844</v>
      </c>
      <c r="C290" t="s">
        <v>845</v>
      </c>
      <c r="E290">
        <v>476</v>
      </c>
      <c r="F290">
        <v>1573</v>
      </c>
      <c r="G290">
        <v>453</v>
      </c>
      <c r="H290">
        <v>1234</v>
      </c>
      <c r="J290" t="s">
        <v>22</v>
      </c>
      <c r="K290" t="b">
        <v>1</v>
      </c>
      <c r="L290">
        <f t="shared" si="4"/>
        <v>929</v>
      </c>
      <c r="M290">
        <f t="shared" si="4"/>
        <v>2807</v>
      </c>
      <c r="N290" t="b">
        <v>0</v>
      </c>
      <c r="O290">
        <v>1</v>
      </c>
      <c r="P290" t="s">
        <v>33</v>
      </c>
      <c r="Q290">
        <v>2</v>
      </c>
      <c r="R290" t="b">
        <v>1</v>
      </c>
    </row>
    <row r="291" spans="1:18" hidden="1">
      <c r="A291" t="s">
        <v>706</v>
      </c>
      <c r="B291" t="s">
        <v>846</v>
      </c>
      <c r="C291" t="s">
        <v>847</v>
      </c>
      <c r="E291">
        <v>587</v>
      </c>
      <c r="F291">
        <v>1854</v>
      </c>
      <c r="G291">
        <v>336</v>
      </c>
      <c r="H291">
        <v>793</v>
      </c>
      <c r="J291" t="s">
        <v>93</v>
      </c>
      <c r="K291" t="b">
        <v>0</v>
      </c>
      <c r="L291">
        <f t="shared" si="4"/>
        <v>923</v>
      </c>
      <c r="M291">
        <f t="shared" si="4"/>
        <v>2647</v>
      </c>
      <c r="N291" t="b">
        <v>0</v>
      </c>
      <c r="O291">
        <v>0</v>
      </c>
      <c r="Q291">
        <v>0</v>
      </c>
      <c r="R291" t="b">
        <v>0</v>
      </c>
    </row>
    <row r="292" spans="1:18">
      <c r="A292" t="s">
        <v>235</v>
      </c>
      <c r="B292" t="s">
        <v>848</v>
      </c>
      <c r="C292" t="s">
        <v>849</v>
      </c>
      <c r="E292">
        <v>0</v>
      </c>
      <c r="F292">
        <v>0</v>
      </c>
      <c r="G292">
        <v>917</v>
      </c>
      <c r="H292">
        <v>16445</v>
      </c>
      <c r="J292" t="s">
        <v>22</v>
      </c>
      <c r="K292" t="b">
        <v>1</v>
      </c>
      <c r="L292">
        <f t="shared" si="4"/>
        <v>917</v>
      </c>
      <c r="M292">
        <f t="shared" si="4"/>
        <v>16445</v>
      </c>
      <c r="N292" t="b">
        <v>0</v>
      </c>
      <c r="O292">
        <v>1</v>
      </c>
      <c r="P292" t="s">
        <v>850</v>
      </c>
      <c r="Q292">
        <v>2</v>
      </c>
      <c r="R292" t="b">
        <v>1</v>
      </c>
    </row>
    <row r="293" spans="1:18">
      <c r="A293" t="s">
        <v>24</v>
      </c>
      <c r="B293" t="s">
        <v>851</v>
      </c>
      <c r="C293" t="s">
        <v>852</v>
      </c>
      <c r="E293">
        <v>631</v>
      </c>
      <c r="F293">
        <v>10877</v>
      </c>
      <c r="G293">
        <v>249</v>
      </c>
      <c r="H293">
        <v>2648</v>
      </c>
      <c r="J293" t="s">
        <v>22</v>
      </c>
      <c r="K293" t="b">
        <v>1</v>
      </c>
      <c r="L293">
        <f t="shared" si="4"/>
        <v>880</v>
      </c>
      <c r="M293">
        <f t="shared" si="4"/>
        <v>13525</v>
      </c>
      <c r="N293" t="b">
        <v>0</v>
      </c>
      <c r="O293">
        <v>1</v>
      </c>
      <c r="P293" t="s">
        <v>853</v>
      </c>
      <c r="Q293">
        <v>2</v>
      </c>
      <c r="R293" t="b">
        <v>1</v>
      </c>
    </row>
    <row r="294" spans="1:18">
      <c r="A294" t="s">
        <v>854</v>
      </c>
      <c r="B294" t="s">
        <v>855</v>
      </c>
      <c r="C294" t="s">
        <v>856</v>
      </c>
      <c r="E294">
        <v>553</v>
      </c>
      <c r="F294">
        <v>4503</v>
      </c>
      <c r="G294">
        <v>313</v>
      </c>
      <c r="H294">
        <v>1469</v>
      </c>
      <c r="J294" t="s">
        <v>22</v>
      </c>
      <c r="K294" t="b">
        <v>1</v>
      </c>
      <c r="L294">
        <f t="shared" si="4"/>
        <v>866</v>
      </c>
      <c r="M294">
        <f t="shared" si="4"/>
        <v>5972</v>
      </c>
      <c r="N294" t="b">
        <v>0</v>
      </c>
      <c r="O294">
        <v>1</v>
      </c>
      <c r="P294" t="s">
        <v>62</v>
      </c>
      <c r="Q294">
        <v>2</v>
      </c>
      <c r="R294" t="b">
        <v>1</v>
      </c>
    </row>
    <row r="295" spans="1:18">
      <c r="A295" t="s">
        <v>857</v>
      </c>
      <c r="B295" t="s">
        <v>858</v>
      </c>
      <c r="C295" t="s">
        <v>859</v>
      </c>
      <c r="E295">
        <v>442</v>
      </c>
      <c r="F295">
        <v>1347</v>
      </c>
      <c r="G295">
        <v>421</v>
      </c>
      <c r="H295">
        <v>1141</v>
      </c>
      <c r="J295" t="s">
        <v>22</v>
      </c>
      <c r="K295" t="b">
        <v>1</v>
      </c>
      <c r="L295">
        <f t="shared" si="4"/>
        <v>863</v>
      </c>
      <c r="M295">
        <f t="shared" si="4"/>
        <v>2488</v>
      </c>
      <c r="N295" t="b">
        <v>0</v>
      </c>
      <c r="O295">
        <v>1</v>
      </c>
      <c r="P295" t="s">
        <v>860</v>
      </c>
      <c r="Q295">
        <v>2</v>
      </c>
      <c r="R295" t="b">
        <v>1</v>
      </c>
    </row>
    <row r="296" spans="1:18" hidden="1">
      <c r="A296" t="s">
        <v>857</v>
      </c>
      <c r="B296" t="s">
        <v>861</v>
      </c>
      <c r="C296" s="2" t="s">
        <v>862</v>
      </c>
      <c r="D296" t="s">
        <v>93</v>
      </c>
      <c r="E296">
        <v>442</v>
      </c>
      <c r="F296">
        <v>1347</v>
      </c>
      <c r="G296">
        <v>421</v>
      </c>
      <c r="H296">
        <v>1141</v>
      </c>
      <c r="I296" t="s">
        <v>863</v>
      </c>
      <c r="J296" t="s">
        <v>93</v>
      </c>
      <c r="K296" t="b">
        <v>1</v>
      </c>
      <c r="L296">
        <f t="shared" si="4"/>
        <v>863</v>
      </c>
      <c r="M296">
        <f t="shared" si="4"/>
        <v>2488</v>
      </c>
      <c r="N296" t="b">
        <v>0</v>
      </c>
      <c r="O296">
        <v>0</v>
      </c>
      <c r="Q296">
        <v>0</v>
      </c>
      <c r="R296" t="b">
        <v>0</v>
      </c>
    </row>
    <row r="297" spans="1:18">
      <c r="A297" t="s">
        <v>857</v>
      </c>
      <c r="B297" t="s">
        <v>864</v>
      </c>
      <c r="C297" t="s">
        <v>865</v>
      </c>
      <c r="E297">
        <v>442</v>
      </c>
      <c r="F297">
        <v>1347</v>
      </c>
      <c r="G297">
        <v>421</v>
      </c>
      <c r="H297">
        <v>1141</v>
      </c>
      <c r="J297" t="s">
        <v>22</v>
      </c>
      <c r="K297" t="b">
        <v>1</v>
      </c>
      <c r="L297">
        <f t="shared" si="4"/>
        <v>863</v>
      </c>
      <c r="M297">
        <f t="shared" si="4"/>
        <v>2488</v>
      </c>
      <c r="N297" t="b">
        <v>0</v>
      </c>
      <c r="O297">
        <v>1</v>
      </c>
      <c r="P297" t="s">
        <v>33</v>
      </c>
      <c r="Q297">
        <v>2</v>
      </c>
      <c r="R297" t="b">
        <v>1</v>
      </c>
    </row>
    <row r="298" spans="1:18">
      <c r="A298" t="s">
        <v>836</v>
      </c>
      <c r="B298" t="s">
        <v>866</v>
      </c>
      <c r="C298" t="s">
        <v>867</v>
      </c>
      <c r="E298">
        <v>442</v>
      </c>
      <c r="F298">
        <v>1347</v>
      </c>
      <c r="G298">
        <v>421</v>
      </c>
      <c r="H298">
        <v>1141</v>
      </c>
      <c r="J298" t="s">
        <v>22</v>
      </c>
      <c r="K298" t="b">
        <v>1</v>
      </c>
      <c r="L298">
        <f t="shared" si="4"/>
        <v>863</v>
      </c>
      <c r="M298">
        <f t="shared" si="4"/>
        <v>2488</v>
      </c>
      <c r="N298" t="b">
        <v>0</v>
      </c>
      <c r="O298">
        <v>1</v>
      </c>
      <c r="P298" t="s">
        <v>868</v>
      </c>
      <c r="Q298">
        <v>2</v>
      </c>
      <c r="R298" t="b">
        <v>1</v>
      </c>
    </row>
    <row r="299" spans="1:18">
      <c r="A299" t="s">
        <v>24</v>
      </c>
      <c r="B299" t="s">
        <v>869</v>
      </c>
      <c r="C299" t="s">
        <v>870</v>
      </c>
      <c r="E299">
        <v>615</v>
      </c>
      <c r="F299">
        <v>11255</v>
      </c>
      <c r="G299">
        <v>247</v>
      </c>
      <c r="H299">
        <v>3987</v>
      </c>
      <c r="J299" t="s">
        <v>22</v>
      </c>
      <c r="K299" t="b">
        <v>1</v>
      </c>
      <c r="L299">
        <f t="shared" si="4"/>
        <v>862</v>
      </c>
      <c r="M299">
        <f t="shared" si="4"/>
        <v>15242</v>
      </c>
      <c r="N299" t="b">
        <v>0</v>
      </c>
      <c r="O299">
        <v>1</v>
      </c>
      <c r="P299" t="s">
        <v>871</v>
      </c>
      <c r="Q299">
        <v>2</v>
      </c>
      <c r="R299" t="b">
        <v>1</v>
      </c>
    </row>
    <row r="300" spans="1:18" hidden="1">
      <c r="A300" t="s">
        <v>790</v>
      </c>
      <c r="B300" t="s">
        <v>872</v>
      </c>
      <c r="C300" t="s">
        <v>873</v>
      </c>
      <c r="D300" t="s">
        <v>93</v>
      </c>
      <c r="E300">
        <v>372</v>
      </c>
      <c r="F300">
        <v>3772</v>
      </c>
      <c r="G300">
        <v>488</v>
      </c>
      <c r="H300">
        <v>2877</v>
      </c>
      <c r="I300" t="s">
        <v>874</v>
      </c>
      <c r="J300" t="s">
        <v>93</v>
      </c>
      <c r="K300" t="b">
        <v>0</v>
      </c>
      <c r="L300">
        <f t="shared" si="4"/>
        <v>860</v>
      </c>
      <c r="M300">
        <f t="shared" si="4"/>
        <v>6649</v>
      </c>
      <c r="N300" t="b">
        <v>0</v>
      </c>
      <c r="O300">
        <v>0</v>
      </c>
      <c r="Q300">
        <v>0</v>
      </c>
      <c r="R300" t="b">
        <v>0</v>
      </c>
    </row>
    <row r="301" spans="1:18">
      <c r="A301" t="s">
        <v>857</v>
      </c>
      <c r="B301" t="s">
        <v>875</v>
      </c>
      <c r="C301" t="s">
        <v>876</v>
      </c>
      <c r="E301">
        <v>436</v>
      </c>
      <c r="F301">
        <v>1343</v>
      </c>
      <c r="G301">
        <v>417</v>
      </c>
      <c r="H301">
        <v>1134</v>
      </c>
      <c r="J301" t="s">
        <v>22</v>
      </c>
      <c r="K301" t="b">
        <v>1</v>
      </c>
      <c r="L301">
        <f t="shared" si="4"/>
        <v>853</v>
      </c>
      <c r="M301">
        <f t="shared" si="4"/>
        <v>2477</v>
      </c>
      <c r="N301" t="b">
        <v>0</v>
      </c>
      <c r="O301">
        <v>0</v>
      </c>
      <c r="Q301">
        <v>0</v>
      </c>
      <c r="R301" t="b">
        <v>0</v>
      </c>
    </row>
    <row r="302" spans="1:18">
      <c r="A302" t="s">
        <v>857</v>
      </c>
      <c r="B302" t="s">
        <v>877</v>
      </c>
      <c r="C302" t="s">
        <v>878</v>
      </c>
      <c r="E302">
        <v>436</v>
      </c>
      <c r="F302">
        <v>1343</v>
      </c>
      <c r="G302">
        <v>417</v>
      </c>
      <c r="H302">
        <v>1134</v>
      </c>
      <c r="J302" t="s">
        <v>22</v>
      </c>
      <c r="K302" t="b">
        <v>1</v>
      </c>
      <c r="L302">
        <f t="shared" si="4"/>
        <v>853</v>
      </c>
      <c r="M302">
        <f t="shared" si="4"/>
        <v>2477</v>
      </c>
      <c r="N302" t="b">
        <v>0</v>
      </c>
      <c r="O302">
        <v>0</v>
      </c>
      <c r="Q302">
        <v>0</v>
      </c>
      <c r="R302" t="b">
        <v>0</v>
      </c>
    </row>
    <row r="303" spans="1:18">
      <c r="A303" t="s">
        <v>857</v>
      </c>
      <c r="B303" t="s">
        <v>879</v>
      </c>
      <c r="C303" t="s">
        <v>880</v>
      </c>
      <c r="E303">
        <v>436</v>
      </c>
      <c r="F303">
        <v>1343</v>
      </c>
      <c r="G303">
        <v>417</v>
      </c>
      <c r="H303">
        <v>1134</v>
      </c>
      <c r="J303" t="s">
        <v>22</v>
      </c>
      <c r="K303" t="b">
        <v>1</v>
      </c>
      <c r="L303">
        <f t="shared" si="4"/>
        <v>853</v>
      </c>
      <c r="M303">
        <f t="shared" si="4"/>
        <v>2477</v>
      </c>
      <c r="N303" t="b">
        <v>0</v>
      </c>
      <c r="O303">
        <v>1</v>
      </c>
      <c r="P303" t="s">
        <v>881</v>
      </c>
      <c r="Q303">
        <v>2</v>
      </c>
      <c r="R303" t="b">
        <v>1</v>
      </c>
    </row>
    <row r="304" spans="1:18" hidden="1">
      <c r="A304" t="s">
        <v>882</v>
      </c>
      <c r="B304" t="s">
        <v>883</v>
      </c>
      <c r="C304" t="s">
        <v>884</v>
      </c>
      <c r="D304" t="s">
        <v>519</v>
      </c>
      <c r="E304">
        <v>523</v>
      </c>
      <c r="F304">
        <v>2980</v>
      </c>
      <c r="G304">
        <v>321</v>
      </c>
      <c r="H304">
        <v>1494</v>
      </c>
      <c r="I304" t="s">
        <v>885</v>
      </c>
      <c r="J304" t="s">
        <v>93</v>
      </c>
      <c r="K304" t="b">
        <v>0</v>
      </c>
      <c r="L304">
        <f t="shared" si="4"/>
        <v>844</v>
      </c>
      <c r="M304">
        <f t="shared" si="4"/>
        <v>4474</v>
      </c>
      <c r="N304" t="b">
        <v>0</v>
      </c>
      <c r="O304">
        <v>0</v>
      </c>
      <c r="Q304">
        <v>0</v>
      </c>
      <c r="R304" t="b">
        <v>0</v>
      </c>
    </row>
    <row r="305" spans="1:18">
      <c r="A305" t="s">
        <v>886</v>
      </c>
      <c r="B305" t="s">
        <v>887</v>
      </c>
      <c r="C305" t="s">
        <v>888</v>
      </c>
      <c r="E305">
        <v>362</v>
      </c>
      <c r="F305">
        <v>3820</v>
      </c>
      <c r="G305">
        <v>480</v>
      </c>
      <c r="H305">
        <v>2696</v>
      </c>
      <c r="J305" t="s">
        <v>22</v>
      </c>
      <c r="K305" t="b">
        <v>1</v>
      </c>
      <c r="L305">
        <f t="shared" si="4"/>
        <v>842</v>
      </c>
      <c r="M305">
        <f t="shared" si="4"/>
        <v>6516</v>
      </c>
      <c r="N305" t="b">
        <v>0</v>
      </c>
      <c r="O305">
        <v>1</v>
      </c>
      <c r="P305" t="s">
        <v>33</v>
      </c>
      <c r="Q305">
        <v>2</v>
      </c>
      <c r="R305" t="b">
        <v>1</v>
      </c>
    </row>
    <row r="306" spans="1:18">
      <c r="A306" t="s">
        <v>886</v>
      </c>
      <c r="B306" t="s">
        <v>889</v>
      </c>
      <c r="C306" t="s">
        <v>890</v>
      </c>
      <c r="E306">
        <v>362</v>
      </c>
      <c r="F306">
        <v>3820</v>
      </c>
      <c r="G306">
        <v>480</v>
      </c>
      <c r="H306">
        <v>2696</v>
      </c>
      <c r="J306" t="s">
        <v>22</v>
      </c>
      <c r="K306" t="b">
        <v>1</v>
      </c>
      <c r="L306">
        <f t="shared" si="4"/>
        <v>842</v>
      </c>
      <c r="M306">
        <f t="shared" si="4"/>
        <v>6516</v>
      </c>
      <c r="N306" t="b">
        <v>0</v>
      </c>
      <c r="O306">
        <v>1</v>
      </c>
      <c r="P306" t="s">
        <v>195</v>
      </c>
      <c r="Q306">
        <v>2</v>
      </c>
      <c r="R306" t="b">
        <v>1</v>
      </c>
    </row>
    <row r="307" spans="1:18">
      <c r="A307" t="s">
        <v>857</v>
      </c>
      <c r="B307" t="s">
        <v>891</v>
      </c>
      <c r="C307" t="s">
        <v>892</v>
      </c>
      <c r="E307">
        <v>428</v>
      </c>
      <c r="F307">
        <v>1330</v>
      </c>
      <c r="G307">
        <v>412</v>
      </c>
      <c r="H307">
        <v>1112</v>
      </c>
      <c r="J307" t="s">
        <v>22</v>
      </c>
      <c r="K307" t="b">
        <v>1</v>
      </c>
      <c r="L307">
        <f t="shared" si="4"/>
        <v>840</v>
      </c>
      <c r="M307">
        <f t="shared" si="4"/>
        <v>2442</v>
      </c>
      <c r="N307" t="b">
        <v>0</v>
      </c>
      <c r="O307">
        <v>1</v>
      </c>
      <c r="P307" t="s">
        <v>893</v>
      </c>
      <c r="Q307">
        <v>2</v>
      </c>
      <c r="R307" t="b">
        <v>1</v>
      </c>
    </row>
    <row r="308" spans="1:18">
      <c r="A308" t="s">
        <v>205</v>
      </c>
      <c r="B308" t="s">
        <v>894</v>
      </c>
      <c r="C308" t="s">
        <v>895</v>
      </c>
      <c r="E308">
        <v>574</v>
      </c>
      <c r="F308">
        <v>2939</v>
      </c>
      <c r="G308">
        <v>265</v>
      </c>
      <c r="H308">
        <v>1434</v>
      </c>
      <c r="J308" t="s">
        <v>22</v>
      </c>
      <c r="K308" t="b">
        <v>1</v>
      </c>
      <c r="L308">
        <f t="shared" si="4"/>
        <v>839</v>
      </c>
      <c r="M308">
        <f t="shared" si="4"/>
        <v>4373</v>
      </c>
      <c r="N308" t="b">
        <v>0</v>
      </c>
      <c r="O308">
        <v>1</v>
      </c>
      <c r="P308" t="s">
        <v>896</v>
      </c>
      <c r="Q308">
        <v>2</v>
      </c>
      <c r="R308" t="b">
        <v>1</v>
      </c>
    </row>
    <row r="309" spans="1:18">
      <c r="A309" t="s">
        <v>248</v>
      </c>
      <c r="B309" t="s">
        <v>897</v>
      </c>
      <c r="C309" t="s">
        <v>898</v>
      </c>
      <c r="E309">
        <v>615</v>
      </c>
      <c r="F309">
        <v>14174</v>
      </c>
      <c r="G309">
        <v>219</v>
      </c>
      <c r="H309">
        <v>3357</v>
      </c>
      <c r="J309" t="s">
        <v>22</v>
      </c>
      <c r="K309" t="b">
        <v>1</v>
      </c>
      <c r="L309">
        <f t="shared" si="4"/>
        <v>834</v>
      </c>
      <c r="M309">
        <f t="shared" si="4"/>
        <v>17531</v>
      </c>
      <c r="N309" t="b">
        <v>0</v>
      </c>
      <c r="O309">
        <v>1</v>
      </c>
      <c r="P309" t="s">
        <v>899</v>
      </c>
      <c r="Q309">
        <v>2</v>
      </c>
      <c r="R309" t="b">
        <v>1</v>
      </c>
    </row>
    <row r="310" spans="1:18" hidden="1">
      <c r="A310" t="s">
        <v>790</v>
      </c>
      <c r="B310" t="s">
        <v>900</v>
      </c>
      <c r="C310" t="s">
        <v>901</v>
      </c>
      <c r="D310" t="s">
        <v>93</v>
      </c>
      <c r="E310">
        <v>344</v>
      </c>
      <c r="F310">
        <v>3733</v>
      </c>
      <c r="G310">
        <v>484</v>
      </c>
      <c r="H310">
        <v>2826</v>
      </c>
      <c r="I310" t="s">
        <v>874</v>
      </c>
      <c r="J310" t="s">
        <v>93</v>
      </c>
      <c r="K310" t="b">
        <v>0</v>
      </c>
      <c r="L310">
        <f t="shared" si="4"/>
        <v>828</v>
      </c>
      <c r="M310">
        <f t="shared" si="4"/>
        <v>6559</v>
      </c>
      <c r="N310" t="b">
        <v>0</v>
      </c>
      <c r="O310">
        <v>0</v>
      </c>
      <c r="Q310">
        <v>0</v>
      </c>
      <c r="R310" t="b">
        <v>0</v>
      </c>
    </row>
    <row r="311" spans="1:18">
      <c r="A311" t="s">
        <v>205</v>
      </c>
      <c r="B311" t="s">
        <v>902</v>
      </c>
      <c r="C311" t="s">
        <v>903</v>
      </c>
      <c r="E311">
        <v>605</v>
      </c>
      <c r="F311">
        <v>8430</v>
      </c>
      <c r="G311">
        <v>220</v>
      </c>
      <c r="H311">
        <v>2347</v>
      </c>
      <c r="J311" t="s">
        <v>22</v>
      </c>
      <c r="K311" t="b">
        <v>1</v>
      </c>
      <c r="L311">
        <f t="shared" si="4"/>
        <v>825</v>
      </c>
      <c r="M311">
        <f t="shared" si="4"/>
        <v>10777</v>
      </c>
      <c r="N311" t="b">
        <v>0</v>
      </c>
      <c r="O311">
        <v>1</v>
      </c>
      <c r="P311" t="s">
        <v>735</v>
      </c>
      <c r="Q311">
        <v>2</v>
      </c>
      <c r="R311" t="b">
        <v>1</v>
      </c>
    </row>
    <row r="312" spans="1:18">
      <c r="A312" t="s">
        <v>857</v>
      </c>
      <c r="B312" t="s">
        <v>904</v>
      </c>
      <c r="C312" t="s">
        <v>905</v>
      </c>
      <c r="E312">
        <v>406</v>
      </c>
      <c r="F312">
        <v>1297</v>
      </c>
      <c r="G312">
        <v>404</v>
      </c>
      <c r="H312">
        <v>1095</v>
      </c>
      <c r="J312" t="s">
        <v>22</v>
      </c>
      <c r="K312" t="b">
        <v>1</v>
      </c>
      <c r="L312">
        <f t="shared" si="4"/>
        <v>810</v>
      </c>
      <c r="M312">
        <f t="shared" si="4"/>
        <v>2392</v>
      </c>
      <c r="N312" t="b">
        <v>0</v>
      </c>
      <c r="O312">
        <v>1</v>
      </c>
      <c r="P312" t="s">
        <v>906</v>
      </c>
      <c r="Q312">
        <v>2</v>
      </c>
      <c r="R312" t="b">
        <v>1</v>
      </c>
    </row>
    <row r="313" spans="1:18">
      <c r="A313" t="s">
        <v>907</v>
      </c>
      <c r="B313" t="s">
        <v>908</v>
      </c>
      <c r="C313" t="s">
        <v>909</v>
      </c>
      <c r="E313">
        <v>575</v>
      </c>
      <c r="F313">
        <v>6653</v>
      </c>
      <c r="G313">
        <v>229</v>
      </c>
      <c r="H313">
        <v>2970</v>
      </c>
      <c r="J313" t="s">
        <v>22</v>
      </c>
      <c r="K313" t="b">
        <v>1</v>
      </c>
      <c r="L313">
        <f t="shared" si="4"/>
        <v>804</v>
      </c>
      <c r="M313">
        <f t="shared" si="4"/>
        <v>9623</v>
      </c>
      <c r="N313" t="b">
        <v>0</v>
      </c>
      <c r="O313">
        <v>1</v>
      </c>
      <c r="P313" t="s">
        <v>910</v>
      </c>
      <c r="Q313">
        <v>1</v>
      </c>
      <c r="R313" t="b">
        <v>1</v>
      </c>
    </row>
    <row r="314" spans="1:18">
      <c r="A314" t="s">
        <v>836</v>
      </c>
      <c r="B314" t="s">
        <v>911</v>
      </c>
      <c r="C314" t="s">
        <v>912</v>
      </c>
      <c r="E314">
        <v>403</v>
      </c>
      <c r="F314">
        <v>1278</v>
      </c>
      <c r="G314">
        <v>381</v>
      </c>
      <c r="H314">
        <v>1039</v>
      </c>
      <c r="J314" t="s">
        <v>22</v>
      </c>
      <c r="K314" t="b">
        <v>1</v>
      </c>
      <c r="L314">
        <f t="shared" si="4"/>
        <v>784</v>
      </c>
      <c r="M314">
        <f t="shared" si="4"/>
        <v>2317</v>
      </c>
      <c r="N314" t="b">
        <v>0</v>
      </c>
      <c r="O314">
        <v>1</v>
      </c>
      <c r="P314" t="s">
        <v>913</v>
      </c>
      <c r="Q314">
        <v>2</v>
      </c>
      <c r="R314" t="b">
        <v>1</v>
      </c>
    </row>
    <row r="315" spans="1:18">
      <c r="A315" t="s">
        <v>30</v>
      </c>
      <c r="B315" t="s">
        <v>914</v>
      </c>
      <c r="C315" t="s">
        <v>915</v>
      </c>
      <c r="E315">
        <v>654</v>
      </c>
      <c r="F315">
        <v>10541</v>
      </c>
      <c r="G315">
        <v>130</v>
      </c>
      <c r="H315">
        <v>1495</v>
      </c>
      <c r="J315" t="s">
        <v>22</v>
      </c>
      <c r="K315" t="b">
        <v>1</v>
      </c>
      <c r="L315">
        <f t="shared" si="4"/>
        <v>784</v>
      </c>
      <c r="M315">
        <f t="shared" si="4"/>
        <v>12036</v>
      </c>
      <c r="N315" t="b">
        <v>0</v>
      </c>
      <c r="O315">
        <v>1</v>
      </c>
      <c r="P315" t="s">
        <v>916</v>
      </c>
      <c r="Q315">
        <v>2</v>
      </c>
      <c r="R315" t="b">
        <v>1</v>
      </c>
    </row>
    <row r="316" spans="1:18">
      <c r="A316" t="s">
        <v>30</v>
      </c>
      <c r="B316" t="s">
        <v>917</v>
      </c>
      <c r="C316" t="s">
        <v>918</v>
      </c>
      <c r="E316">
        <v>500</v>
      </c>
      <c r="F316">
        <v>5923</v>
      </c>
      <c r="G316">
        <v>276</v>
      </c>
      <c r="H316">
        <v>3876</v>
      </c>
      <c r="J316" t="s">
        <v>22</v>
      </c>
      <c r="K316" t="b">
        <v>1</v>
      </c>
      <c r="L316">
        <f t="shared" si="4"/>
        <v>776</v>
      </c>
      <c r="M316">
        <f t="shared" si="4"/>
        <v>9799</v>
      </c>
      <c r="N316" t="b">
        <v>0</v>
      </c>
      <c r="O316">
        <v>1</v>
      </c>
      <c r="P316" t="s">
        <v>919</v>
      </c>
      <c r="Q316">
        <v>2</v>
      </c>
      <c r="R316" t="b">
        <v>1</v>
      </c>
    </row>
    <row r="317" spans="1:18" hidden="1">
      <c r="A317" t="s">
        <v>882</v>
      </c>
      <c r="B317" t="s">
        <v>920</v>
      </c>
      <c r="C317" t="s">
        <v>921</v>
      </c>
      <c r="D317" t="s">
        <v>519</v>
      </c>
      <c r="E317">
        <v>470</v>
      </c>
      <c r="F317">
        <v>1825</v>
      </c>
      <c r="G317">
        <v>305</v>
      </c>
      <c r="H317">
        <v>1153</v>
      </c>
      <c r="I317" t="s">
        <v>885</v>
      </c>
      <c r="J317" t="s">
        <v>93</v>
      </c>
      <c r="K317" t="b">
        <v>0</v>
      </c>
      <c r="L317">
        <f t="shared" si="4"/>
        <v>775</v>
      </c>
      <c r="M317">
        <f t="shared" si="4"/>
        <v>2978</v>
      </c>
      <c r="N317" t="b">
        <v>0</v>
      </c>
      <c r="O317">
        <v>0</v>
      </c>
      <c r="Q317">
        <v>0</v>
      </c>
      <c r="R317" t="b">
        <v>0</v>
      </c>
    </row>
    <row r="318" spans="1:18" hidden="1">
      <c r="A318" t="s">
        <v>882</v>
      </c>
      <c r="B318" t="s">
        <v>922</v>
      </c>
      <c r="C318" t="s">
        <v>923</v>
      </c>
      <c r="D318" t="s">
        <v>519</v>
      </c>
      <c r="E318">
        <v>468</v>
      </c>
      <c r="F318">
        <v>1825</v>
      </c>
      <c r="G318">
        <v>305</v>
      </c>
      <c r="H318">
        <v>1153</v>
      </c>
      <c r="I318" t="s">
        <v>885</v>
      </c>
      <c r="J318" t="s">
        <v>93</v>
      </c>
      <c r="K318" t="b">
        <v>0</v>
      </c>
      <c r="L318">
        <f t="shared" si="4"/>
        <v>773</v>
      </c>
      <c r="M318">
        <f t="shared" si="4"/>
        <v>2978</v>
      </c>
      <c r="N318" t="b">
        <v>0</v>
      </c>
      <c r="O318">
        <v>0</v>
      </c>
      <c r="Q318">
        <v>0</v>
      </c>
      <c r="R318" t="b">
        <v>0</v>
      </c>
    </row>
    <row r="319" spans="1:18">
      <c r="A319" t="s">
        <v>235</v>
      </c>
      <c r="B319" t="s">
        <v>924</v>
      </c>
      <c r="C319" t="s">
        <v>925</v>
      </c>
      <c r="E319">
        <v>612</v>
      </c>
      <c r="F319">
        <v>13848</v>
      </c>
      <c r="G319">
        <v>152</v>
      </c>
      <c r="H319">
        <v>2677</v>
      </c>
      <c r="J319" t="s">
        <v>22</v>
      </c>
      <c r="K319" t="b">
        <v>1</v>
      </c>
      <c r="L319">
        <f t="shared" si="4"/>
        <v>764</v>
      </c>
      <c r="M319">
        <f t="shared" si="4"/>
        <v>16525</v>
      </c>
      <c r="N319" t="b">
        <v>0</v>
      </c>
      <c r="O319">
        <v>1</v>
      </c>
      <c r="P319" t="s">
        <v>926</v>
      </c>
      <c r="Q319">
        <v>2</v>
      </c>
      <c r="R319" t="b">
        <v>1</v>
      </c>
    </row>
    <row r="320" spans="1:18">
      <c r="A320" t="s">
        <v>235</v>
      </c>
      <c r="B320" t="s">
        <v>927</v>
      </c>
      <c r="C320" t="s">
        <v>928</v>
      </c>
      <c r="E320">
        <v>612</v>
      </c>
      <c r="F320">
        <v>13848</v>
      </c>
      <c r="G320">
        <v>152</v>
      </c>
      <c r="H320">
        <v>2677</v>
      </c>
      <c r="J320" t="s">
        <v>22</v>
      </c>
      <c r="K320" t="b">
        <v>1</v>
      </c>
      <c r="L320">
        <f t="shared" si="4"/>
        <v>764</v>
      </c>
      <c r="M320">
        <f t="shared" si="4"/>
        <v>16525</v>
      </c>
      <c r="N320" t="b">
        <v>0</v>
      </c>
      <c r="O320">
        <v>1</v>
      </c>
      <c r="P320" t="s">
        <v>929</v>
      </c>
      <c r="Q320">
        <v>2</v>
      </c>
      <c r="R320" t="b">
        <v>1</v>
      </c>
    </row>
    <row r="321" spans="1:18" hidden="1">
      <c r="A321" t="s">
        <v>809</v>
      </c>
      <c r="B321" t="s">
        <v>930</v>
      </c>
      <c r="C321" s="2" t="s">
        <v>931</v>
      </c>
      <c r="D321" t="s">
        <v>93</v>
      </c>
      <c r="E321">
        <v>560</v>
      </c>
      <c r="F321">
        <v>3139</v>
      </c>
      <c r="G321">
        <v>204</v>
      </c>
      <c r="H321">
        <v>3334</v>
      </c>
      <c r="I321" t="s">
        <v>812</v>
      </c>
      <c r="J321" t="s">
        <v>93</v>
      </c>
      <c r="K321" t="b">
        <v>0</v>
      </c>
      <c r="L321">
        <f t="shared" si="4"/>
        <v>764</v>
      </c>
      <c r="M321">
        <f t="shared" si="4"/>
        <v>6473</v>
      </c>
      <c r="N321" t="b">
        <v>0</v>
      </c>
      <c r="O321">
        <v>0</v>
      </c>
      <c r="Q321">
        <v>0</v>
      </c>
      <c r="R321" t="b">
        <v>0</v>
      </c>
    </row>
    <row r="322" spans="1:18" hidden="1">
      <c r="A322" t="s">
        <v>809</v>
      </c>
      <c r="B322" t="s">
        <v>932</v>
      </c>
      <c r="C322" s="2" t="s">
        <v>933</v>
      </c>
      <c r="D322" t="s">
        <v>93</v>
      </c>
      <c r="E322">
        <v>556</v>
      </c>
      <c r="F322">
        <v>3139</v>
      </c>
      <c r="G322">
        <v>203</v>
      </c>
      <c r="H322">
        <v>3333</v>
      </c>
      <c r="I322" t="s">
        <v>812</v>
      </c>
      <c r="J322" t="s">
        <v>93</v>
      </c>
      <c r="K322" t="b">
        <v>0</v>
      </c>
      <c r="L322">
        <f t="shared" si="4"/>
        <v>759</v>
      </c>
      <c r="M322">
        <f t="shared" si="4"/>
        <v>6472</v>
      </c>
      <c r="N322" t="b">
        <v>0</v>
      </c>
      <c r="O322">
        <v>0</v>
      </c>
      <c r="Q322">
        <v>0</v>
      </c>
      <c r="R322" t="b">
        <v>0</v>
      </c>
    </row>
    <row r="323" spans="1:18">
      <c r="A323" t="s">
        <v>87</v>
      </c>
      <c r="B323" t="s">
        <v>934</v>
      </c>
      <c r="C323" t="s">
        <v>935</v>
      </c>
      <c r="E323">
        <v>717</v>
      </c>
      <c r="F323">
        <v>61</v>
      </c>
      <c r="G323">
        <v>34</v>
      </c>
      <c r="H323">
        <v>43</v>
      </c>
      <c r="J323" t="s">
        <v>22</v>
      </c>
      <c r="K323" t="b">
        <v>1</v>
      </c>
      <c r="L323">
        <f t="shared" ref="L323:M386" si="5">E323+G323</f>
        <v>751</v>
      </c>
      <c r="M323">
        <f t="shared" si="5"/>
        <v>104</v>
      </c>
      <c r="N323" t="b">
        <v>0</v>
      </c>
      <c r="O323">
        <v>1</v>
      </c>
      <c r="P323" t="s">
        <v>936</v>
      </c>
      <c r="Q323">
        <v>2</v>
      </c>
      <c r="R323" t="b">
        <v>1</v>
      </c>
    </row>
    <row r="324" spans="1:18" hidden="1">
      <c r="A324" t="s">
        <v>43</v>
      </c>
      <c r="B324" t="s">
        <v>937</v>
      </c>
      <c r="C324" s="2" t="s">
        <v>938</v>
      </c>
      <c r="D324" t="s">
        <v>93</v>
      </c>
      <c r="E324">
        <v>598</v>
      </c>
      <c r="F324">
        <v>6117</v>
      </c>
      <c r="G324">
        <v>144</v>
      </c>
      <c r="H324">
        <v>1486</v>
      </c>
      <c r="I324" t="s">
        <v>939</v>
      </c>
      <c r="J324" t="s">
        <v>93</v>
      </c>
      <c r="K324" t="b">
        <v>1</v>
      </c>
      <c r="L324">
        <f t="shared" si="5"/>
        <v>742</v>
      </c>
      <c r="M324">
        <f t="shared" si="5"/>
        <v>7603</v>
      </c>
      <c r="N324" t="b">
        <v>0</v>
      </c>
      <c r="O324">
        <v>0</v>
      </c>
      <c r="Q324">
        <v>0</v>
      </c>
      <c r="R324" t="b">
        <v>0</v>
      </c>
    </row>
    <row r="325" spans="1:18" hidden="1">
      <c r="A325" t="s">
        <v>940</v>
      </c>
      <c r="B325" t="s">
        <v>941</v>
      </c>
      <c r="C325" t="s">
        <v>942</v>
      </c>
      <c r="D325" t="s">
        <v>435</v>
      </c>
      <c r="E325">
        <v>0</v>
      </c>
      <c r="F325">
        <v>0</v>
      </c>
      <c r="G325">
        <v>737</v>
      </c>
      <c r="H325">
        <v>8553</v>
      </c>
      <c r="J325" t="s">
        <v>93</v>
      </c>
      <c r="K325" t="b">
        <v>0</v>
      </c>
      <c r="L325">
        <f t="shared" si="5"/>
        <v>737</v>
      </c>
      <c r="M325">
        <f t="shared" si="5"/>
        <v>8553</v>
      </c>
      <c r="N325" t="b">
        <v>0</v>
      </c>
      <c r="O325">
        <v>0</v>
      </c>
      <c r="Q325">
        <v>0</v>
      </c>
      <c r="R325" t="b">
        <v>0</v>
      </c>
    </row>
    <row r="326" spans="1:18">
      <c r="A326" t="s">
        <v>205</v>
      </c>
      <c r="B326" t="s">
        <v>943</v>
      </c>
      <c r="C326" t="s">
        <v>944</v>
      </c>
      <c r="E326">
        <v>470</v>
      </c>
      <c r="F326">
        <v>2708</v>
      </c>
      <c r="G326">
        <v>258</v>
      </c>
      <c r="H326">
        <v>2284</v>
      </c>
      <c r="J326" t="s">
        <v>22</v>
      </c>
      <c r="K326" t="b">
        <v>1</v>
      </c>
      <c r="L326">
        <f t="shared" si="5"/>
        <v>728</v>
      </c>
      <c r="M326">
        <f t="shared" si="5"/>
        <v>4992</v>
      </c>
      <c r="N326" t="b">
        <v>0</v>
      </c>
      <c r="O326">
        <v>1</v>
      </c>
      <c r="P326" t="s">
        <v>945</v>
      </c>
      <c r="Q326">
        <v>2</v>
      </c>
      <c r="R326" t="b">
        <v>1</v>
      </c>
    </row>
    <row r="327" spans="1:18">
      <c r="A327" t="s">
        <v>192</v>
      </c>
      <c r="B327" t="s">
        <v>946</v>
      </c>
      <c r="C327" t="s">
        <v>947</v>
      </c>
      <c r="E327">
        <v>629</v>
      </c>
      <c r="F327">
        <v>154</v>
      </c>
      <c r="G327">
        <v>98</v>
      </c>
      <c r="H327">
        <v>108</v>
      </c>
      <c r="J327" t="s">
        <v>22</v>
      </c>
      <c r="K327" t="b">
        <v>1</v>
      </c>
      <c r="L327">
        <f t="shared" si="5"/>
        <v>727</v>
      </c>
      <c r="M327">
        <f t="shared" si="5"/>
        <v>262</v>
      </c>
      <c r="N327" t="b">
        <v>0</v>
      </c>
      <c r="O327">
        <v>1</v>
      </c>
      <c r="P327" t="s">
        <v>948</v>
      </c>
      <c r="Q327">
        <v>2</v>
      </c>
      <c r="R327" t="b">
        <v>1</v>
      </c>
    </row>
    <row r="328" spans="1:18">
      <c r="A328" t="s">
        <v>24</v>
      </c>
      <c r="B328" t="s">
        <v>949</v>
      </c>
      <c r="C328" t="s">
        <v>950</v>
      </c>
      <c r="E328">
        <v>547</v>
      </c>
      <c r="F328">
        <v>8649</v>
      </c>
      <c r="G328">
        <v>179</v>
      </c>
      <c r="H328">
        <v>1690</v>
      </c>
      <c r="J328" t="s">
        <v>22</v>
      </c>
      <c r="K328" t="b">
        <v>1</v>
      </c>
      <c r="L328">
        <f t="shared" si="5"/>
        <v>726</v>
      </c>
      <c r="M328">
        <f t="shared" si="5"/>
        <v>10339</v>
      </c>
      <c r="N328" t="b">
        <v>0</v>
      </c>
      <c r="O328">
        <v>1</v>
      </c>
      <c r="P328" t="s">
        <v>951</v>
      </c>
      <c r="Q328">
        <v>2</v>
      </c>
      <c r="R328" t="b">
        <v>1</v>
      </c>
    </row>
    <row r="329" spans="1:18">
      <c r="A329" t="s">
        <v>59</v>
      </c>
      <c r="B329" t="s">
        <v>952</v>
      </c>
      <c r="C329" t="s">
        <v>953</v>
      </c>
      <c r="E329">
        <v>470</v>
      </c>
      <c r="F329">
        <v>3789</v>
      </c>
      <c r="G329">
        <v>253</v>
      </c>
      <c r="H329">
        <v>1445</v>
      </c>
      <c r="J329" t="s">
        <v>22</v>
      </c>
      <c r="K329" t="b">
        <v>1</v>
      </c>
      <c r="L329">
        <f t="shared" si="5"/>
        <v>723</v>
      </c>
      <c r="M329">
        <f t="shared" si="5"/>
        <v>5234</v>
      </c>
      <c r="N329" t="b">
        <v>0</v>
      </c>
      <c r="O329">
        <v>1</v>
      </c>
      <c r="P329" t="s">
        <v>954</v>
      </c>
      <c r="Q329">
        <v>2</v>
      </c>
      <c r="R329" t="b">
        <v>1</v>
      </c>
    </row>
    <row r="330" spans="1:18" hidden="1">
      <c r="A330" t="s">
        <v>133</v>
      </c>
      <c r="B330" t="s">
        <v>955</v>
      </c>
      <c r="C330" t="s">
        <v>956</v>
      </c>
      <c r="D330" s="7" t="s">
        <v>649</v>
      </c>
      <c r="E330">
        <v>546</v>
      </c>
      <c r="F330">
        <v>7831</v>
      </c>
      <c r="G330">
        <v>163</v>
      </c>
      <c r="H330">
        <v>3341</v>
      </c>
      <c r="J330" t="s">
        <v>93</v>
      </c>
      <c r="K330" t="b">
        <v>1</v>
      </c>
      <c r="L330">
        <f t="shared" si="5"/>
        <v>709</v>
      </c>
      <c r="M330">
        <f t="shared" si="5"/>
        <v>11172</v>
      </c>
      <c r="N330" t="b">
        <v>0</v>
      </c>
      <c r="O330">
        <v>0</v>
      </c>
      <c r="Q330">
        <v>0</v>
      </c>
      <c r="R330" t="b">
        <v>0</v>
      </c>
    </row>
    <row r="331" spans="1:18">
      <c r="A331" t="s">
        <v>24</v>
      </c>
      <c r="B331" t="s">
        <v>957</v>
      </c>
      <c r="C331" t="s">
        <v>958</v>
      </c>
      <c r="E331">
        <v>555</v>
      </c>
      <c r="F331">
        <v>12496</v>
      </c>
      <c r="G331">
        <v>147</v>
      </c>
      <c r="H331">
        <v>2062</v>
      </c>
      <c r="J331" t="s">
        <v>22</v>
      </c>
      <c r="K331" t="b">
        <v>1</v>
      </c>
      <c r="L331">
        <f t="shared" si="5"/>
        <v>702</v>
      </c>
      <c r="M331">
        <f t="shared" si="5"/>
        <v>14558</v>
      </c>
      <c r="N331" t="b">
        <v>0</v>
      </c>
      <c r="O331">
        <v>1</v>
      </c>
      <c r="P331" t="s">
        <v>959</v>
      </c>
      <c r="Q331">
        <v>2</v>
      </c>
      <c r="R331" t="b">
        <v>1</v>
      </c>
    </row>
    <row r="332" spans="1:18">
      <c r="A332" t="s">
        <v>24</v>
      </c>
      <c r="B332" t="s">
        <v>960</v>
      </c>
      <c r="C332" t="s">
        <v>961</v>
      </c>
      <c r="E332">
        <v>548</v>
      </c>
      <c r="F332">
        <v>12503</v>
      </c>
      <c r="G332">
        <v>140</v>
      </c>
      <c r="H332">
        <v>2646</v>
      </c>
      <c r="J332" t="s">
        <v>22</v>
      </c>
      <c r="K332" t="b">
        <v>1</v>
      </c>
      <c r="L332">
        <f t="shared" si="5"/>
        <v>688</v>
      </c>
      <c r="M332">
        <f t="shared" si="5"/>
        <v>15149</v>
      </c>
      <c r="N332" t="b">
        <v>0</v>
      </c>
      <c r="O332">
        <v>1</v>
      </c>
      <c r="P332" t="s">
        <v>962</v>
      </c>
      <c r="Q332">
        <v>2</v>
      </c>
      <c r="R332" t="b">
        <v>1</v>
      </c>
    </row>
    <row r="333" spans="1:18">
      <c r="A333" t="s">
        <v>24</v>
      </c>
      <c r="B333" t="s">
        <v>963</v>
      </c>
      <c r="C333" t="s">
        <v>964</v>
      </c>
      <c r="E333">
        <v>431</v>
      </c>
      <c r="F333">
        <v>1832</v>
      </c>
      <c r="G333">
        <v>256</v>
      </c>
      <c r="H333">
        <v>907</v>
      </c>
      <c r="J333" t="s">
        <v>22</v>
      </c>
      <c r="K333" t="b">
        <v>1</v>
      </c>
      <c r="L333">
        <f t="shared" si="5"/>
        <v>687</v>
      </c>
      <c r="M333">
        <f t="shared" si="5"/>
        <v>2739</v>
      </c>
      <c r="N333" t="b">
        <v>0</v>
      </c>
      <c r="O333">
        <v>1</v>
      </c>
      <c r="P333" t="s">
        <v>965</v>
      </c>
      <c r="Q333">
        <v>2</v>
      </c>
      <c r="R333" t="b">
        <v>1</v>
      </c>
    </row>
    <row r="334" spans="1:18">
      <c r="A334" t="s">
        <v>24</v>
      </c>
      <c r="B334" t="s">
        <v>966</v>
      </c>
      <c r="C334" t="s">
        <v>967</v>
      </c>
      <c r="E334">
        <v>526</v>
      </c>
      <c r="F334">
        <v>11945</v>
      </c>
      <c r="G334">
        <v>154</v>
      </c>
      <c r="H334">
        <v>2632</v>
      </c>
      <c r="J334" t="s">
        <v>22</v>
      </c>
      <c r="K334" t="b">
        <v>1</v>
      </c>
      <c r="L334">
        <f t="shared" si="5"/>
        <v>680</v>
      </c>
      <c r="M334">
        <f t="shared" si="5"/>
        <v>14577</v>
      </c>
      <c r="N334" t="b">
        <v>0</v>
      </c>
      <c r="O334">
        <v>1</v>
      </c>
      <c r="P334" t="s">
        <v>968</v>
      </c>
      <c r="Q334">
        <v>2</v>
      </c>
      <c r="R334" t="b">
        <v>1</v>
      </c>
    </row>
    <row r="335" spans="1:18">
      <c r="A335" t="s">
        <v>59</v>
      </c>
      <c r="B335" t="s">
        <v>969</v>
      </c>
      <c r="C335" t="s">
        <v>970</v>
      </c>
      <c r="E335">
        <v>674</v>
      </c>
      <c r="F335">
        <v>4708</v>
      </c>
      <c r="G335">
        <v>0</v>
      </c>
      <c r="H335">
        <v>0</v>
      </c>
      <c r="J335" t="s">
        <v>22</v>
      </c>
      <c r="K335" t="b">
        <v>1</v>
      </c>
      <c r="L335">
        <f t="shared" si="5"/>
        <v>674</v>
      </c>
      <c r="M335">
        <f t="shared" si="5"/>
        <v>4708</v>
      </c>
      <c r="N335" t="b">
        <v>0</v>
      </c>
      <c r="O335">
        <v>1</v>
      </c>
      <c r="P335" t="s">
        <v>971</v>
      </c>
      <c r="Q335">
        <v>2</v>
      </c>
      <c r="R335" t="b">
        <v>1</v>
      </c>
    </row>
    <row r="336" spans="1:18" hidden="1">
      <c r="A336" t="s">
        <v>235</v>
      </c>
      <c r="B336" t="s">
        <v>972</v>
      </c>
      <c r="C336" s="2" t="s">
        <v>973</v>
      </c>
      <c r="D336" s="2" t="s">
        <v>92</v>
      </c>
      <c r="E336">
        <v>535</v>
      </c>
      <c r="F336">
        <v>13848</v>
      </c>
      <c r="G336">
        <v>137</v>
      </c>
      <c r="H336">
        <v>2661</v>
      </c>
      <c r="J336" t="s">
        <v>93</v>
      </c>
      <c r="K336" t="b">
        <v>1</v>
      </c>
      <c r="L336">
        <f t="shared" si="5"/>
        <v>672</v>
      </c>
      <c r="M336">
        <f t="shared" si="5"/>
        <v>16509</v>
      </c>
      <c r="N336" t="b">
        <v>0</v>
      </c>
      <c r="O336">
        <v>0</v>
      </c>
      <c r="Q336">
        <v>0</v>
      </c>
      <c r="R336" t="b">
        <v>0</v>
      </c>
    </row>
    <row r="337" spans="1:18">
      <c r="A337" t="s">
        <v>59</v>
      </c>
      <c r="B337" t="s">
        <v>974</v>
      </c>
      <c r="C337" t="s">
        <v>975</v>
      </c>
      <c r="E337">
        <v>460</v>
      </c>
      <c r="F337">
        <v>8672</v>
      </c>
      <c r="G337">
        <v>211</v>
      </c>
      <c r="H337">
        <v>1038</v>
      </c>
      <c r="J337" t="s">
        <v>22</v>
      </c>
      <c r="K337" t="b">
        <v>1</v>
      </c>
      <c r="L337">
        <f t="shared" si="5"/>
        <v>671</v>
      </c>
      <c r="M337">
        <f t="shared" si="5"/>
        <v>9710</v>
      </c>
      <c r="N337" t="b">
        <v>0</v>
      </c>
      <c r="O337">
        <v>1</v>
      </c>
      <c r="P337" t="s">
        <v>976</v>
      </c>
      <c r="Q337">
        <v>2</v>
      </c>
      <c r="R337" t="b">
        <v>1</v>
      </c>
    </row>
    <row r="338" spans="1:18">
      <c r="A338" t="s">
        <v>352</v>
      </c>
      <c r="B338" t="s">
        <v>977</v>
      </c>
      <c r="C338" t="s">
        <v>978</v>
      </c>
      <c r="E338">
        <v>530</v>
      </c>
      <c r="F338">
        <v>8828</v>
      </c>
      <c r="G338">
        <v>136</v>
      </c>
      <c r="H338">
        <v>2408</v>
      </c>
      <c r="J338" t="s">
        <v>22</v>
      </c>
      <c r="K338" t="b">
        <v>1</v>
      </c>
      <c r="L338">
        <f t="shared" si="5"/>
        <v>666</v>
      </c>
      <c r="M338">
        <f t="shared" si="5"/>
        <v>11236</v>
      </c>
      <c r="N338" t="b">
        <v>0</v>
      </c>
      <c r="O338">
        <v>1</v>
      </c>
      <c r="P338" t="s">
        <v>979</v>
      </c>
      <c r="Q338">
        <v>1</v>
      </c>
      <c r="R338" t="b">
        <v>1</v>
      </c>
    </row>
    <row r="339" spans="1:18">
      <c r="A339" t="s">
        <v>378</v>
      </c>
      <c r="B339" t="s">
        <v>980</v>
      </c>
      <c r="C339" t="s">
        <v>981</v>
      </c>
      <c r="E339">
        <v>433</v>
      </c>
      <c r="F339">
        <v>8360</v>
      </c>
      <c r="G339">
        <v>227</v>
      </c>
      <c r="H339">
        <v>4676</v>
      </c>
      <c r="J339" t="s">
        <v>22</v>
      </c>
      <c r="K339" t="b">
        <v>1</v>
      </c>
      <c r="L339">
        <f t="shared" si="5"/>
        <v>660</v>
      </c>
      <c r="M339">
        <f t="shared" si="5"/>
        <v>13036</v>
      </c>
      <c r="N339" t="b">
        <v>0</v>
      </c>
      <c r="O339">
        <v>1</v>
      </c>
      <c r="P339" t="s">
        <v>982</v>
      </c>
      <c r="Q339">
        <v>2</v>
      </c>
      <c r="R339" t="b">
        <v>1</v>
      </c>
    </row>
    <row r="340" spans="1:18">
      <c r="A340" t="s">
        <v>24</v>
      </c>
      <c r="B340" t="s">
        <v>983</v>
      </c>
      <c r="C340" t="s">
        <v>984</v>
      </c>
      <c r="E340">
        <v>514</v>
      </c>
      <c r="F340">
        <v>12391</v>
      </c>
      <c r="G340">
        <v>142</v>
      </c>
      <c r="H340">
        <v>2898</v>
      </c>
      <c r="J340" t="s">
        <v>22</v>
      </c>
      <c r="K340" t="b">
        <v>1</v>
      </c>
      <c r="L340">
        <f t="shared" si="5"/>
        <v>656</v>
      </c>
      <c r="M340">
        <f t="shared" si="5"/>
        <v>15289</v>
      </c>
      <c r="N340" t="b">
        <v>0</v>
      </c>
      <c r="O340">
        <v>1</v>
      </c>
      <c r="P340" t="s">
        <v>985</v>
      </c>
      <c r="Q340">
        <v>2</v>
      </c>
      <c r="R340" t="b">
        <v>1</v>
      </c>
    </row>
    <row r="341" spans="1:18">
      <c r="A341" t="s">
        <v>857</v>
      </c>
      <c r="B341" t="s">
        <v>986</v>
      </c>
      <c r="C341" t="s">
        <v>987</v>
      </c>
      <c r="E341">
        <v>339</v>
      </c>
      <c r="F341">
        <v>1112</v>
      </c>
      <c r="G341">
        <v>305</v>
      </c>
      <c r="H341">
        <v>825</v>
      </c>
      <c r="J341" t="s">
        <v>22</v>
      </c>
      <c r="K341" t="b">
        <v>1</v>
      </c>
      <c r="L341">
        <f t="shared" si="5"/>
        <v>644</v>
      </c>
      <c r="M341">
        <f t="shared" si="5"/>
        <v>1937</v>
      </c>
      <c r="N341" t="b">
        <v>0</v>
      </c>
      <c r="O341">
        <v>1</v>
      </c>
      <c r="P341" t="s">
        <v>988</v>
      </c>
      <c r="Q341">
        <v>2</v>
      </c>
      <c r="R341" t="b">
        <v>1</v>
      </c>
    </row>
    <row r="342" spans="1:18">
      <c r="A342" t="s">
        <v>378</v>
      </c>
      <c r="B342" t="s">
        <v>989</v>
      </c>
      <c r="C342" t="s">
        <v>990</v>
      </c>
      <c r="E342">
        <v>349</v>
      </c>
      <c r="F342">
        <v>3745</v>
      </c>
      <c r="G342">
        <v>293</v>
      </c>
      <c r="H342">
        <v>3431</v>
      </c>
      <c r="J342" t="s">
        <v>22</v>
      </c>
      <c r="K342" t="b">
        <v>1</v>
      </c>
      <c r="L342">
        <f t="shared" si="5"/>
        <v>642</v>
      </c>
      <c r="M342">
        <f t="shared" si="5"/>
        <v>7176</v>
      </c>
      <c r="N342" t="b">
        <v>0</v>
      </c>
      <c r="O342">
        <v>1</v>
      </c>
      <c r="P342" t="s">
        <v>991</v>
      </c>
      <c r="Q342">
        <v>2</v>
      </c>
      <c r="R342" t="b">
        <v>1</v>
      </c>
    </row>
    <row r="343" spans="1:18" hidden="1">
      <c r="A343" t="s">
        <v>133</v>
      </c>
      <c r="B343" t="s">
        <v>992</v>
      </c>
      <c r="C343" t="s">
        <v>993</v>
      </c>
      <c r="D343" s="7" t="s">
        <v>649</v>
      </c>
      <c r="E343">
        <v>485</v>
      </c>
      <c r="F343">
        <v>10447</v>
      </c>
      <c r="G343">
        <v>156</v>
      </c>
      <c r="H343">
        <v>3415</v>
      </c>
      <c r="J343" t="s">
        <v>93</v>
      </c>
      <c r="K343" t="b">
        <v>1</v>
      </c>
      <c r="L343">
        <f t="shared" si="5"/>
        <v>641</v>
      </c>
      <c r="M343">
        <f t="shared" si="5"/>
        <v>13862</v>
      </c>
      <c r="N343" t="b">
        <v>0</v>
      </c>
      <c r="O343">
        <v>0</v>
      </c>
      <c r="Q343">
        <v>0</v>
      </c>
      <c r="R343" t="b">
        <v>0</v>
      </c>
    </row>
    <row r="344" spans="1:18" hidden="1">
      <c r="A344" t="s">
        <v>378</v>
      </c>
      <c r="B344" t="s">
        <v>994</v>
      </c>
      <c r="C344" s="5" t="s">
        <v>995</v>
      </c>
      <c r="D344" t="s">
        <v>93</v>
      </c>
      <c r="E344">
        <v>341</v>
      </c>
      <c r="F344">
        <v>1700</v>
      </c>
      <c r="G344">
        <v>296</v>
      </c>
      <c r="H344">
        <v>3229</v>
      </c>
      <c r="J344" t="s">
        <v>93</v>
      </c>
      <c r="K344" t="b">
        <v>1</v>
      </c>
      <c r="L344">
        <f t="shared" si="5"/>
        <v>637</v>
      </c>
      <c r="M344">
        <f t="shared" si="5"/>
        <v>4929</v>
      </c>
      <c r="N344" t="b">
        <v>0</v>
      </c>
      <c r="O344">
        <v>0</v>
      </c>
      <c r="Q344">
        <v>0</v>
      </c>
      <c r="R344" t="b">
        <v>0</v>
      </c>
    </row>
    <row r="345" spans="1:18" hidden="1">
      <c r="A345" t="s">
        <v>37</v>
      </c>
      <c r="B345" t="s">
        <v>996</v>
      </c>
      <c r="C345" s="2" t="s">
        <v>997</v>
      </c>
      <c r="D345" t="s">
        <v>93</v>
      </c>
      <c r="E345">
        <v>446</v>
      </c>
      <c r="F345">
        <v>9626</v>
      </c>
      <c r="G345">
        <v>189</v>
      </c>
      <c r="H345">
        <v>3551</v>
      </c>
      <c r="I345" t="s">
        <v>998</v>
      </c>
      <c r="J345" t="s">
        <v>999</v>
      </c>
      <c r="K345" t="b">
        <v>1</v>
      </c>
      <c r="L345">
        <f t="shared" si="5"/>
        <v>635</v>
      </c>
      <c r="M345">
        <f t="shared" si="5"/>
        <v>13177</v>
      </c>
      <c r="N345" t="b">
        <v>0</v>
      </c>
      <c r="O345">
        <v>0.5</v>
      </c>
      <c r="P345" t="s">
        <v>312</v>
      </c>
      <c r="Q345">
        <v>2</v>
      </c>
      <c r="R345" t="b">
        <v>1</v>
      </c>
    </row>
    <row r="346" spans="1:18" hidden="1">
      <c r="A346" t="s">
        <v>37</v>
      </c>
      <c r="B346" t="s">
        <v>1000</v>
      </c>
      <c r="C346" s="2" t="s">
        <v>1001</v>
      </c>
      <c r="D346" t="s">
        <v>93</v>
      </c>
      <c r="E346">
        <v>446</v>
      </c>
      <c r="F346">
        <v>9626</v>
      </c>
      <c r="G346">
        <v>189</v>
      </c>
      <c r="H346">
        <v>3551</v>
      </c>
      <c r="I346" t="s">
        <v>998</v>
      </c>
      <c r="J346" t="s">
        <v>999</v>
      </c>
      <c r="K346" t="b">
        <v>1</v>
      </c>
      <c r="L346">
        <f t="shared" si="5"/>
        <v>635</v>
      </c>
      <c r="M346">
        <f t="shared" si="5"/>
        <v>13177</v>
      </c>
      <c r="N346" t="b">
        <v>0</v>
      </c>
      <c r="O346">
        <v>0.5</v>
      </c>
      <c r="P346" t="s">
        <v>315</v>
      </c>
      <c r="Q346">
        <v>2</v>
      </c>
      <c r="R346" t="b">
        <v>1</v>
      </c>
    </row>
    <row r="347" spans="1:18">
      <c r="A347" t="s">
        <v>24</v>
      </c>
      <c r="B347" t="s">
        <v>1002</v>
      </c>
      <c r="C347" t="s">
        <v>1003</v>
      </c>
      <c r="E347">
        <v>472</v>
      </c>
      <c r="F347">
        <v>10777</v>
      </c>
      <c r="G347">
        <v>161</v>
      </c>
      <c r="H347">
        <v>2008</v>
      </c>
      <c r="J347" t="s">
        <v>22</v>
      </c>
      <c r="K347" t="b">
        <v>1</v>
      </c>
      <c r="L347">
        <f t="shared" si="5"/>
        <v>633</v>
      </c>
      <c r="M347">
        <f t="shared" si="5"/>
        <v>12785</v>
      </c>
      <c r="N347" t="b">
        <v>0</v>
      </c>
      <c r="O347">
        <v>1</v>
      </c>
      <c r="P347" t="s">
        <v>1004</v>
      </c>
      <c r="Q347">
        <v>2</v>
      </c>
      <c r="R347" t="b">
        <v>1</v>
      </c>
    </row>
    <row r="348" spans="1:18" hidden="1">
      <c r="A348" t="s">
        <v>37</v>
      </c>
      <c r="B348" t="s">
        <v>1005</v>
      </c>
      <c r="C348" t="s">
        <v>1006</v>
      </c>
      <c r="D348" t="s">
        <v>446</v>
      </c>
      <c r="E348">
        <v>431</v>
      </c>
      <c r="F348">
        <v>20074</v>
      </c>
      <c r="G348">
        <v>201</v>
      </c>
      <c r="H348">
        <v>6857</v>
      </c>
      <c r="I348" t="s">
        <v>1007</v>
      </c>
      <c r="J348" t="s">
        <v>93</v>
      </c>
      <c r="K348" t="b">
        <v>1</v>
      </c>
      <c r="L348">
        <f t="shared" si="5"/>
        <v>632</v>
      </c>
      <c r="M348">
        <f t="shared" si="5"/>
        <v>26931</v>
      </c>
      <c r="N348" t="b">
        <v>0</v>
      </c>
      <c r="O348">
        <v>0.25</v>
      </c>
      <c r="P348" t="s">
        <v>351</v>
      </c>
      <c r="Q348">
        <v>2</v>
      </c>
      <c r="R348" t="b">
        <v>1</v>
      </c>
    </row>
    <row r="349" spans="1:18">
      <c r="A349" t="s">
        <v>59</v>
      </c>
      <c r="B349" t="s">
        <v>1008</v>
      </c>
      <c r="C349" t="s">
        <v>1009</v>
      </c>
      <c r="E349">
        <v>628</v>
      </c>
      <c r="F349">
        <v>3356</v>
      </c>
      <c r="G349">
        <v>0</v>
      </c>
      <c r="H349">
        <v>0</v>
      </c>
      <c r="J349" t="s">
        <v>22</v>
      </c>
      <c r="K349" t="b">
        <v>1</v>
      </c>
      <c r="L349">
        <f t="shared" si="5"/>
        <v>628</v>
      </c>
      <c r="M349">
        <f t="shared" si="5"/>
        <v>3356</v>
      </c>
      <c r="N349" t="b">
        <v>0</v>
      </c>
      <c r="O349">
        <v>1</v>
      </c>
      <c r="P349" t="s">
        <v>1010</v>
      </c>
      <c r="Q349">
        <v>2</v>
      </c>
      <c r="R349" t="b">
        <v>1</v>
      </c>
    </row>
    <row r="350" spans="1:18">
      <c r="A350" t="s">
        <v>192</v>
      </c>
      <c r="B350" t="s">
        <v>1011</v>
      </c>
      <c r="C350" t="s">
        <v>1012</v>
      </c>
      <c r="E350">
        <v>568</v>
      </c>
      <c r="F350">
        <v>150</v>
      </c>
      <c r="G350">
        <v>55</v>
      </c>
      <c r="H350">
        <v>60</v>
      </c>
      <c r="J350" t="s">
        <v>22</v>
      </c>
      <c r="K350" t="b">
        <v>1</v>
      </c>
      <c r="L350">
        <f t="shared" si="5"/>
        <v>623</v>
      </c>
      <c r="M350">
        <f t="shared" si="5"/>
        <v>210</v>
      </c>
      <c r="N350" t="b">
        <v>0</v>
      </c>
      <c r="O350">
        <v>1</v>
      </c>
      <c r="P350" t="s">
        <v>1013</v>
      </c>
      <c r="Q350">
        <v>2</v>
      </c>
      <c r="R350" t="b">
        <v>1</v>
      </c>
    </row>
    <row r="351" spans="1:18">
      <c r="A351" t="s">
        <v>59</v>
      </c>
      <c r="B351" t="s">
        <v>1014</v>
      </c>
      <c r="C351" t="s">
        <v>1015</v>
      </c>
      <c r="E351">
        <v>622</v>
      </c>
      <c r="F351">
        <v>3298</v>
      </c>
      <c r="G351">
        <v>0</v>
      </c>
      <c r="H351">
        <v>0</v>
      </c>
      <c r="J351" t="s">
        <v>22</v>
      </c>
      <c r="K351" t="b">
        <v>1</v>
      </c>
      <c r="L351">
        <f t="shared" si="5"/>
        <v>622</v>
      </c>
      <c r="M351">
        <f t="shared" si="5"/>
        <v>3298</v>
      </c>
      <c r="N351" t="b">
        <v>0</v>
      </c>
      <c r="O351">
        <v>1</v>
      </c>
      <c r="P351" t="s">
        <v>1016</v>
      </c>
      <c r="Q351">
        <v>2</v>
      </c>
      <c r="R351" t="b">
        <v>1</v>
      </c>
    </row>
    <row r="352" spans="1:18" hidden="1">
      <c r="A352" t="s">
        <v>706</v>
      </c>
      <c r="B352" t="s">
        <v>1017</v>
      </c>
      <c r="C352" t="s">
        <v>1018</v>
      </c>
      <c r="E352">
        <v>296</v>
      </c>
      <c r="F352">
        <v>725</v>
      </c>
      <c r="G352">
        <v>325</v>
      </c>
      <c r="H352">
        <v>604</v>
      </c>
      <c r="I352" t="s">
        <v>786</v>
      </c>
      <c r="J352" t="s">
        <v>93</v>
      </c>
      <c r="K352" t="b">
        <v>0</v>
      </c>
      <c r="L352">
        <f t="shared" si="5"/>
        <v>621</v>
      </c>
      <c r="M352">
        <f t="shared" si="5"/>
        <v>1329</v>
      </c>
      <c r="N352" t="b">
        <v>0</v>
      </c>
      <c r="O352">
        <v>0</v>
      </c>
      <c r="Q352">
        <v>0</v>
      </c>
      <c r="R352" t="b">
        <v>0</v>
      </c>
    </row>
    <row r="353" spans="1:18" hidden="1">
      <c r="A353" t="s">
        <v>706</v>
      </c>
      <c r="B353" t="s">
        <v>1019</v>
      </c>
      <c r="C353" t="s">
        <v>1020</v>
      </c>
      <c r="E353">
        <v>296</v>
      </c>
      <c r="F353">
        <v>725</v>
      </c>
      <c r="G353">
        <v>325</v>
      </c>
      <c r="H353">
        <v>604</v>
      </c>
      <c r="I353" t="s">
        <v>786</v>
      </c>
      <c r="J353" t="s">
        <v>93</v>
      </c>
      <c r="K353" t="b">
        <v>0</v>
      </c>
      <c r="L353">
        <f t="shared" si="5"/>
        <v>621</v>
      </c>
      <c r="M353">
        <f t="shared" si="5"/>
        <v>1329</v>
      </c>
      <c r="N353" t="b">
        <v>0</v>
      </c>
      <c r="O353">
        <v>0</v>
      </c>
      <c r="Q353">
        <v>0</v>
      </c>
      <c r="R353" t="b">
        <v>0</v>
      </c>
    </row>
    <row r="354" spans="1:18">
      <c r="A354" t="s">
        <v>24</v>
      </c>
      <c r="B354" t="s">
        <v>1021</v>
      </c>
      <c r="C354" t="s">
        <v>1022</v>
      </c>
      <c r="E354">
        <v>463</v>
      </c>
      <c r="F354">
        <v>7853</v>
      </c>
      <c r="G354">
        <v>154</v>
      </c>
      <c r="H354">
        <v>2000</v>
      </c>
      <c r="J354" t="s">
        <v>22</v>
      </c>
      <c r="K354" t="b">
        <v>1</v>
      </c>
      <c r="L354">
        <f t="shared" si="5"/>
        <v>617</v>
      </c>
      <c r="M354">
        <f t="shared" si="5"/>
        <v>9853</v>
      </c>
      <c r="N354" t="b">
        <v>0</v>
      </c>
      <c r="O354">
        <v>1</v>
      </c>
      <c r="P354" t="s">
        <v>1023</v>
      </c>
      <c r="Q354">
        <v>2</v>
      </c>
      <c r="R354" t="b">
        <v>1</v>
      </c>
    </row>
    <row r="355" spans="1:18" hidden="1">
      <c r="A355" t="s">
        <v>352</v>
      </c>
      <c r="B355" t="s">
        <v>1024</v>
      </c>
      <c r="C355" s="2" t="s">
        <v>1025</v>
      </c>
      <c r="D355" t="s">
        <v>93</v>
      </c>
      <c r="E355">
        <v>419</v>
      </c>
      <c r="F355">
        <v>6504</v>
      </c>
      <c r="G355">
        <v>179</v>
      </c>
      <c r="H355">
        <v>3026</v>
      </c>
      <c r="I355" t="s">
        <v>1026</v>
      </c>
      <c r="J355" t="s">
        <v>93</v>
      </c>
      <c r="K355" t="b">
        <v>1</v>
      </c>
      <c r="L355">
        <f t="shared" si="5"/>
        <v>598</v>
      </c>
      <c r="M355">
        <f t="shared" si="5"/>
        <v>9530</v>
      </c>
      <c r="N355" t="b">
        <v>0</v>
      </c>
      <c r="O355">
        <v>0.5</v>
      </c>
      <c r="P355" t="s">
        <v>355</v>
      </c>
      <c r="Q355">
        <v>2</v>
      </c>
      <c r="R355" t="b">
        <v>1</v>
      </c>
    </row>
    <row r="356" spans="1:18">
      <c r="A356" t="s">
        <v>24</v>
      </c>
      <c r="B356" t="s">
        <v>1027</v>
      </c>
      <c r="C356" t="s">
        <v>1028</v>
      </c>
      <c r="E356">
        <v>427</v>
      </c>
      <c r="F356">
        <v>6153</v>
      </c>
      <c r="G356">
        <v>164</v>
      </c>
      <c r="H356">
        <v>1414</v>
      </c>
      <c r="J356" t="s">
        <v>22</v>
      </c>
      <c r="K356" t="b">
        <v>1</v>
      </c>
      <c r="L356">
        <f t="shared" si="5"/>
        <v>591</v>
      </c>
      <c r="M356">
        <f t="shared" si="5"/>
        <v>7567</v>
      </c>
      <c r="N356" t="b">
        <v>0</v>
      </c>
      <c r="O356">
        <v>1</v>
      </c>
      <c r="P356" t="s">
        <v>1029</v>
      </c>
      <c r="Q356">
        <v>2</v>
      </c>
      <c r="R356" t="b">
        <v>1</v>
      </c>
    </row>
    <row r="357" spans="1:18">
      <c r="A357" t="s">
        <v>438</v>
      </c>
      <c r="B357" t="s">
        <v>1030</v>
      </c>
      <c r="C357" t="s">
        <v>1031</v>
      </c>
      <c r="E357">
        <v>483</v>
      </c>
      <c r="F357">
        <v>7680</v>
      </c>
      <c r="G357">
        <v>101</v>
      </c>
      <c r="H357">
        <v>1471</v>
      </c>
      <c r="J357" t="s">
        <v>22</v>
      </c>
      <c r="K357" t="b">
        <v>1</v>
      </c>
      <c r="L357">
        <f t="shared" si="5"/>
        <v>584</v>
      </c>
      <c r="M357">
        <f t="shared" si="5"/>
        <v>9151</v>
      </c>
      <c r="N357" t="b">
        <v>0</v>
      </c>
      <c r="O357">
        <v>1</v>
      </c>
      <c r="P357" t="s">
        <v>1032</v>
      </c>
      <c r="Q357">
        <v>2</v>
      </c>
      <c r="R357" t="b">
        <v>1</v>
      </c>
    </row>
    <row r="358" spans="1:18">
      <c r="A358" t="s">
        <v>24</v>
      </c>
      <c r="B358" t="s">
        <v>1033</v>
      </c>
      <c r="C358" t="s">
        <v>1034</v>
      </c>
      <c r="E358">
        <v>351</v>
      </c>
      <c r="F358">
        <v>4821</v>
      </c>
      <c r="G358">
        <v>228</v>
      </c>
      <c r="H358">
        <v>3859</v>
      </c>
      <c r="J358" t="s">
        <v>22</v>
      </c>
      <c r="K358" t="b">
        <v>1</v>
      </c>
      <c r="L358">
        <f t="shared" si="5"/>
        <v>579</v>
      </c>
      <c r="M358">
        <f t="shared" si="5"/>
        <v>8680</v>
      </c>
      <c r="N358" t="b">
        <v>0</v>
      </c>
      <c r="O358">
        <v>1</v>
      </c>
      <c r="P358" t="s">
        <v>1035</v>
      </c>
      <c r="Q358">
        <v>2</v>
      </c>
      <c r="R358" t="b">
        <v>1</v>
      </c>
    </row>
    <row r="359" spans="1:18">
      <c r="A359" t="s">
        <v>352</v>
      </c>
      <c r="B359" t="s">
        <v>1036</v>
      </c>
      <c r="C359" t="s">
        <v>1037</v>
      </c>
      <c r="E359">
        <v>435</v>
      </c>
      <c r="F359">
        <v>6171</v>
      </c>
      <c r="G359">
        <v>137</v>
      </c>
      <c r="H359">
        <v>1412</v>
      </c>
      <c r="J359" t="s">
        <v>22</v>
      </c>
      <c r="K359" t="b">
        <v>1</v>
      </c>
      <c r="L359">
        <f t="shared" si="5"/>
        <v>572</v>
      </c>
      <c r="M359">
        <f t="shared" si="5"/>
        <v>7583</v>
      </c>
      <c r="N359" t="b">
        <v>0</v>
      </c>
      <c r="O359">
        <v>1</v>
      </c>
      <c r="P359" t="s">
        <v>1038</v>
      </c>
      <c r="Q359">
        <v>1</v>
      </c>
      <c r="R359" t="b">
        <v>1</v>
      </c>
    </row>
    <row r="360" spans="1:18">
      <c r="A360" t="s">
        <v>205</v>
      </c>
      <c r="B360" t="s">
        <v>1039</v>
      </c>
      <c r="C360" t="s">
        <v>1040</v>
      </c>
      <c r="E360">
        <v>375</v>
      </c>
      <c r="F360">
        <v>2045</v>
      </c>
      <c r="G360">
        <v>196</v>
      </c>
      <c r="H360">
        <v>1987</v>
      </c>
      <c r="J360" t="s">
        <v>22</v>
      </c>
      <c r="K360" t="b">
        <v>1</v>
      </c>
      <c r="L360">
        <f t="shared" si="5"/>
        <v>571</v>
      </c>
      <c r="M360">
        <f t="shared" si="5"/>
        <v>4032</v>
      </c>
      <c r="N360" t="b">
        <v>0</v>
      </c>
      <c r="O360">
        <v>1</v>
      </c>
      <c r="P360" t="s">
        <v>330</v>
      </c>
      <c r="Q360">
        <v>2</v>
      </c>
      <c r="R360" t="b">
        <v>1</v>
      </c>
    </row>
    <row r="361" spans="1:18">
      <c r="A361" t="s">
        <v>372</v>
      </c>
      <c r="B361" t="s">
        <v>1041</v>
      </c>
      <c r="C361" t="s">
        <v>1042</v>
      </c>
      <c r="E361">
        <v>425</v>
      </c>
      <c r="F361">
        <v>3828</v>
      </c>
      <c r="G361">
        <v>141</v>
      </c>
      <c r="H361">
        <v>2117</v>
      </c>
      <c r="J361" t="s">
        <v>22</v>
      </c>
      <c r="K361" t="b">
        <v>1</v>
      </c>
      <c r="L361">
        <f t="shared" si="5"/>
        <v>566</v>
      </c>
      <c r="M361">
        <f t="shared" si="5"/>
        <v>5945</v>
      </c>
      <c r="N361" t="b">
        <v>0</v>
      </c>
      <c r="O361">
        <v>1</v>
      </c>
      <c r="P361" t="s">
        <v>1043</v>
      </c>
      <c r="Q361">
        <v>2</v>
      </c>
      <c r="R361" t="b">
        <v>1</v>
      </c>
    </row>
    <row r="362" spans="1:18">
      <c r="A362" t="s">
        <v>139</v>
      </c>
      <c r="B362" t="s">
        <v>1044</v>
      </c>
      <c r="C362" t="s">
        <v>1045</v>
      </c>
      <c r="E362">
        <v>566</v>
      </c>
      <c r="F362">
        <v>0</v>
      </c>
      <c r="G362">
        <v>0</v>
      </c>
      <c r="H362">
        <v>0</v>
      </c>
      <c r="J362" t="s">
        <v>22</v>
      </c>
      <c r="K362" t="b">
        <v>1</v>
      </c>
      <c r="L362">
        <f t="shared" si="5"/>
        <v>566</v>
      </c>
      <c r="M362">
        <f t="shared" si="5"/>
        <v>0</v>
      </c>
      <c r="N362" t="b">
        <v>0</v>
      </c>
      <c r="O362">
        <v>1</v>
      </c>
      <c r="P362" t="s">
        <v>1046</v>
      </c>
      <c r="Q362">
        <v>2</v>
      </c>
      <c r="R362" t="b">
        <v>1</v>
      </c>
    </row>
    <row r="363" spans="1:18" hidden="1">
      <c r="A363" t="s">
        <v>1047</v>
      </c>
      <c r="B363" t="s">
        <v>1048</v>
      </c>
      <c r="C363" s="2" t="s">
        <v>1049</v>
      </c>
      <c r="D363" t="s">
        <v>93</v>
      </c>
      <c r="E363">
        <v>555</v>
      </c>
      <c r="F363">
        <v>9008</v>
      </c>
      <c r="G363">
        <v>0</v>
      </c>
      <c r="H363">
        <v>0</v>
      </c>
      <c r="I363" t="s">
        <v>1050</v>
      </c>
      <c r="J363" t="s">
        <v>93</v>
      </c>
      <c r="K363" t="b">
        <v>0</v>
      </c>
      <c r="L363">
        <f t="shared" si="5"/>
        <v>555</v>
      </c>
      <c r="M363">
        <f t="shared" si="5"/>
        <v>9008</v>
      </c>
      <c r="N363" t="b">
        <v>0</v>
      </c>
      <c r="O363">
        <v>0</v>
      </c>
      <c r="Q363">
        <v>0</v>
      </c>
      <c r="R363" t="b">
        <v>0</v>
      </c>
    </row>
    <row r="364" spans="1:18">
      <c r="A364" t="s">
        <v>205</v>
      </c>
      <c r="B364" t="s">
        <v>1051</v>
      </c>
      <c r="C364" t="s">
        <v>1052</v>
      </c>
      <c r="E364">
        <v>364</v>
      </c>
      <c r="F364">
        <v>1204</v>
      </c>
      <c r="G364">
        <v>191</v>
      </c>
      <c r="H364">
        <v>662</v>
      </c>
      <c r="J364" t="s">
        <v>22</v>
      </c>
      <c r="K364" t="b">
        <v>1</v>
      </c>
      <c r="L364">
        <f t="shared" si="5"/>
        <v>555</v>
      </c>
      <c r="M364">
        <f t="shared" si="5"/>
        <v>1866</v>
      </c>
      <c r="N364" t="b">
        <v>0</v>
      </c>
      <c r="O364">
        <v>1</v>
      </c>
      <c r="P364" t="s">
        <v>662</v>
      </c>
      <c r="Q364">
        <v>2</v>
      </c>
      <c r="R364" t="b">
        <v>1</v>
      </c>
    </row>
    <row r="365" spans="1:18">
      <c r="A365" t="s">
        <v>372</v>
      </c>
      <c r="B365" t="s">
        <v>1053</v>
      </c>
      <c r="C365" t="s">
        <v>1054</v>
      </c>
      <c r="E365">
        <v>446</v>
      </c>
      <c r="F365">
        <v>4946</v>
      </c>
      <c r="G365">
        <v>107</v>
      </c>
      <c r="H365">
        <v>1746</v>
      </c>
      <c r="J365" t="s">
        <v>22</v>
      </c>
      <c r="K365" t="b">
        <v>1</v>
      </c>
      <c r="L365">
        <f t="shared" si="5"/>
        <v>553</v>
      </c>
      <c r="M365">
        <f t="shared" si="5"/>
        <v>6692</v>
      </c>
      <c r="N365" t="b">
        <v>0</v>
      </c>
      <c r="O365">
        <v>1</v>
      </c>
      <c r="P365" t="s">
        <v>1055</v>
      </c>
      <c r="Q365">
        <v>2</v>
      </c>
      <c r="R365" t="b">
        <v>1</v>
      </c>
    </row>
    <row r="366" spans="1:18">
      <c r="A366" t="s">
        <v>372</v>
      </c>
      <c r="B366" t="s">
        <v>1056</v>
      </c>
      <c r="C366" t="s">
        <v>1057</v>
      </c>
      <c r="E366">
        <v>412</v>
      </c>
      <c r="F366">
        <v>3828</v>
      </c>
      <c r="G366">
        <v>138</v>
      </c>
      <c r="H366">
        <v>2114</v>
      </c>
      <c r="J366" t="s">
        <v>22</v>
      </c>
      <c r="K366" t="b">
        <v>1</v>
      </c>
      <c r="L366">
        <f t="shared" si="5"/>
        <v>550</v>
      </c>
      <c r="M366">
        <f t="shared" si="5"/>
        <v>5942</v>
      </c>
      <c r="N366" t="b">
        <v>0</v>
      </c>
      <c r="O366">
        <v>1</v>
      </c>
      <c r="P366" t="s">
        <v>1058</v>
      </c>
      <c r="Q366">
        <v>2</v>
      </c>
      <c r="R366" t="b">
        <v>1</v>
      </c>
    </row>
    <row r="367" spans="1:18">
      <c r="A367" t="s">
        <v>19</v>
      </c>
      <c r="B367" t="s">
        <v>1059</v>
      </c>
      <c r="C367" t="s">
        <v>1060</v>
      </c>
      <c r="E367">
        <v>436</v>
      </c>
      <c r="F367">
        <v>2273</v>
      </c>
      <c r="G367">
        <v>113</v>
      </c>
      <c r="H367">
        <v>530</v>
      </c>
      <c r="J367" t="s">
        <v>22</v>
      </c>
      <c r="K367" t="b">
        <v>1</v>
      </c>
      <c r="L367">
        <f t="shared" si="5"/>
        <v>549</v>
      </c>
      <c r="M367">
        <f t="shared" si="5"/>
        <v>2803</v>
      </c>
      <c r="N367" t="b">
        <v>0</v>
      </c>
      <c r="O367">
        <v>1</v>
      </c>
      <c r="P367" t="s">
        <v>1061</v>
      </c>
      <c r="Q367">
        <v>8</v>
      </c>
      <c r="R367" t="b">
        <v>1</v>
      </c>
    </row>
    <row r="368" spans="1:18">
      <c r="A368" t="s">
        <v>87</v>
      </c>
      <c r="B368" t="s">
        <v>1062</v>
      </c>
      <c r="C368" t="s">
        <v>1063</v>
      </c>
      <c r="E368">
        <v>404</v>
      </c>
      <c r="F368">
        <v>6558</v>
      </c>
      <c r="G368">
        <v>132</v>
      </c>
      <c r="H368">
        <v>1297</v>
      </c>
      <c r="J368" t="s">
        <v>22</v>
      </c>
      <c r="K368" t="b">
        <v>1</v>
      </c>
      <c r="L368">
        <f t="shared" si="5"/>
        <v>536</v>
      </c>
      <c r="M368">
        <f t="shared" si="5"/>
        <v>7855</v>
      </c>
      <c r="N368" t="b">
        <v>0</v>
      </c>
      <c r="O368">
        <v>1</v>
      </c>
      <c r="P368" t="s">
        <v>1064</v>
      </c>
      <c r="Q368">
        <v>2</v>
      </c>
      <c r="R368" t="b">
        <v>1</v>
      </c>
    </row>
    <row r="369" spans="1:18" hidden="1">
      <c r="A369" t="s">
        <v>545</v>
      </c>
      <c r="B369" t="s">
        <v>1065</v>
      </c>
      <c r="C369" s="5" t="s">
        <v>1066</v>
      </c>
      <c r="D369" t="s">
        <v>93</v>
      </c>
      <c r="E369">
        <v>353</v>
      </c>
      <c r="F369">
        <v>8325</v>
      </c>
      <c r="G369">
        <v>183</v>
      </c>
      <c r="H369">
        <v>5197</v>
      </c>
      <c r="J369" t="s">
        <v>93</v>
      </c>
      <c r="K369" t="b">
        <v>1</v>
      </c>
      <c r="L369">
        <f t="shared" si="5"/>
        <v>536</v>
      </c>
      <c r="M369">
        <f t="shared" si="5"/>
        <v>13522</v>
      </c>
      <c r="N369" t="b">
        <v>0</v>
      </c>
      <c r="O369">
        <v>0</v>
      </c>
      <c r="Q369">
        <v>0</v>
      </c>
      <c r="R369" t="b">
        <v>0</v>
      </c>
    </row>
    <row r="370" spans="1:18" hidden="1">
      <c r="A370" t="s">
        <v>133</v>
      </c>
      <c r="B370" t="s">
        <v>1067</v>
      </c>
      <c r="C370" t="s">
        <v>1068</v>
      </c>
      <c r="D370" s="7" t="s">
        <v>649</v>
      </c>
      <c r="E370">
        <v>316</v>
      </c>
      <c r="F370">
        <v>3201</v>
      </c>
      <c r="G370">
        <v>215</v>
      </c>
      <c r="H370">
        <v>3153</v>
      </c>
      <c r="J370" t="s">
        <v>93</v>
      </c>
      <c r="K370" t="b">
        <v>1</v>
      </c>
      <c r="L370">
        <f t="shared" si="5"/>
        <v>531</v>
      </c>
      <c r="M370">
        <f t="shared" si="5"/>
        <v>6354</v>
      </c>
      <c r="N370" t="b">
        <v>0</v>
      </c>
      <c r="O370">
        <v>0</v>
      </c>
      <c r="Q370">
        <v>0</v>
      </c>
      <c r="R370" t="b">
        <v>0</v>
      </c>
    </row>
    <row r="371" spans="1:18" hidden="1">
      <c r="A371" t="s">
        <v>1047</v>
      </c>
      <c r="B371" t="s">
        <v>1069</v>
      </c>
      <c r="C371" s="2" t="s">
        <v>1070</v>
      </c>
      <c r="D371" t="s">
        <v>93</v>
      </c>
      <c r="E371">
        <v>530</v>
      </c>
      <c r="F371">
        <v>9005</v>
      </c>
      <c r="G371">
        <v>0</v>
      </c>
      <c r="H371">
        <v>0</v>
      </c>
      <c r="I371" t="s">
        <v>1050</v>
      </c>
      <c r="J371" t="s">
        <v>93</v>
      </c>
      <c r="K371" t="b">
        <v>0</v>
      </c>
      <c r="L371">
        <f t="shared" si="5"/>
        <v>530</v>
      </c>
      <c r="M371">
        <f t="shared" si="5"/>
        <v>9005</v>
      </c>
      <c r="N371" t="b">
        <v>0</v>
      </c>
      <c r="O371">
        <v>0</v>
      </c>
      <c r="Q371">
        <v>0</v>
      </c>
      <c r="R371" t="b">
        <v>0</v>
      </c>
    </row>
    <row r="372" spans="1:18">
      <c r="A372" t="s">
        <v>30</v>
      </c>
      <c r="B372" t="s">
        <v>1071</v>
      </c>
      <c r="C372" t="s">
        <v>1072</v>
      </c>
      <c r="E372">
        <v>408</v>
      </c>
      <c r="F372">
        <v>3565</v>
      </c>
      <c r="G372">
        <v>117</v>
      </c>
      <c r="H372">
        <v>1668</v>
      </c>
      <c r="J372" t="s">
        <v>22</v>
      </c>
      <c r="K372" t="b">
        <v>1</v>
      </c>
      <c r="L372">
        <f t="shared" si="5"/>
        <v>525</v>
      </c>
      <c r="M372">
        <f t="shared" si="5"/>
        <v>5233</v>
      </c>
      <c r="N372" t="b">
        <v>0</v>
      </c>
      <c r="O372">
        <v>1</v>
      </c>
      <c r="P372" t="s">
        <v>1073</v>
      </c>
      <c r="Q372">
        <v>2</v>
      </c>
      <c r="R372" t="b">
        <v>1</v>
      </c>
    </row>
    <row r="373" spans="1:18">
      <c r="A373" t="s">
        <v>24</v>
      </c>
      <c r="B373" t="s">
        <v>1074</v>
      </c>
      <c r="C373" t="s">
        <v>1075</v>
      </c>
      <c r="E373">
        <v>345</v>
      </c>
      <c r="F373">
        <v>5794</v>
      </c>
      <c r="G373">
        <v>176</v>
      </c>
      <c r="H373">
        <v>2263</v>
      </c>
      <c r="J373" t="s">
        <v>22</v>
      </c>
      <c r="K373" t="b">
        <v>1</v>
      </c>
      <c r="L373">
        <f t="shared" si="5"/>
        <v>521</v>
      </c>
      <c r="M373">
        <f t="shared" si="5"/>
        <v>8057</v>
      </c>
      <c r="N373" t="b">
        <v>0</v>
      </c>
      <c r="O373">
        <v>1</v>
      </c>
      <c r="P373" t="s">
        <v>1076</v>
      </c>
      <c r="Q373">
        <v>2</v>
      </c>
      <c r="R373" t="b">
        <v>1</v>
      </c>
    </row>
    <row r="374" spans="1:18" hidden="1">
      <c r="A374" t="s">
        <v>192</v>
      </c>
      <c r="B374" t="s">
        <v>1077</v>
      </c>
      <c r="C374" t="s">
        <v>1078</v>
      </c>
      <c r="D374" t="s">
        <v>333</v>
      </c>
      <c r="E374">
        <v>518</v>
      </c>
      <c r="F374">
        <v>0</v>
      </c>
      <c r="G374">
        <v>2</v>
      </c>
      <c r="H374">
        <v>2</v>
      </c>
      <c r="I374" t="s">
        <v>1079</v>
      </c>
      <c r="J374" t="s">
        <v>93</v>
      </c>
      <c r="K374" t="b">
        <v>1</v>
      </c>
      <c r="L374">
        <f t="shared" si="5"/>
        <v>520</v>
      </c>
      <c r="M374">
        <v>2000</v>
      </c>
      <c r="N374" t="b">
        <v>0</v>
      </c>
      <c r="O374">
        <v>0</v>
      </c>
      <c r="Q374">
        <v>0</v>
      </c>
      <c r="R374" t="b">
        <v>0</v>
      </c>
    </row>
    <row r="375" spans="1:18" hidden="1">
      <c r="A375" t="s">
        <v>192</v>
      </c>
      <c r="B375" t="s">
        <v>1080</v>
      </c>
      <c r="C375" t="s">
        <v>1081</v>
      </c>
      <c r="D375" t="s">
        <v>333</v>
      </c>
      <c r="E375">
        <v>518</v>
      </c>
      <c r="F375">
        <v>0</v>
      </c>
      <c r="G375">
        <v>2</v>
      </c>
      <c r="H375">
        <v>2</v>
      </c>
      <c r="I375" t="s">
        <v>1079</v>
      </c>
      <c r="J375" t="s">
        <v>93</v>
      </c>
      <c r="K375" t="b">
        <v>1</v>
      </c>
      <c r="L375">
        <f t="shared" si="5"/>
        <v>520</v>
      </c>
      <c r="M375">
        <v>2000</v>
      </c>
      <c r="N375" t="b">
        <v>0</v>
      </c>
      <c r="O375">
        <v>0</v>
      </c>
      <c r="Q375">
        <v>0</v>
      </c>
      <c r="R375" t="b">
        <v>0</v>
      </c>
    </row>
    <row r="376" spans="1:18" hidden="1">
      <c r="A376" t="s">
        <v>192</v>
      </c>
      <c r="B376" t="s">
        <v>1082</v>
      </c>
      <c r="C376" t="s">
        <v>1083</v>
      </c>
      <c r="D376" t="s">
        <v>333</v>
      </c>
      <c r="E376">
        <v>518</v>
      </c>
      <c r="F376">
        <v>0</v>
      </c>
      <c r="G376">
        <v>2</v>
      </c>
      <c r="H376">
        <v>2</v>
      </c>
      <c r="I376" t="s">
        <v>1079</v>
      </c>
      <c r="J376" t="s">
        <v>93</v>
      </c>
      <c r="K376" t="b">
        <v>1</v>
      </c>
      <c r="L376">
        <f t="shared" si="5"/>
        <v>520</v>
      </c>
      <c r="M376">
        <v>2000</v>
      </c>
      <c r="N376" t="b">
        <v>0</v>
      </c>
      <c r="O376">
        <v>0</v>
      </c>
      <c r="Q376">
        <v>0</v>
      </c>
      <c r="R376" t="b">
        <v>0</v>
      </c>
    </row>
    <row r="377" spans="1:18">
      <c r="A377" t="s">
        <v>438</v>
      </c>
      <c r="B377" t="s">
        <v>1084</v>
      </c>
      <c r="C377" t="s">
        <v>1085</v>
      </c>
      <c r="E377">
        <v>366</v>
      </c>
      <c r="F377">
        <v>6854</v>
      </c>
      <c r="G377">
        <v>153</v>
      </c>
      <c r="H377">
        <v>4366</v>
      </c>
      <c r="J377" t="s">
        <v>22</v>
      </c>
      <c r="K377" t="b">
        <v>1</v>
      </c>
      <c r="L377">
        <f t="shared" si="5"/>
        <v>519</v>
      </c>
      <c r="M377">
        <f t="shared" si="5"/>
        <v>11220</v>
      </c>
      <c r="N377" t="b">
        <v>0</v>
      </c>
      <c r="O377">
        <v>1</v>
      </c>
      <c r="P377" t="s">
        <v>1086</v>
      </c>
      <c r="Q377">
        <v>2</v>
      </c>
      <c r="R377" t="b">
        <v>1</v>
      </c>
    </row>
    <row r="378" spans="1:18" hidden="1">
      <c r="A378" t="s">
        <v>940</v>
      </c>
      <c r="B378" t="s">
        <v>1087</v>
      </c>
      <c r="C378" t="s">
        <v>1088</v>
      </c>
      <c r="D378" t="s">
        <v>435</v>
      </c>
      <c r="E378">
        <v>0</v>
      </c>
      <c r="F378">
        <v>0</v>
      </c>
      <c r="G378">
        <v>511</v>
      </c>
      <c r="H378">
        <v>5083</v>
      </c>
      <c r="J378" t="s">
        <v>93</v>
      </c>
      <c r="K378" t="b">
        <v>0</v>
      </c>
      <c r="L378">
        <f t="shared" si="5"/>
        <v>511</v>
      </c>
      <c r="M378">
        <f t="shared" si="5"/>
        <v>5083</v>
      </c>
      <c r="N378" t="b">
        <v>0</v>
      </c>
      <c r="O378">
        <v>0</v>
      </c>
      <c r="Q378">
        <v>0</v>
      </c>
      <c r="R378" t="b">
        <v>0</v>
      </c>
    </row>
    <row r="379" spans="1:18" hidden="1">
      <c r="A379" t="s">
        <v>940</v>
      </c>
      <c r="B379" t="s">
        <v>1089</v>
      </c>
      <c r="C379" t="s">
        <v>1090</v>
      </c>
      <c r="D379" t="s">
        <v>435</v>
      </c>
      <c r="E379">
        <v>0</v>
      </c>
      <c r="F379">
        <v>0</v>
      </c>
      <c r="G379">
        <v>511</v>
      </c>
      <c r="H379">
        <v>5083</v>
      </c>
      <c r="J379" t="s">
        <v>93</v>
      </c>
      <c r="K379" t="b">
        <v>0</v>
      </c>
      <c r="L379">
        <f t="shared" si="5"/>
        <v>511</v>
      </c>
      <c r="M379">
        <f t="shared" si="5"/>
        <v>5083</v>
      </c>
      <c r="N379" t="b">
        <v>0</v>
      </c>
      <c r="O379">
        <v>0</v>
      </c>
      <c r="Q379">
        <v>0</v>
      </c>
      <c r="R379" t="b">
        <v>0</v>
      </c>
    </row>
    <row r="380" spans="1:18">
      <c r="A380" t="s">
        <v>438</v>
      </c>
      <c r="B380" t="s">
        <v>1091</v>
      </c>
      <c r="C380" t="s">
        <v>1092</v>
      </c>
      <c r="E380">
        <v>0</v>
      </c>
      <c r="F380">
        <v>0</v>
      </c>
      <c r="G380">
        <v>509</v>
      </c>
      <c r="H380">
        <v>10601</v>
      </c>
      <c r="J380" t="s">
        <v>22</v>
      </c>
      <c r="K380" t="b">
        <v>1</v>
      </c>
      <c r="L380">
        <f t="shared" si="5"/>
        <v>509</v>
      </c>
      <c r="M380">
        <f t="shared" si="5"/>
        <v>10601</v>
      </c>
      <c r="N380" t="b">
        <v>0</v>
      </c>
      <c r="O380">
        <v>1</v>
      </c>
      <c r="P380" t="s">
        <v>1093</v>
      </c>
      <c r="Q380">
        <v>2</v>
      </c>
      <c r="R380" t="b">
        <v>1</v>
      </c>
    </row>
    <row r="381" spans="1:18">
      <c r="A381" t="s">
        <v>59</v>
      </c>
      <c r="B381" t="s">
        <v>1094</v>
      </c>
      <c r="C381" t="s">
        <v>1095</v>
      </c>
      <c r="E381">
        <v>361</v>
      </c>
      <c r="F381">
        <v>3092</v>
      </c>
      <c r="G381">
        <v>148</v>
      </c>
      <c r="H381">
        <v>735</v>
      </c>
      <c r="J381" t="s">
        <v>22</v>
      </c>
      <c r="K381" t="b">
        <v>1</v>
      </c>
      <c r="L381">
        <f t="shared" si="5"/>
        <v>509</v>
      </c>
      <c r="M381">
        <f t="shared" si="5"/>
        <v>3827</v>
      </c>
      <c r="N381" t="b">
        <v>0</v>
      </c>
      <c r="O381">
        <v>1</v>
      </c>
      <c r="P381" t="s">
        <v>803</v>
      </c>
      <c r="Q381">
        <v>2</v>
      </c>
      <c r="R381" t="b">
        <v>1</v>
      </c>
    </row>
    <row r="382" spans="1:18">
      <c r="A382" t="s">
        <v>248</v>
      </c>
      <c r="B382" t="s">
        <v>1096</v>
      </c>
      <c r="C382" t="s">
        <v>1097</v>
      </c>
      <c r="E382">
        <v>344</v>
      </c>
      <c r="F382">
        <v>5935</v>
      </c>
      <c r="G382">
        <v>150</v>
      </c>
      <c r="H382">
        <v>3666</v>
      </c>
      <c r="J382" t="s">
        <v>22</v>
      </c>
      <c r="K382" t="b">
        <v>1</v>
      </c>
      <c r="L382">
        <f t="shared" si="5"/>
        <v>494</v>
      </c>
      <c r="M382">
        <f t="shared" si="5"/>
        <v>9601</v>
      </c>
      <c r="N382" t="b">
        <v>0</v>
      </c>
      <c r="O382">
        <v>1</v>
      </c>
      <c r="P382" t="s">
        <v>1098</v>
      </c>
      <c r="Q382">
        <v>4</v>
      </c>
      <c r="R382" t="b">
        <v>1</v>
      </c>
    </row>
    <row r="383" spans="1:18">
      <c r="A383" t="s">
        <v>235</v>
      </c>
      <c r="B383" t="s">
        <v>1099</v>
      </c>
      <c r="C383" t="s">
        <v>1100</v>
      </c>
      <c r="E383">
        <v>366</v>
      </c>
      <c r="F383">
        <v>3328</v>
      </c>
      <c r="G383">
        <v>125</v>
      </c>
      <c r="H383">
        <v>1045</v>
      </c>
      <c r="J383" t="s">
        <v>22</v>
      </c>
      <c r="K383" t="b">
        <v>1</v>
      </c>
      <c r="L383">
        <f t="shared" si="5"/>
        <v>491</v>
      </c>
      <c r="M383">
        <f t="shared" si="5"/>
        <v>4373</v>
      </c>
      <c r="N383" t="b">
        <v>0</v>
      </c>
      <c r="O383">
        <v>1</v>
      </c>
      <c r="P383" t="s">
        <v>1101</v>
      </c>
      <c r="Q383">
        <v>2</v>
      </c>
      <c r="R383" t="b">
        <v>1</v>
      </c>
    </row>
    <row r="384" spans="1:18">
      <c r="A384" t="s">
        <v>857</v>
      </c>
      <c r="B384" t="s">
        <v>1102</v>
      </c>
      <c r="C384" t="s">
        <v>1103</v>
      </c>
      <c r="E384">
        <v>264</v>
      </c>
      <c r="F384">
        <v>691</v>
      </c>
      <c r="G384">
        <v>225</v>
      </c>
      <c r="H384">
        <v>675</v>
      </c>
      <c r="J384" t="s">
        <v>22</v>
      </c>
      <c r="K384" t="b">
        <v>1</v>
      </c>
      <c r="L384">
        <f t="shared" si="5"/>
        <v>489</v>
      </c>
      <c r="M384">
        <f t="shared" si="5"/>
        <v>1366</v>
      </c>
      <c r="N384" t="b">
        <v>0</v>
      </c>
      <c r="O384">
        <v>1</v>
      </c>
      <c r="P384" t="s">
        <v>1104</v>
      </c>
      <c r="Q384">
        <v>2</v>
      </c>
      <c r="R384" t="b">
        <v>1</v>
      </c>
    </row>
    <row r="385" spans="1:18">
      <c r="A385" t="s">
        <v>352</v>
      </c>
      <c r="B385" t="s">
        <v>1105</v>
      </c>
      <c r="C385" t="s">
        <v>1106</v>
      </c>
      <c r="E385">
        <v>401</v>
      </c>
      <c r="F385">
        <v>6992</v>
      </c>
      <c r="G385">
        <v>85</v>
      </c>
      <c r="H385">
        <v>1347</v>
      </c>
      <c r="J385" t="s">
        <v>22</v>
      </c>
      <c r="K385" t="b">
        <v>1</v>
      </c>
      <c r="L385">
        <f t="shared" si="5"/>
        <v>486</v>
      </c>
      <c r="M385">
        <f t="shared" si="5"/>
        <v>8339</v>
      </c>
      <c r="N385" t="b">
        <v>0</v>
      </c>
      <c r="O385">
        <v>1</v>
      </c>
      <c r="P385" t="s">
        <v>1107</v>
      </c>
      <c r="Q385">
        <v>1</v>
      </c>
      <c r="R385" t="b">
        <v>1</v>
      </c>
    </row>
    <row r="386" spans="1:18">
      <c r="A386" t="s">
        <v>498</v>
      </c>
      <c r="B386" t="s">
        <v>1108</v>
      </c>
      <c r="C386" t="s">
        <v>1109</v>
      </c>
      <c r="E386">
        <v>366</v>
      </c>
      <c r="F386">
        <v>4015</v>
      </c>
      <c r="G386">
        <v>114</v>
      </c>
      <c r="H386">
        <v>1319</v>
      </c>
      <c r="J386" t="s">
        <v>22</v>
      </c>
      <c r="K386" t="b">
        <v>1</v>
      </c>
      <c r="L386">
        <f t="shared" si="5"/>
        <v>480</v>
      </c>
      <c r="M386">
        <f t="shared" si="5"/>
        <v>5334</v>
      </c>
      <c r="N386" t="b">
        <v>0</v>
      </c>
      <c r="O386">
        <v>1</v>
      </c>
      <c r="P386" t="s">
        <v>1110</v>
      </c>
      <c r="Q386">
        <v>2</v>
      </c>
      <c r="R386" t="b">
        <v>1</v>
      </c>
    </row>
    <row r="387" spans="1:18">
      <c r="A387" t="s">
        <v>30</v>
      </c>
      <c r="B387" t="s">
        <v>1111</v>
      </c>
      <c r="C387" t="s">
        <v>1112</v>
      </c>
      <c r="E387">
        <v>368</v>
      </c>
      <c r="F387">
        <v>4224</v>
      </c>
      <c r="G387">
        <v>111</v>
      </c>
      <c r="H387">
        <v>725</v>
      </c>
      <c r="J387" t="s">
        <v>22</v>
      </c>
      <c r="K387" t="b">
        <v>1</v>
      </c>
      <c r="L387">
        <f t="shared" ref="L387:M450" si="6">E387+G387</f>
        <v>479</v>
      </c>
      <c r="M387">
        <f t="shared" si="6"/>
        <v>4949</v>
      </c>
      <c r="N387" t="b">
        <v>0</v>
      </c>
      <c r="O387">
        <v>1</v>
      </c>
      <c r="P387" t="s">
        <v>1113</v>
      </c>
      <c r="Q387">
        <v>2</v>
      </c>
      <c r="R387" t="b">
        <v>1</v>
      </c>
    </row>
    <row r="388" spans="1:18">
      <c r="A388" t="s">
        <v>24</v>
      </c>
      <c r="B388" t="s">
        <v>1114</v>
      </c>
      <c r="C388" t="s">
        <v>1115</v>
      </c>
      <c r="E388">
        <v>328</v>
      </c>
      <c r="F388">
        <v>1945</v>
      </c>
      <c r="G388">
        <v>141</v>
      </c>
      <c r="H388">
        <v>1475</v>
      </c>
      <c r="J388" t="s">
        <v>22</v>
      </c>
      <c r="K388" t="b">
        <v>1</v>
      </c>
      <c r="L388">
        <f t="shared" si="6"/>
        <v>469</v>
      </c>
      <c r="M388">
        <f t="shared" si="6"/>
        <v>3420</v>
      </c>
      <c r="N388" t="b">
        <v>0</v>
      </c>
      <c r="O388">
        <v>1</v>
      </c>
      <c r="P388" t="s">
        <v>896</v>
      </c>
      <c r="Q388">
        <v>2</v>
      </c>
      <c r="R388" t="b">
        <v>1</v>
      </c>
    </row>
    <row r="389" spans="1:18" hidden="1">
      <c r="A389" t="s">
        <v>816</v>
      </c>
      <c r="B389" t="s">
        <v>1116</v>
      </c>
      <c r="C389" t="s">
        <v>1117</v>
      </c>
      <c r="D389" t="s">
        <v>519</v>
      </c>
      <c r="E389">
        <v>313</v>
      </c>
      <c r="F389">
        <v>1196</v>
      </c>
      <c r="G389">
        <v>155</v>
      </c>
      <c r="H389">
        <v>649</v>
      </c>
      <c r="I389" t="s">
        <v>819</v>
      </c>
      <c r="J389" t="s">
        <v>93</v>
      </c>
      <c r="K389" t="b">
        <v>0</v>
      </c>
      <c r="L389">
        <f t="shared" si="6"/>
        <v>468</v>
      </c>
      <c r="M389">
        <f t="shared" si="6"/>
        <v>1845</v>
      </c>
      <c r="N389" t="b">
        <v>0</v>
      </c>
      <c r="O389">
        <v>0</v>
      </c>
      <c r="Q389">
        <v>0</v>
      </c>
      <c r="R389" t="b">
        <v>0</v>
      </c>
    </row>
    <row r="390" spans="1:18" hidden="1">
      <c r="A390" t="s">
        <v>816</v>
      </c>
      <c r="B390" t="s">
        <v>1118</v>
      </c>
      <c r="C390" t="s">
        <v>1119</v>
      </c>
      <c r="D390" t="s">
        <v>519</v>
      </c>
      <c r="E390">
        <v>313</v>
      </c>
      <c r="F390">
        <v>1196</v>
      </c>
      <c r="G390">
        <v>155</v>
      </c>
      <c r="H390">
        <v>649</v>
      </c>
      <c r="I390" t="s">
        <v>819</v>
      </c>
      <c r="J390" t="s">
        <v>93</v>
      </c>
      <c r="K390" t="b">
        <v>0</v>
      </c>
      <c r="L390">
        <f t="shared" si="6"/>
        <v>468</v>
      </c>
      <c r="M390">
        <f t="shared" si="6"/>
        <v>1845</v>
      </c>
      <c r="N390" t="b">
        <v>0</v>
      </c>
      <c r="O390">
        <v>0</v>
      </c>
      <c r="Q390">
        <v>0</v>
      </c>
      <c r="R390" t="b">
        <v>0</v>
      </c>
    </row>
    <row r="391" spans="1:18" hidden="1">
      <c r="A391" t="s">
        <v>498</v>
      </c>
      <c r="B391" t="s">
        <v>1120</v>
      </c>
      <c r="C391" s="5" t="s">
        <v>1121</v>
      </c>
      <c r="D391" t="s">
        <v>93</v>
      </c>
      <c r="E391">
        <v>356</v>
      </c>
      <c r="F391">
        <v>3983</v>
      </c>
      <c r="G391">
        <v>108</v>
      </c>
      <c r="H391">
        <v>1312</v>
      </c>
      <c r="J391" t="s">
        <v>93</v>
      </c>
      <c r="K391" t="b">
        <v>1</v>
      </c>
      <c r="L391">
        <f t="shared" si="6"/>
        <v>464</v>
      </c>
      <c r="M391">
        <f t="shared" si="6"/>
        <v>5295</v>
      </c>
      <c r="N391" t="b">
        <v>0</v>
      </c>
      <c r="O391">
        <v>0</v>
      </c>
      <c r="Q391">
        <v>0</v>
      </c>
      <c r="R391" t="b">
        <v>0</v>
      </c>
    </row>
    <row r="392" spans="1:18" hidden="1">
      <c r="A392" t="s">
        <v>438</v>
      </c>
      <c r="B392" t="s">
        <v>1122</v>
      </c>
      <c r="C392" s="2" t="s">
        <v>1123</v>
      </c>
      <c r="D392" s="2" t="s">
        <v>92</v>
      </c>
      <c r="E392">
        <v>317</v>
      </c>
      <c r="F392">
        <v>6854</v>
      </c>
      <c r="G392">
        <v>145</v>
      </c>
      <c r="H392">
        <v>4354</v>
      </c>
      <c r="J392" t="s">
        <v>93</v>
      </c>
      <c r="K392" t="b">
        <v>1</v>
      </c>
      <c r="L392">
        <f t="shared" si="6"/>
        <v>462</v>
      </c>
      <c r="M392">
        <f t="shared" si="6"/>
        <v>11208</v>
      </c>
      <c r="N392" t="b">
        <v>0</v>
      </c>
      <c r="O392">
        <v>0</v>
      </c>
      <c r="Q392">
        <v>0</v>
      </c>
      <c r="R392" t="b">
        <v>0</v>
      </c>
    </row>
    <row r="393" spans="1:18">
      <c r="A393" t="s">
        <v>378</v>
      </c>
      <c r="B393" t="s">
        <v>1124</v>
      </c>
      <c r="C393" t="s">
        <v>1125</v>
      </c>
      <c r="E393">
        <v>285</v>
      </c>
      <c r="F393">
        <v>6390</v>
      </c>
      <c r="G393">
        <v>175</v>
      </c>
      <c r="H393">
        <v>3311</v>
      </c>
      <c r="J393" t="s">
        <v>22</v>
      </c>
      <c r="K393" t="b">
        <v>1</v>
      </c>
      <c r="L393">
        <f t="shared" si="6"/>
        <v>460</v>
      </c>
      <c r="M393">
        <f t="shared" si="6"/>
        <v>9701</v>
      </c>
      <c r="N393" t="b">
        <v>0</v>
      </c>
      <c r="O393">
        <v>1</v>
      </c>
      <c r="P393" t="s">
        <v>1126</v>
      </c>
      <c r="Q393">
        <v>2</v>
      </c>
      <c r="R393" t="b">
        <v>1</v>
      </c>
    </row>
    <row r="394" spans="1:18">
      <c r="A394" t="s">
        <v>854</v>
      </c>
      <c r="B394" t="s">
        <v>1127</v>
      </c>
      <c r="C394" t="s">
        <v>1128</v>
      </c>
      <c r="E394">
        <v>449</v>
      </c>
      <c r="F394">
        <v>4472</v>
      </c>
      <c r="G394">
        <v>0</v>
      </c>
      <c r="H394">
        <v>0</v>
      </c>
      <c r="J394" t="s">
        <v>22</v>
      </c>
      <c r="K394" t="b">
        <v>1</v>
      </c>
      <c r="L394">
        <f t="shared" si="6"/>
        <v>449</v>
      </c>
      <c r="M394">
        <f t="shared" si="6"/>
        <v>4472</v>
      </c>
      <c r="N394" t="b">
        <v>0</v>
      </c>
      <c r="O394">
        <v>1</v>
      </c>
      <c r="P394" t="s">
        <v>1129</v>
      </c>
      <c r="Q394">
        <v>1</v>
      </c>
      <c r="R394" t="b">
        <v>1</v>
      </c>
    </row>
    <row r="395" spans="1:18">
      <c r="A395" t="s">
        <v>24</v>
      </c>
      <c r="B395" t="s">
        <v>1130</v>
      </c>
      <c r="C395" t="s">
        <v>1131</v>
      </c>
      <c r="E395">
        <v>289</v>
      </c>
      <c r="F395">
        <v>3116</v>
      </c>
      <c r="G395">
        <v>156</v>
      </c>
      <c r="H395">
        <v>2586</v>
      </c>
      <c r="J395" t="s">
        <v>22</v>
      </c>
      <c r="K395" t="b">
        <v>1</v>
      </c>
      <c r="L395">
        <f t="shared" si="6"/>
        <v>445</v>
      </c>
      <c r="M395">
        <f t="shared" si="6"/>
        <v>5702</v>
      </c>
      <c r="N395" t="b">
        <v>0</v>
      </c>
      <c r="O395">
        <v>1</v>
      </c>
      <c r="P395" t="s">
        <v>1132</v>
      </c>
      <c r="Q395">
        <v>2</v>
      </c>
      <c r="R395" t="b">
        <v>1</v>
      </c>
    </row>
    <row r="396" spans="1:18" hidden="1">
      <c r="A396" t="s">
        <v>133</v>
      </c>
      <c r="B396" t="s">
        <v>1133</v>
      </c>
      <c r="C396" t="s">
        <v>1134</v>
      </c>
      <c r="D396" t="s">
        <v>649</v>
      </c>
      <c r="E396">
        <v>289</v>
      </c>
      <c r="F396">
        <v>4672</v>
      </c>
      <c r="G396">
        <v>139</v>
      </c>
      <c r="H396">
        <v>4326</v>
      </c>
      <c r="I396" t="s">
        <v>1135</v>
      </c>
      <c r="J396" t="s">
        <v>93</v>
      </c>
      <c r="K396" t="b">
        <v>1</v>
      </c>
      <c r="L396">
        <f t="shared" si="6"/>
        <v>428</v>
      </c>
      <c r="M396">
        <f t="shared" si="6"/>
        <v>8998</v>
      </c>
      <c r="N396" t="b">
        <v>0</v>
      </c>
      <c r="O396">
        <v>0.5</v>
      </c>
      <c r="P396" t="s">
        <v>201</v>
      </c>
      <c r="Q396">
        <v>2</v>
      </c>
      <c r="R396" t="b">
        <v>1</v>
      </c>
    </row>
    <row r="397" spans="1:18">
      <c r="A397" t="s">
        <v>115</v>
      </c>
      <c r="B397" t="s">
        <v>1136</v>
      </c>
      <c r="C397" t="s">
        <v>1137</v>
      </c>
      <c r="E397">
        <v>273</v>
      </c>
      <c r="F397">
        <v>1667</v>
      </c>
      <c r="G397">
        <v>155</v>
      </c>
      <c r="H397">
        <v>574</v>
      </c>
      <c r="J397" t="s">
        <v>22</v>
      </c>
      <c r="K397" t="b">
        <v>1</v>
      </c>
      <c r="L397">
        <f t="shared" si="6"/>
        <v>428</v>
      </c>
      <c r="M397">
        <f t="shared" si="6"/>
        <v>2241</v>
      </c>
      <c r="N397" t="b">
        <v>0</v>
      </c>
      <c r="O397">
        <v>1</v>
      </c>
      <c r="P397" t="s">
        <v>1138</v>
      </c>
      <c r="Q397">
        <v>2</v>
      </c>
      <c r="R397" t="b">
        <v>1</v>
      </c>
    </row>
    <row r="398" spans="1:18" hidden="1">
      <c r="A398" t="s">
        <v>1139</v>
      </c>
      <c r="B398" t="s">
        <v>1140</v>
      </c>
      <c r="C398" s="5" t="s">
        <v>1141</v>
      </c>
      <c r="D398" t="s">
        <v>93</v>
      </c>
      <c r="E398">
        <v>256</v>
      </c>
      <c r="F398">
        <v>4654</v>
      </c>
      <c r="G398">
        <v>167</v>
      </c>
      <c r="H398">
        <v>1719</v>
      </c>
      <c r="I398" t="s">
        <v>1142</v>
      </c>
      <c r="J398" t="s">
        <v>93</v>
      </c>
      <c r="K398" t="b">
        <v>0</v>
      </c>
      <c r="L398">
        <f t="shared" si="6"/>
        <v>423</v>
      </c>
      <c r="M398">
        <f t="shared" si="6"/>
        <v>6373</v>
      </c>
      <c r="N398" t="b">
        <v>0</v>
      </c>
      <c r="O398">
        <v>0</v>
      </c>
      <c r="Q398">
        <v>0</v>
      </c>
      <c r="R398" t="b">
        <v>0</v>
      </c>
    </row>
    <row r="399" spans="1:18">
      <c r="A399" t="s">
        <v>1143</v>
      </c>
      <c r="B399" t="s">
        <v>1144</v>
      </c>
      <c r="C399" t="s">
        <v>1145</v>
      </c>
      <c r="E399">
        <v>0</v>
      </c>
      <c r="F399">
        <v>0</v>
      </c>
      <c r="G399">
        <v>420</v>
      </c>
      <c r="H399">
        <v>2046</v>
      </c>
      <c r="J399" t="s">
        <v>22</v>
      </c>
      <c r="K399" t="b">
        <v>1</v>
      </c>
      <c r="L399">
        <f t="shared" si="6"/>
        <v>420</v>
      </c>
      <c r="M399">
        <f t="shared" si="6"/>
        <v>2046</v>
      </c>
      <c r="N399" t="b">
        <v>0</v>
      </c>
      <c r="O399">
        <v>1</v>
      </c>
      <c r="P399" t="s">
        <v>33</v>
      </c>
      <c r="Q399">
        <v>2</v>
      </c>
      <c r="R399" t="b">
        <v>1</v>
      </c>
    </row>
    <row r="400" spans="1:18">
      <c r="A400" t="s">
        <v>1143</v>
      </c>
      <c r="B400" t="s">
        <v>1146</v>
      </c>
      <c r="C400" t="s">
        <v>1147</v>
      </c>
      <c r="E400">
        <v>0</v>
      </c>
      <c r="F400">
        <v>0</v>
      </c>
      <c r="G400">
        <v>420</v>
      </c>
      <c r="H400">
        <v>2046</v>
      </c>
      <c r="J400" t="s">
        <v>22</v>
      </c>
      <c r="K400" t="b">
        <v>1</v>
      </c>
      <c r="L400">
        <f t="shared" si="6"/>
        <v>420</v>
      </c>
      <c r="M400">
        <f t="shared" si="6"/>
        <v>2046</v>
      </c>
      <c r="N400" t="b">
        <v>0</v>
      </c>
      <c r="O400">
        <v>0</v>
      </c>
      <c r="Q400">
        <v>0</v>
      </c>
      <c r="R400" t="b">
        <v>0</v>
      </c>
    </row>
    <row r="401" spans="1:18">
      <c r="A401" t="s">
        <v>1143</v>
      </c>
      <c r="B401" t="s">
        <v>1148</v>
      </c>
      <c r="C401" t="s">
        <v>1149</v>
      </c>
      <c r="E401">
        <v>0</v>
      </c>
      <c r="F401">
        <v>0</v>
      </c>
      <c r="G401">
        <v>420</v>
      </c>
      <c r="H401">
        <v>2046</v>
      </c>
      <c r="J401" t="s">
        <v>22</v>
      </c>
      <c r="K401" t="b">
        <v>1</v>
      </c>
      <c r="L401">
        <f t="shared" si="6"/>
        <v>420</v>
      </c>
      <c r="M401">
        <f t="shared" si="6"/>
        <v>2046</v>
      </c>
      <c r="N401" t="b">
        <v>0</v>
      </c>
      <c r="O401">
        <v>1</v>
      </c>
      <c r="P401" t="s">
        <v>1150</v>
      </c>
      <c r="Q401">
        <v>2</v>
      </c>
      <c r="R401" t="b">
        <v>1</v>
      </c>
    </row>
    <row r="402" spans="1:18">
      <c r="A402" t="s">
        <v>1143</v>
      </c>
      <c r="B402" t="s">
        <v>1151</v>
      </c>
      <c r="C402" t="s">
        <v>1152</v>
      </c>
      <c r="E402">
        <v>0</v>
      </c>
      <c r="F402">
        <v>0</v>
      </c>
      <c r="G402">
        <v>420</v>
      </c>
      <c r="H402">
        <v>2046</v>
      </c>
      <c r="J402" t="s">
        <v>22</v>
      </c>
      <c r="K402" t="b">
        <v>1</v>
      </c>
      <c r="L402">
        <f t="shared" si="6"/>
        <v>420</v>
      </c>
      <c r="M402">
        <f t="shared" si="6"/>
        <v>2046</v>
      </c>
      <c r="N402" t="b">
        <v>0</v>
      </c>
      <c r="O402">
        <v>0</v>
      </c>
      <c r="Q402">
        <v>0</v>
      </c>
      <c r="R402" t="b">
        <v>0</v>
      </c>
    </row>
    <row r="403" spans="1:18">
      <c r="A403" t="s">
        <v>1143</v>
      </c>
      <c r="B403" t="s">
        <v>1153</v>
      </c>
      <c r="C403" t="s">
        <v>1154</v>
      </c>
      <c r="E403">
        <v>0</v>
      </c>
      <c r="F403">
        <v>0</v>
      </c>
      <c r="G403">
        <v>417</v>
      </c>
      <c r="H403">
        <v>2035</v>
      </c>
      <c r="J403" t="s">
        <v>22</v>
      </c>
      <c r="K403" t="b">
        <v>1</v>
      </c>
      <c r="L403">
        <f t="shared" si="6"/>
        <v>417</v>
      </c>
      <c r="M403">
        <f t="shared" si="6"/>
        <v>2035</v>
      </c>
      <c r="N403" t="b">
        <v>0</v>
      </c>
      <c r="O403">
        <v>1</v>
      </c>
      <c r="P403" t="s">
        <v>1155</v>
      </c>
      <c r="Q403">
        <v>2</v>
      </c>
      <c r="R403" t="b">
        <v>1</v>
      </c>
    </row>
    <row r="404" spans="1:18" hidden="1">
      <c r="A404" t="s">
        <v>940</v>
      </c>
      <c r="B404" t="s">
        <v>1156</v>
      </c>
      <c r="C404" t="s">
        <v>1157</v>
      </c>
      <c r="D404" t="s">
        <v>435</v>
      </c>
      <c r="E404">
        <v>0</v>
      </c>
      <c r="F404">
        <v>0</v>
      </c>
      <c r="G404">
        <v>415</v>
      </c>
      <c r="H404">
        <v>3984</v>
      </c>
      <c r="J404" t="s">
        <v>93</v>
      </c>
      <c r="K404" t="b">
        <v>0</v>
      </c>
      <c r="L404">
        <f t="shared" si="6"/>
        <v>415</v>
      </c>
      <c r="M404">
        <f t="shared" si="6"/>
        <v>3984</v>
      </c>
      <c r="N404" t="b">
        <v>0</v>
      </c>
      <c r="O404">
        <v>0</v>
      </c>
      <c r="Q404">
        <v>0</v>
      </c>
      <c r="R404" t="b">
        <v>0</v>
      </c>
    </row>
    <row r="405" spans="1:18">
      <c r="A405" t="s">
        <v>573</v>
      </c>
      <c r="B405" t="s">
        <v>1158</v>
      </c>
      <c r="C405" t="s">
        <v>1159</v>
      </c>
      <c r="E405">
        <v>315</v>
      </c>
      <c r="F405">
        <v>6842</v>
      </c>
      <c r="G405">
        <v>95</v>
      </c>
      <c r="H405">
        <v>1433</v>
      </c>
      <c r="J405" t="s">
        <v>22</v>
      </c>
      <c r="K405" t="b">
        <v>1</v>
      </c>
      <c r="L405">
        <f t="shared" si="6"/>
        <v>410</v>
      </c>
      <c r="M405">
        <f t="shared" si="6"/>
        <v>8275</v>
      </c>
      <c r="N405" t="b">
        <v>0</v>
      </c>
      <c r="O405">
        <v>1</v>
      </c>
      <c r="P405" t="s">
        <v>1160</v>
      </c>
      <c r="Q405">
        <v>2</v>
      </c>
      <c r="R405" t="b">
        <v>1</v>
      </c>
    </row>
    <row r="406" spans="1:18">
      <c r="A406" t="s">
        <v>24</v>
      </c>
      <c r="B406" t="s">
        <v>1161</v>
      </c>
      <c r="C406" t="s">
        <v>1162</v>
      </c>
      <c r="E406">
        <v>308</v>
      </c>
      <c r="F406">
        <v>5736</v>
      </c>
      <c r="G406">
        <v>101</v>
      </c>
      <c r="H406">
        <v>1681</v>
      </c>
      <c r="J406" t="s">
        <v>22</v>
      </c>
      <c r="K406" t="b">
        <v>1</v>
      </c>
      <c r="L406">
        <f t="shared" si="6"/>
        <v>409</v>
      </c>
      <c r="M406">
        <f t="shared" si="6"/>
        <v>7417</v>
      </c>
      <c r="N406" t="b">
        <v>0</v>
      </c>
      <c r="O406">
        <v>1</v>
      </c>
      <c r="P406" t="s">
        <v>1163</v>
      </c>
      <c r="Q406">
        <v>6</v>
      </c>
      <c r="R406" t="b">
        <v>1</v>
      </c>
    </row>
    <row r="407" spans="1:18">
      <c r="A407" t="s">
        <v>24</v>
      </c>
      <c r="B407" t="s">
        <v>1164</v>
      </c>
      <c r="C407" t="s">
        <v>1165</v>
      </c>
      <c r="E407">
        <v>314</v>
      </c>
      <c r="F407">
        <v>6841</v>
      </c>
      <c r="G407">
        <v>93</v>
      </c>
      <c r="H407">
        <v>1431</v>
      </c>
      <c r="J407" t="s">
        <v>22</v>
      </c>
      <c r="K407" t="b">
        <v>1</v>
      </c>
      <c r="L407">
        <f t="shared" si="6"/>
        <v>407</v>
      </c>
      <c r="M407">
        <f t="shared" si="6"/>
        <v>8272</v>
      </c>
      <c r="N407" t="b">
        <v>0</v>
      </c>
      <c r="O407">
        <v>1</v>
      </c>
      <c r="P407" t="s">
        <v>1166</v>
      </c>
      <c r="Q407">
        <v>2</v>
      </c>
      <c r="R407" t="b">
        <v>1</v>
      </c>
    </row>
    <row r="408" spans="1:18">
      <c r="A408" t="s">
        <v>1167</v>
      </c>
      <c r="B408" t="s">
        <v>1168</v>
      </c>
      <c r="C408" t="s">
        <v>1169</v>
      </c>
      <c r="E408">
        <v>308</v>
      </c>
      <c r="F408">
        <v>6074</v>
      </c>
      <c r="G408">
        <v>98</v>
      </c>
      <c r="H408">
        <v>621</v>
      </c>
      <c r="J408" t="s">
        <v>22</v>
      </c>
      <c r="K408" t="b">
        <v>1</v>
      </c>
      <c r="L408">
        <f t="shared" si="6"/>
        <v>406</v>
      </c>
      <c r="M408">
        <f t="shared" si="6"/>
        <v>6695</v>
      </c>
      <c r="N408" t="b">
        <v>0</v>
      </c>
      <c r="O408">
        <v>1</v>
      </c>
      <c r="P408" t="s">
        <v>33</v>
      </c>
      <c r="Q408">
        <v>2</v>
      </c>
      <c r="R408" t="b">
        <v>1</v>
      </c>
    </row>
    <row r="409" spans="1:18">
      <c r="A409" t="s">
        <v>1167</v>
      </c>
      <c r="B409" t="s">
        <v>1170</v>
      </c>
      <c r="C409" t="s">
        <v>1171</v>
      </c>
      <c r="E409">
        <v>306</v>
      </c>
      <c r="F409">
        <v>6059</v>
      </c>
      <c r="G409">
        <v>98</v>
      </c>
      <c r="H409">
        <v>609</v>
      </c>
      <c r="J409" t="s">
        <v>22</v>
      </c>
      <c r="K409" t="b">
        <v>1</v>
      </c>
      <c r="L409">
        <f t="shared" si="6"/>
        <v>404</v>
      </c>
      <c r="M409">
        <f t="shared" si="6"/>
        <v>6668</v>
      </c>
      <c r="N409" t="b">
        <v>0</v>
      </c>
      <c r="O409">
        <v>0</v>
      </c>
      <c r="Q409">
        <v>0</v>
      </c>
      <c r="R409" t="b">
        <v>0</v>
      </c>
    </row>
    <row r="410" spans="1:18">
      <c r="A410" t="s">
        <v>1167</v>
      </c>
      <c r="B410" t="s">
        <v>1172</v>
      </c>
      <c r="C410" t="s">
        <v>1173</v>
      </c>
      <c r="E410">
        <v>306</v>
      </c>
      <c r="F410">
        <v>6059</v>
      </c>
      <c r="G410">
        <v>98</v>
      </c>
      <c r="H410">
        <v>609</v>
      </c>
      <c r="J410" t="s">
        <v>22</v>
      </c>
      <c r="K410" t="b">
        <v>1</v>
      </c>
      <c r="L410">
        <f t="shared" si="6"/>
        <v>404</v>
      </c>
      <c r="M410">
        <f t="shared" si="6"/>
        <v>6668</v>
      </c>
      <c r="N410" t="b">
        <v>0</v>
      </c>
      <c r="O410">
        <v>0</v>
      </c>
      <c r="Q410">
        <v>0</v>
      </c>
      <c r="R410" t="b">
        <v>0</v>
      </c>
    </row>
    <row r="411" spans="1:18">
      <c r="A411" t="s">
        <v>1167</v>
      </c>
      <c r="B411" t="s">
        <v>1174</v>
      </c>
      <c r="C411" t="s">
        <v>1175</v>
      </c>
      <c r="E411">
        <v>306</v>
      </c>
      <c r="F411">
        <v>6059</v>
      </c>
      <c r="G411">
        <v>98</v>
      </c>
      <c r="H411">
        <v>609</v>
      </c>
      <c r="J411" t="s">
        <v>22</v>
      </c>
      <c r="K411" t="b">
        <v>1</v>
      </c>
      <c r="L411">
        <f t="shared" si="6"/>
        <v>404</v>
      </c>
      <c r="M411">
        <f t="shared" si="6"/>
        <v>6668</v>
      </c>
      <c r="N411" t="b">
        <v>0</v>
      </c>
      <c r="O411">
        <v>1</v>
      </c>
      <c r="P411" t="s">
        <v>1176</v>
      </c>
      <c r="Q411">
        <v>2</v>
      </c>
      <c r="R411" t="b">
        <v>1</v>
      </c>
    </row>
    <row r="412" spans="1:18" hidden="1">
      <c r="A412" t="s">
        <v>361</v>
      </c>
      <c r="B412" t="s">
        <v>1177</v>
      </c>
      <c r="C412" t="s">
        <v>1178</v>
      </c>
      <c r="D412" t="s">
        <v>519</v>
      </c>
      <c r="E412">
        <v>281</v>
      </c>
      <c r="F412">
        <v>4883</v>
      </c>
      <c r="G412">
        <v>120</v>
      </c>
      <c r="H412">
        <v>1435</v>
      </c>
      <c r="I412" t="s">
        <v>520</v>
      </c>
      <c r="J412" t="s">
        <v>93</v>
      </c>
      <c r="K412" t="b">
        <v>0</v>
      </c>
      <c r="L412">
        <f t="shared" si="6"/>
        <v>401</v>
      </c>
      <c r="M412">
        <f t="shared" si="6"/>
        <v>6318</v>
      </c>
      <c r="N412" t="b">
        <v>0</v>
      </c>
      <c r="O412">
        <v>0</v>
      </c>
      <c r="Q412">
        <v>0</v>
      </c>
      <c r="R412" t="b">
        <v>0</v>
      </c>
    </row>
    <row r="413" spans="1:18">
      <c r="A413" t="s">
        <v>19</v>
      </c>
      <c r="B413" t="s">
        <v>1179</v>
      </c>
      <c r="C413" t="s">
        <v>1180</v>
      </c>
      <c r="E413">
        <v>281</v>
      </c>
      <c r="F413">
        <v>4883</v>
      </c>
      <c r="G413">
        <v>120</v>
      </c>
      <c r="H413">
        <v>1435</v>
      </c>
      <c r="J413" t="s">
        <v>22</v>
      </c>
      <c r="K413" t="b">
        <v>1</v>
      </c>
      <c r="L413">
        <f t="shared" si="6"/>
        <v>401</v>
      </c>
      <c r="M413">
        <f t="shared" si="6"/>
        <v>6318</v>
      </c>
      <c r="N413" t="b">
        <v>0</v>
      </c>
      <c r="O413">
        <v>1</v>
      </c>
      <c r="P413" t="s">
        <v>1181</v>
      </c>
      <c r="Q413">
        <v>2</v>
      </c>
      <c r="R413" t="b">
        <v>1</v>
      </c>
    </row>
    <row r="414" spans="1:18" hidden="1">
      <c r="A414" t="s">
        <v>1182</v>
      </c>
      <c r="B414" t="s">
        <v>1183</v>
      </c>
      <c r="C414" t="s">
        <v>1184</v>
      </c>
      <c r="D414" t="s">
        <v>519</v>
      </c>
      <c r="E414">
        <v>202</v>
      </c>
      <c r="F414">
        <v>2896</v>
      </c>
      <c r="G414">
        <v>198</v>
      </c>
      <c r="H414">
        <v>1965</v>
      </c>
      <c r="I414" t="s">
        <v>1185</v>
      </c>
      <c r="J414" t="s">
        <v>93</v>
      </c>
      <c r="K414" t="b">
        <v>0</v>
      </c>
      <c r="L414">
        <f t="shared" si="6"/>
        <v>400</v>
      </c>
      <c r="M414">
        <f t="shared" si="6"/>
        <v>4861</v>
      </c>
      <c r="N414" t="b">
        <v>0</v>
      </c>
      <c r="O414">
        <v>0</v>
      </c>
      <c r="Q414">
        <v>0</v>
      </c>
      <c r="R414" t="b">
        <v>0</v>
      </c>
    </row>
    <row r="415" spans="1:18" hidden="1">
      <c r="A415" t="s">
        <v>1182</v>
      </c>
      <c r="B415" t="s">
        <v>1186</v>
      </c>
      <c r="C415" t="s">
        <v>1187</v>
      </c>
      <c r="D415" t="s">
        <v>519</v>
      </c>
      <c r="E415">
        <v>201</v>
      </c>
      <c r="F415">
        <v>2896</v>
      </c>
      <c r="G415">
        <v>198</v>
      </c>
      <c r="H415">
        <v>1965</v>
      </c>
      <c r="I415" t="s">
        <v>1185</v>
      </c>
      <c r="J415" t="s">
        <v>93</v>
      </c>
      <c r="K415" t="b">
        <v>0</v>
      </c>
      <c r="L415">
        <f t="shared" si="6"/>
        <v>399</v>
      </c>
      <c r="M415">
        <f t="shared" si="6"/>
        <v>4861</v>
      </c>
      <c r="N415" t="b">
        <v>0</v>
      </c>
      <c r="O415">
        <v>0</v>
      </c>
      <c r="Q415">
        <v>0</v>
      </c>
      <c r="R415" t="b">
        <v>0</v>
      </c>
    </row>
    <row r="416" spans="1:18">
      <c r="A416" t="s">
        <v>24</v>
      </c>
      <c r="B416" t="s">
        <v>1188</v>
      </c>
      <c r="C416" t="s">
        <v>1189</v>
      </c>
      <c r="E416">
        <v>299</v>
      </c>
      <c r="F416">
        <v>7717</v>
      </c>
      <c r="G416">
        <v>100</v>
      </c>
      <c r="H416">
        <v>1488</v>
      </c>
      <c r="J416" t="s">
        <v>22</v>
      </c>
      <c r="K416" t="b">
        <v>1</v>
      </c>
      <c r="L416">
        <f t="shared" si="6"/>
        <v>399</v>
      </c>
      <c r="M416">
        <f t="shared" si="6"/>
        <v>9205</v>
      </c>
      <c r="N416" t="b">
        <v>0</v>
      </c>
      <c r="O416">
        <v>1</v>
      </c>
      <c r="P416" t="s">
        <v>1190</v>
      </c>
      <c r="Q416">
        <v>2</v>
      </c>
      <c r="R416" t="b">
        <v>1</v>
      </c>
    </row>
    <row r="417" spans="1:18">
      <c r="A417" t="s">
        <v>1191</v>
      </c>
      <c r="B417" t="s">
        <v>1192</v>
      </c>
      <c r="C417" t="s">
        <v>1193</v>
      </c>
      <c r="E417">
        <v>272</v>
      </c>
      <c r="F417">
        <v>2296</v>
      </c>
      <c r="G417">
        <v>125</v>
      </c>
      <c r="H417">
        <v>655</v>
      </c>
      <c r="J417" t="s">
        <v>22</v>
      </c>
      <c r="K417" t="b">
        <v>1</v>
      </c>
      <c r="L417">
        <f t="shared" si="6"/>
        <v>397</v>
      </c>
      <c r="M417">
        <f t="shared" si="6"/>
        <v>2951</v>
      </c>
      <c r="N417" t="b">
        <v>0</v>
      </c>
      <c r="O417">
        <v>1</v>
      </c>
      <c r="P417" t="s">
        <v>1194</v>
      </c>
      <c r="Q417">
        <v>6</v>
      </c>
      <c r="R417" t="b">
        <v>1</v>
      </c>
    </row>
    <row r="418" spans="1:18">
      <c r="A418" t="s">
        <v>1191</v>
      </c>
      <c r="B418" t="s">
        <v>1195</v>
      </c>
      <c r="C418" t="s">
        <v>1196</v>
      </c>
      <c r="E418">
        <v>272</v>
      </c>
      <c r="F418">
        <v>2296</v>
      </c>
      <c r="G418">
        <v>125</v>
      </c>
      <c r="H418">
        <v>655</v>
      </c>
      <c r="J418" t="s">
        <v>22</v>
      </c>
      <c r="K418" t="b">
        <v>1</v>
      </c>
      <c r="L418">
        <f t="shared" si="6"/>
        <v>397</v>
      </c>
      <c r="M418">
        <f t="shared" si="6"/>
        <v>2951</v>
      </c>
      <c r="N418" t="b">
        <v>0</v>
      </c>
      <c r="O418">
        <v>1</v>
      </c>
      <c r="P418" t="s">
        <v>33</v>
      </c>
      <c r="Q418">
        <v>2</v>
      </c>
      <c r="R418" t="b">
        <v>1</v>
      </c>
    </row>
    <row r="419" spans="1:18">
      <c r="A419" t="s">
        <v>1191</v>
      </c>
      <c r="B419" t="s">
        <v>1197</v>
      </c>
      <c r="C419" t="s">
        <v>1198</v>
      </c>
      <c r="E419">
        <v>272</v>
      </c>
      <c r="F419">
        <v>2296</v>
      </c>
      <c r="G419">
        <v>125</v>
      </c>
      <c r="H419">
        <v>655</v>
      </c>
      <c r="J419" t="s">
        <v>22</v>
      </c>
      <c r="K419" t="b">
        <v>1</v>
      </c>
      <c r="L419">
        <f t="shared" si="6"/>
        <v>397</v>
      </c>
      <c r="M419">
        <f t="shared" si="6"/>
        <v>2951</v>
      </c>
      <c r="N419" t="b">
        <v>0</v>
      </c>
      <c r="O419">
        <v>0</v>
      </c>
      <c r="Q419">
        <v>0</v>
      </c>
      <c r="R419" t="b">
        <v>0</v>
      </c>
    </row>
    <row r="420" spans="1:18">
      <c r="A420" t="s">
        <v>1191</v>
      </c>
      <c r="B420" t="s">
        <v>1199</v>
      </c>
      <c r="C420" t="s">
        <v>1200</v>
      </c>
      <c r="E420">
        <v>272</v>
      </c>
      <c r="F420">
        <v>2296</v>
      </c>
      <c r="G420">
        <v>125</v>
      </c>
      <c r="H420">
        <v>655</v>
      </c>
      <c r="J420" t="s">
        <v>22</v>
      </c>
      <c r="K420" t="b">
        <v>1</v>
      </c>
      <c r="L420">
        <f t="shared" si="6"/>
        <v>397</v>
      </c>
      <c r="M420">
        <f t="shared" si="6"/>
        <v>2951</v>
      </c>
      <c r="N420" t="b">
        <v>0</v>
      </c>
      <c r="O420">
        <v>1</v>
      </c>
      <c r="P420" t="s">
        <v>1201</v>
      </c>
      <c r="Q420">
        <v>2</v>
      </c>
      <c r="R420" t="b">
        <v>1</v>
      </c>
    </row>
    <row r="421" spans="1:18">
      <c r="A421" t="s">
        <v>1191</v>
      </c>
      <c r="B421" t="s">
        <v>1202</v>
      </c>
      <c r="C421" t="s">
        <v>1203</v>
      </c>
      <c r="E421">
        <v>272</v>
      </c>
      <c r="F421">
        <v>2296</v>
      </c>
      <c r="G421">
        <v>125</v>
      </c>
      <c r="H421">
        <v>655</v>
      </c>
      <c r="J421" t="s">
        <v>22</v>
      </c>
      <c r="K421" t="b">
        <v>1</v>
      </c>
      <c r="L421">
        <f t="shared" si="6"/>
        <v>397</v>
      </c>
      <c r="M421">
        <f t="shared" si="6"/>
        <v>2951</v>
      </c>
      <c r="N421" t="b">
        <v>0</v>
      </c>
      <c r="O421">
        <v>0</v>
      </c>
      <c r="Q421">
        <v>0</v>
      </c>
      <c r="R421" t="b">
        <v>0</v>
      </c>
    </row>
    <row r="422" spans="1:18">
      <c r="A422" t="s">
        <v>24</v>
      </c>
      <c r="B422" t="s">
        <v>1204</v>
      </c>
      <c r="C422" t="s">
        <v>1205</v>
      </c>
      <c r="E422">
        <v>307</v>
      </c>
      <c r="F422">
        <v>7448</v>
      </c>
      <c r="G422">
        <v>89</v>
      </c>
      <c r="H422">
        <v>1450</v>
      </c>
      <c r="J422" t="s">
        <v>22</v>
      </c>
      <c r="K422" t="b">
        <v>1</v>
      </c>
      <c r="L422">
        <f t="shared" si="6"/>
        <v>396</v>
      </c>
      <c r="M422">
        <f t="shared" si="6"/>
        <v>8898</v>
      </c>
      <c r="N422" t="b">
        <v>0</v>
      </c>
      <c r="O422">
        <v>1</v>
      </c>
      <c r="P422" t="s">
        <v>1206</v>
      </c>
      <c r="Q422">
        <v>2</v>
      </c>
      <c r="R422" t="b">
        <v>1</v>
      </c>
    </row>
    <row r="423" spans="1:18" hidden="1">
      <c r="A423" t="s">
        <v>1207</v>
      </c>
      <c r="B423" t="s">
        <v>1208</v>
      </c>
      <c r="C423" t="s">
        <v>1209</v>
      </c>
      <c r="D423" t="s">
        <v>519</v>
      </c>
      <c r="E423">
        <v>247</v>
      </c>
      <c r="F423">
        <v>2342</v>
      </c>
      <c r="G423">
        <v>148</v>
      </c>
      <c r="H423">
        <v>1738</v>
      </c>
      <c r="I423" t="s">
        <v>1210</v>
      </c>
      <c r="J423" t="s">
        <v>93</v>
      </c>
      <c r="K423" t="b">
        <v>0</v>
      </c>
      <c r="L423">
        <f t="shared" si="6"/>
        <v>395</v>
      </c>
      <c r="M423">
        <f t="shared" si="6"/>
        <v>4080</v>
      </c>
      <c r="N423" t="b">
        <v>0</v>
      </c>
      <c r="O423">
        <v>0</v>
      </c>
      <c r="Q423">
        <v>0</v>
      </c>
      <c r="R423" t="b">
        <v>0</v>
      </c>
    </row>
    <row r="424" spans="1:18" hidden="1">
      <c r="A424" t="s">
        <v>1207</v>
      </c>
      <c r="B424" t="s">
        <v>1211</v>
      </c>
      <c r="C424" t="s">
        <v>1212</v>
      </c>
      <c r="D424" t="s">
        <v>519</v>
      </c>
      <c r="E424">
        <v>247</v>
      </c>
      <c r="F424">
        <v>2342</v>
      </c>
      <c r="G424">
        <v>148</v>
      </c>
      <c r="H424">
        <v>1738</v>
      </c>
      <c r="I424" t="s">
        <v>1210</v>
      </c>
      <c r="J424" t="s">
        <v>93</v>
      </c>
      <c r="K424" t="b">
        <v>0</v>
      </c>
      <c r="L424">
        <f t="shared" si="6"/>
        <v>395</v>
      </c>
      <c r="M424">
        <f t="shared" si="6"/>
        <v>4080</v>
      </c>
      <c r="N424" t="b">
        <v>0</v>
      </c>
      <c r="O424">
        <v>0</v>
      </c>
      <c r="Q424">
        <v>0</v>
      </c>
      <c r="R424" t="b">
        <v>0</v>
      </c>
    </row>
    <row r="425" spans="1:18">
      <c r="A425" t="s">
        <v>1167</v>
      </c>
      <c r="B425" t="s">
        <v>1213</v>
      </c>
      <c r="C425" t="s">
        <v>1214</v>
      </c>
      <c r="E425">
        <v>297</v>
      </c>
      <c r="F425">
        <v>5999</v>
      </c>
      <c r="G425">
        <v>96</v>
      </c>
      <c r="H425">
        <v>607</v>
      </c>
      <c r="J425" t="s">
        <v>22</v>
      </c>
      <c r="K425" t="b">
        <v>1</v>
      </c>
      <c r="L425">
        <f t="shared" si="6"/>
        <v>393</v>
      </c>
      <c r="M425">
        <f t="shared" si="6"/>
        <v>6606</v>
      </c>
      <c r="N425" t="b">
        <v>0</v>
      </c>
      <c r="O425">
        <v>1</v>
      </c>
      <c r="P425" t="s">
        <v>1215</v>
      </c>
      <c r="Q425">
        <v>2</v>
      </c>
      <c r="R425" t="b">
        <v>1</v>
      </c>
    </row>
    <row r="426" spans="1:18" hidden="1">
      <c r="A426" t="s">
        <v>102</v>
      </c>
      <c r="B426" t="s">
        <v>1216</v>
      </c>
      <c r="C426" s="8" t="s">
        <v>1217</v>
      </c>
      <c r="D426" t="s">
        <v>93</v>
      </c>
      <c r="E426">
        <v>306</v>
      </c>
      <c r="F426">
        <v>3534</v>
      </c>
      <c r="G426">
        <v>86</v>
      </c>
      <c r="H426">
        <v>1158</v>
      </c>
      <c r="I426" t="s">
        <v>1218</v>
      </c>
      <c r="J426" t="s">
        <v>93</v>
      </c>
      <c r="K426" t="b">
        <v>1</v>
      </c>
      <c r="L426">
        <f t="shared" si="6"/>
        <v>392</v>
      </c>
      <c r="M426">
        <f t="shared" si="6"/>
        <v>4692</v>
      </c>
      <c r="N426" t="b">
        <v>0</v>
      </c>
      <c r="O426">
        <v>0</v>
      </c>
      <c r="Q426">
        <v>0</v>
      </c>
      <c r="R426" t="b">
        <v>0</v>
      </c>
    </row>
    <row r="427" spans="1:18" hidden="1">
      <c r="A427" t="s">
        <v>102</v>
      </c>
      <c r="B427" t="s">
        <v>1219</v>
      </c>
      <c r="C427" s="8" t="s">
        <v>1220</v>
      </c>
      <c r="D427" t="s">
        <v>93</v>
      </c>
      <c r="E427">
        <v>306</v>
      </c>
      <c r="F427">
        <v>3534</v>
      </c>
      <c r="G427">
        <v>86</v>
      </c>
      <c r="H427">
        <v>1158</v>
      </c>
      <c r="I427" t="s">
        <v>1218</v>
      </c>
      <c r="J427" t="s">
        <v>93</v>
      </c>
      <c r="K427" t="b">
        <v>1</v>
      </c>
      <c r="L427">
        <f t="shared" si="6"/>
        <v>392</v>
      </c>
      <c r="M427">
        <f t="shared" si="6"/>
        <v>4692</v>
      </c>
      <c r="N427" t="b">
        <v>0</v>
      </c>
      <c r="O427">
        <v>0</v>
      </c>
      <c r="Q427">
        <v>0</v>
      </c>
      <c r="R427" t="b">
        <v>0</v>
      </c>
    </row>
    <row r="428" spans="1:18" hidden="1">
      <c r="A428" t="s">
        <v>102</v>
      </c>
      <c r="B428" t="s">
        <v>1221</v>
      </c>
      <c r="C428" s="8" t="s">
        <v>1222</v>
      </c>
      <c r="D428" t="s">
        <v>93</v>
      </c>
      <c r="E428">
        <v>306</v>
      </c>
      <c r="F428">
        <v>3534</v>
      </c>
      <c r="G428">
        <v>86</v>
      </c>
      <c r="H428">
        <v>1158</v>
      </c>
      <c r="I428" t="s">
        <v>1218</v>
      </c>
      <c r="J428" t="s">
        <v>93</v>
      </c>
      <c r="K428" t="b">
        <v>1</v>
      </c>
      <c r="L428">
        <f t="shared" si="6"/>
        <v>392</v>
      </c>
      <c r="M428">
        <f t="shared" si="6"/>
        <v>4692</v>
      </c>
      <c r="N428" t="b">
        <v>0</v>
      </c>
      <c r="O428">
        <v>0.5</v>
      </c>
      <c r="P428" t="s">
        <v>1223</v>
      </c>
      <c r="Q428">
        <v>4</v>
      </c>
      <c r="R428" t="b">
        <v>1</v>
      </c>
    </row>
    <row r="429" spans="1:18">
      <c r="A429" t="s">
        <v>1224</v>
      </c>
      <c r="B429" t="s">
        <v>1225</v>
      </c>
      <c r="C429" t="s">
        <v>1226</v>
      </c>
      <c r="E429">
        <v>269</v>
      </c>
      <c r="F429">
        <v>4436</v>
      </c>
      <c r="G429">
        <v>123</v>
      </c>
      <c r="H429">
        <v>2101</v>
      </c>
      <c r="J429" t="s">
        <v>22</v>
      </c>
      <c r="K429" t="b">
        <v>1</v>
      </c>
      <c r="L429">
        <f t="shared" si="6"/>
        <v>392</v>
      </c>
      <c r="M429">
        <f t="shared" si="6"/>
        <v>6537</v>
      </c>
      <c r="N429" t="b">
        <v>0</v>
      </c>
      <c r="O429">
        <v>1</v>
      </c>
      <c r="P429" t="s">
        <v>33</v>
      </c>
      <c r="Q429">
        <v>2</v>
      </c>
      <c r="R429" t="b">
        <v>1</v>
      </c>
    </row>
    <row r="430" spans="1:18" hidden="1">
      <c r="A430" t="s">
        <v>1227</v>
      </c>
      <c r="B430" t="s">
        <v>1228</v>
      </c>
      <c r="C430" t="s">
        <v>1229</v>
      </c>
      <c r="D430" t="s">
        <v>435</v>
      </c>
      <c r="E430">
        <v>253</v>
      </c>
      <c r="F430">
        <v>4708</v>
      </c>
      <c r="G430">
        <v>136</v>
      </c>
      <c r="H430">
        <v>1639</v>
      </c>
      <c r="J430" t="s">
        <v>93</v>
      </c>
      <c r="K430" t="b">
        <v>0</v>
      </c>
      <c r="L430">
        <f t="shared" si="6"/>
        <v>389</v>
      </c>
      <c r="M430">
        <f t="shared" si="6"/>
        <v>6347</v>
      </c>
      <c r="N430" t="b">
        <v>0</v>
      </c>
      <c r="O430">
        <v>0</v>
      </c>
      <c r="Q430">
        <v>0</v>
      </c>
      <c r="R430" t="b">
        <v>0</v>
      </c>
    </row>
    <row r="431" spans="1:18">
      <c r="A431" t="s">
        <v>24</v>
      </c>
      <c r="B431" t="s">
        <v>1230</v>
      </c>
      <c r="C431" t="s">
        <v>1231</v>
      </c>
      <c r="E431">
        <v>272</v>
      </c>
      <c r="F431">
        <v>2388</v>
      </c>
      <c r="G431">
        <v>117</v>
      </c>
      <c r="H431">
        <v>950</v>
      </c>
      <c r="J431" t="s">
        <v>22</v>
      </c>
      <c r="K431" t="b">
        <v>1</v>
      </c>
      <c r="L431">
        <f t="shared" si="6"/>
        <v>389</v>
      </c>
      <c r="M431">
        <f t="shared" si="6"/>
        <v>3338</v>
      </c>
      <c r="N431" t="b">
        <v>0</v>
      </c>
      <c r="O431">
        <v>1</v>
      </c>
      <c r="P431" t="s">
        <v>1232</v>
      </c>
      <c r="Q431">
        <v>2</v>
      </c>
      <c r="R431" t="b">
        <v>1</v>
      </c>
    </row>
    <row r="432" spans="1:18">
      <c r="A432" t="s">
        <v>24</v>
      </c>
      <c r="B432" t="s">
        <v>1233</v>
      </c>
      <c r="C432" t="s">
        <v>1234</v>
      </c>
      <c r="E432">
        <v>303</v>
      </c>
      <c r="F432">
        <v>7852</v>
      </c>
      <c r="G432">
        <v>83</v>
      </c>
      <c r="H432">
        <v>1796</v>
      </c>
      <c r="J432" t="s">
        <v>22</v>
      </c>
      <c r="K432" t="b">
        <v>1</v>
      </c>
      <c r="L432">
        <f t="shared" si="6"/>
        <v>386</v>
      </c>
      <c r="M432">
        <f t="shared" si="6"/>
        <v>9648</v>
      </c>
      <c r="N432" t="b">
        <v>0</v>
      </c>
      <c r="O432">
        <v>1</v>
      </c>
      <c r="P432" t="s">
        <v>1235</v>
      </c>
      <c r="Q432">
        <v>2</v>
      </c>
      <c r="R432" t="b">
        <v>1</v>
      </c>
    </row>
    <row r="433" spans="1:18">
      <c r="A433" t="s">
        <v>1143</v>
      </c>
      <c r="B433" t="s">
        <v>1236</v>
      </c>
      <c r="C433" t="s">
        <v>1237</v>
      </c>
      <c r="E433">
        <v>0</v>
      </c>
      <c r="F433">
        <v>0</v>
      </c>
      <c r="G433">
        <v>379</v>
      </c>
      <c r="H433">
        <v>1783</v>
      </c>
      <c r="J433" t="s">
        <v>22</v>
      </c>
      <c r="K433" t="b">
        <v>1</v>
      </c>
      <c r="L433">
        <f t="shared" si="6"/>
        <v>379</v>
      </c>
      <c r="M433">
        <f t="shared" si="6"/>
        <v>1783</v>
      </c>
      <c r="N433" t="b">
        <v>0</v>
      </c>
      <c r="O433">
        <v>1</v>
      </c>
      <c r="P433" t="s">
        <v>1238</v>
      </c>
      <c r="Q433">
        <v>2</v>
      </c>
      <c r="R433" t="b">
        <v>1</v>
      </c>
    </row>
    <row r="434" spans="1:18" hidden="1">
      <c r="A434" t="s">
        <v>59</v>
      </c>
      <c r="B434" t="s">
        <v>1239</v>
      </c>
      <c r="C434" s="5" t="s">
        <v>1240</v>
      </c>
      <c r="D434" t="s">
        <v>93</v>
      </c>
      <c r="E434">
        <v>177</v>
      </c>
      <c r="F434">
        <v>1948</v>
      </c>
      <c r="G434">
        <v>201</v>
      </c>
      <c r="H434">
        <v>858</v>
      </c>
      <c r="I434" t="s">
        <v>1241</v>
      </c>
      <c r="J434" t="s">
        <v>93</v>
      </c>
      <c r="K434" t="b">
        <v>1</v>
      </c>
      <c r="L434">
        <f t="shared" si="6"/>
        <v>378</v>
      </c>
      <c r="M434">
        <f t="shared" si="6"/>
        <v>2806</v>
      </c>
      <c r="N434" t="b">
        <v>0</v>
      </c>
      <c r="O434">
        <v>0</v>
      </c>
      <c r="Q434">
        <v>0</v>
      </c>
      <c r="R434" t="b">
        <v>0</v>
      </c>
    </row>
    <row r="435" spans="1:18">
      <c r="A435" t="s">
        <v>235</v>
      </c>
      <c r="B435" t="s">
        <v>1242</v>
      </c>
      <c r="C435" t="s">
        <v>1243</v>
      </c>
      <c r="E435">
        <v>289</v>
      </c>
      <c r="F435">
        <v>7777</v>
      </c>
      <c r="G435">
        <v>82</v>
      </c>
      <c r="H435">
        <v>2097</v>
      </c>
      <c r="J435" t="s">
        <v>22</v>
      </c>
      <c r="K435" t="b">
        <v>1</v>
      </c>
      <c r="L435">
        <f t="shared" si="6"/>
        <v>371</v>
      </c>
      <c r="M435">
        <f t="shared" si="6"/>
        <v>9874</v>
      </c>
      <c r="N435" t="b">
        <v>0</v>
      </c>
      <c r="O435">
        <v>1</v>
      </c>
      <c r="P435" t="s">
        <v>1244</v>
      </c>
      <c r="Q435">
        <v>2</v>
      </c>
      <c r="R435" t="b">
        <v>1</v>
      </c>
    </row>
    <row r="436" spans="1:18" hidden="1">
      <c r="A436" t="s">
        <v>940</v>
      </c>
      <c r="B436" t="s">
        <v>1245</v>
      </c>
      <c r="C436" t="s">
        <v>1246</v>
      </c>
      <c r="D436" t="s">
        <v>435</v>
      </c>
      <c r="E436">
        <v>0</v>
      </c>
      <c r="F436">
        <v>0</v>
      </c>
      <c r="G436">
        <v>371</v>
      </c>
      <c r="H436">
        <v>4853</v>
      </c>
      <c r="J436" t="s">
        <v>93</v>
      </c>
      <c r="K436" t="b">
        <v>0</v>
      </c>
      <c r="L436">
        <f t="shared" si="6"/>
        <v>371</v>
      </c>
      <c r="M436">
        <f t="shared" si="6"/>
        <v>4853</v>
      </c>
      <c r="N436" t="b">
        <v>0</v>
      </c>
      <c r="O436">
        <v>0</v>
      </c>
      <c r="Q436">
        <v>0</v>
      </c>
      <c r="R436" t="b">
        <v>0</v>
      </c>
    </row>
    <row r="437" spans="1:18" hidden="1">
      <c r="A437" t="s">
        <v>192</v>
      </c>
      <c r="B437" t="s">
        <v>1247</v>
      </c>
      <c r="C437" s="4" t="s">
        <v>1248</v>
      </c>
      <c r="D437" t="s">
        <v>435</v>
      </c>
      <c r="E437">
        <v>0</v>
      </c>
      <c r="F437">
        <v>0</v>
      </c>
      <c r="G437">
        <v>371</v>
      </c>
      <c r="H437">
        <v>4852</v>
      </c>
      <c r="I437" t="s">
        <v>1249</v>
      </c>
      <c r="J437" t="s">
        <v>93</v>
      </c>
      <c r="K437" t="b">
        <v>1</v>
      </c>
      <c r="L437">
        <f t="shared" si="6"/>
        <v>371</v>
      </c>
      <c r="M437">
        <f t="shared" si="6"/>
        <v>4852</v>
      </c>
      <c r="N437" t="b">
        <v>0</v>
      </c>
      <c r="O437">
        <v>0.33329999999999999</v>
      </c>
      <c r="P437" t="s">
        <v>1250</v>
      </c>
      <c r="Q437">
        <v>8</v>
      </c>
      <c r="R437" t="b">
        <v>1</v>
      </c>
    </row>
    <row r="438" spans="1:18">
      <c r="A438" t="s">
        <v>836</v>
      </c>
      <c r="B438" t="s">
        <v>1251</v>
      </c>
      <c r="C438" t="s">
        <v>1252</v>
      </c>
      <c r="E438">
        <v>207</v>
      </c>
      <c r="F438">
        <v>590</v>
      </c>
      <c r="G438">
        <v>163</v>
      </c>
      <c r="H438">
        <v>453</v>
      </c>
      <c r="J438" t="s">
        <v>22</v>
      </c>
      <c r="K438" t="b">
        <v>1</v>
      </c>
      <c r="L438">
        <f t="shared" si="6"/>
        <v>370</v>
      </c>
      <c r="M438">
        <f t="shared" si="6"/>
        <v>1043</v>
      </c>
      <c r="N438" t="b">
        <v>0</v>
      </c>
      <c r="O438">
        <v>1</v>
      </c>
      <c r="P438" t="s">
        <v>1253</v>
      </c>
      <c r="Q438">
        <v>2</v>
      </c>
      <c r="R438" t="b">
        <v>1</v>
      </c>
    </row>
    <row r="439" spans="1:18">
      <c r="A439" t="s">
        <v>1191</v>
      </c>
      <c r="B439" t="s">
        <v>1254</v>
      </c>
      <c r="C439" t="s">
        <v>1255</v>
      </c>
      <c r="E439">
        <v>247</v>
      </c>
      <c r="F439">
        <v>2280</v>
      </c>
      <c r="G439">
        <v>122</v>
      </c>
      <c r="H439">
        <v>647</v>
      </c>
      <c r="J439" t="s">
        <v>22</v>
      </c>
      <c r="K439" t="b">
        <v>1</v>
      </c>
      <c r="L439">
        <f t="shared" si="6"/>
        <v>369</v>
      </c>
      <c r="M439">
        <f t="shared" si="6"/>
        <v>2927</v>
      </c>
      <c r="N439" t="b">
        <v>0</v>
      </c>
      <c r="O439">
        <v>1</v>
      </c>
      <c r="P439" t="s">
        <v>1256</v>
      </c>
      <c r="Q439">
        <v>2</v>
      </c>
      <c r="R439" t="b">
        <v>1</v>
      </c>
    </row>
    <row r="440" spans="1:18">
      <c r="A440" t="s">
        <v>192</v>
      </c>
      <c r="B440" t="s">
        <v>1257</v>
      </c>
      <c r="C440" t="s">
        <v>1258</v>
      </c>
      <c r="E440">
        <v>354</v>
      </c>
      <c r="F440">
        <v>3</v>
      </c>
      <c r="G440">
        <v>15</v>
      </c>
      <c r="H440">
        <v>16</v>
      </c>
      <c r="J440" t="s">
        <v>22</v>
      </c>
      <c r="K440" t="b">
        <v>1</v>
      </c>
      <c r="L440">
        <f t="shared" si="6"/>
        <v>369</v>
      </c>
      <c r="M440">
        <f t="shared" si="6"/>
        <v>19</v>
      </c>
      <c r="N440" t="b">
        <v>0</v>
      </c>
      <c r="O440">
        <v>1</v>
      </c>
      <c r="P440" t="s">
        <v>1259</v>
      </c>
      <c r="Q440">
        <v>2</v>
      </c>
      <c r="R440" t="b">
        <v>1</v>
      </c>
    </row>
    <row r="441" spans="1:18">
      <c r="A441" t="s">
        <v>24</v>
      </c>
      <c r="B441" t="s">
        <v>1260</v>
      </c>
      <c r="C441" t="s">
        <v>1261</v>
      </c>
      <c r="E441">
        <v>279</v>
      </c>
      <c r="F441">
        <v>5593</v>
      </c>
      <c r="G441">
        <v>89</v>
      </c>
      <c r="H441">
        <v>1611</v>
      </c>
      <c r="J441" t="s">
        <v>22</v>
      </c>
      <c r="K441" t="b">
        <v>1</v>
      </c>
      <c r="L441">
        <f t="shared" si="6"/>
        <v>368</v>
      </c>
      <c r="M441">
        <f t="shared" si="6"/>
        <v>7204</v>
      </c>
      <c r="N441" t="b">
        <v>0</v>
      </c>
      <c r="O441">
        <v>1</v>
      </c>
      <c r="P441" t="s">
        <v>1262</v>
      </c>
      <c r="Q441">
        <v>2</v>
      </c>
      <c r="R441" t="b">
        <v>1</v>
      </c>
    </row>
    <row r="442" spans="1:18">
      <c r="A442" t="s">
        <v>1143</v>
      </c>
      <c r="B442" t="s">
        <v>1263</v>
      </c>
      <c r="C442" t="s">
        <v>1264</v>
      </c>
      <c r="E442">
        <v>0</v>
      </c>
      <c r="F442">
        <v>0</v>
      </c>
      <c r="G442">
        <v>364</v>
      </c>
      <c r="H442">
        <v>1670</v>
      </c>
      <c r="J442" t="s">
        <v>22</v>
      </c>
      <c r="K442" t="b">
        <v>1</v>
      </c>
      <c r="L442">
        <f t="shared" si="6"/>
        <v>364</v>
      </c>
      <c r="M442">
        <f t="shared" si="6"/>
        <v>1670</v>
      </c>
      <c r="N442" t="b">
        <v>0</v>
      </c>
      <c r="O442">
        <v>1</v>
      </c>
      <c r="P442" t="s">
        <v>1265</v>
      </c>
      <c r="Q442">
        <v>2</v>
      </c>
      <c r="R442" t="b">
        <v>1</v>
      </c>
    </row>
    <row r="443" spans="1:18">
      <c r="A443" t="s">
        <v>378</v>
      </c>
      <c r="B443" t="s">
        <v>1266</v>
      </c>
      <c r="C443" t="s">
        <v>1267</v>
      </c>
      <c r="E443">
        <v>250</v>
      </c>
      <c r="F443">
        <v>2784</v>
      </c>
      <c r="G443">
        <v>114</v>
      </c>
      <c r="H443">
        <v>1846</v>
      </c>
      <c r="J443" t="s">
        <v>22</v>
      </c>
      <c r="K443" t="b">
        <v>1</v>
      </c>
      <c r="L443">
        <f t="shared" si="6"/>
        <v>364</v>
      </c>
      <c r="M443">
        <f t="shared" si="6"/>
        <v>4630</v>
      </c>
      <c r="N443" t="b">
        <v>0</v>
      </c>
      <c r="O443">
        <v>1</v>
      </c>
      <c r="P443" t="s">
        <v>1268</v>
      </c>
      <c r="Q443">
        <v>2</v>
      </c>
      <c r="R443" t="b">
        <v>1</v>
      </c>
    </row>
    <row r="444" spans="1:18" hidden="1">
      <c r="A444" t="s">
        <v>1269</v>
      </c>
      <c r="B444" t="s">
        <v>1270</v>
      </c>
      <c r="C444" t="s">
        <v>1271</v>
      </c>
      <c r="D444" t="s">
        <v>435</v>
      </c>
      <c r="E444">
        <v>232</v>
      </c>
      <c r="F444">
        <v>3939</v>
      </c>
      <c r="G444">
        <v>129</v>
      </c>
      <c r="H444">
        <v>1150</v>
      </c>
      <c r="J444" t="s">
        <v>93</v>
      </c>
      <c r="K444" t="b">
        <v>0</v>
      </c>
      <c r="L444">
        <f t="shared" si="6"/>
        <v>361</v>
      </c>
      <c r="M444">
        <f t="shared" si="6"/>
        <v>5089</v>
      </c>
      <c r="N444" t="b">
        <v>0</v>
      </c>
      <c r="O444">
        <v>0</v>
      </c>
      <c r="Q444">
        <v>0</v>
      </c>
      <c r="R444" t="b">
        <v>0</v>
      </c>
    </row>
    <row r="445" spans="1:18" hidden="1">
      <c r="A445" t="s">
        <v>1207</v>
      </c>
      <c r="B445" t="s">
        <v>1272</v>
      </c>
      <c r="C445" t="s">
        <v>1273</v>
      </c>
      <c r="D445" t="s">
        <v>519</v>
      </c>
      <c r="E445">
        <v>229</v>
      </c>
      <c r="F445">
        <v>2246</v>
      </c>
      <c r="G445">
        <v>132</v>
      </c>
      <c r="H445">
        <v>1319</v>
      </c>
      <c r="I445" t="s">
        <v>1210</v>
      </c>
      <c r="J445" t="s">
        <v>93</v>
      </c>
      <c r="K445" t="b">
        <v>0</v>
      </c>
      <c r="L445">
        <f t="shared" si="6"/>
        <v>361</v>
      </c>
      <c r="M445">
        <f t="shared" si="6"/>
        <v>3565</v>
      </c>
      <c r="N445" t="b">
        <v>0</v>
      </c>
      <c r="O445">
        <v>0</v>
      </c>
      <c r="Q445">
        <v>0</v>
      </c>
      <c r="R445" t="b">
        <v>0</v>
      </c>
    </row>
    <row r="446" spans="1:18" hidden="1">
      <c r="A446" t="s">
        <v>1207</v>
      </c>
      <c r="B446" t="s">
        <v>1274</v>
      </c>
      <c r="C446" t="s">
        <v>1275</v>
      </c>
      <c r="D446" t="s">
        <v>519</v>
      </c>
      <c r="E446">
        <v>229</v>
      </c>
      <c r="F446">
        <v>2246</v>
      </c>
      <c r="G446">
        <v>132</v>
      </c>
      <c r="H446">
        <v>1319</v>
      </c>
      <c r="I446" t="s">
        <v>1210</v>
      </c>
      <c r="J446" t="s">
        <v>93</v>
      </c>
      <c r="K446" t="b">
        <v>0</v>
      </c>
      <c r="L446">
        <f t="shared" si="6"/>
        <v>361</v>
      </c>
      <c r="M446">
        <f t="shared" si="6"/>
        <v>3565</v>
      </c>
      <c r="N446" t="b">
        <v>0</v>
      </c>
      <c r="O446">
        <v>0</v>
      </c>
      <c r="Q446">
        <v>0</v>
      </c>
      <c r="R446" t="b">
        <v>0</v>
      </c>
    </row>
    <row r="447" spans="1:18" hidden="1">
      <c r="A447" t="s">
        <v>248</v>
      </c>
      <c r="B447" t="s">
        <v>1276</v>
      </c>
      <c r="C447" s="2" t="s">
        <v>1277</v>
      </c>
      <c r="D447" t="s">
        <v>93</v>
      </c>
      <c r="E447">
        <v>246</v>
      </c>
      <c r="F447">
        <v>4089</v>
      </c>
      <c r="G447">
        <v>113</v>
      </c>
      <c r="H447">
        <v>2128</v>
      </c>
      <c r="I447" t="s">
        <v>1278</v>
      </c>
      <c r="J447" t="s">
        <v>93</v>
      </c>
      <c r="K447" t="b">
        <v>1</v>
      </c>
      <c r="L447">
        <f t="shared" si="6"/>
        <v>359</v>
      </c>
      <c r="M447">
        <f t="shared" si="6"/>
        <v>6217</v>
      </c>
      <c r="N447" t="b">
        <v>0</v>
      </c>
      <c r="O447">
        <v>0</v>
      </c>
      <c r="Q447">
        <v>0</v>
      </c>
      <c r="R447" t="b">
        <v>0</v>
      </c>
    </row>
    <row r="448" spans="1:18">
      <c r="A448" t="s">
        <v>1167</v>
      </c>
      <c r="B448" t="s">
        <v>1279</v>
      </c>
      <c r="C448" t="s">
        <v>1280</v>
      </c>
      <c r="E448">
        <v>263</v>
      </c>
      <c r="F448">
        <v>6051</v>
      </c>
      <c r="G448">
        <v>94</v>
      </c>
      <c r="H448">
        <v>604</v>
      </c>
      <c r="J448" t="s">
        <v>22</v>
      </c>
      <c r="K448" t="b">
        <v>1</v>
      </c>
      <c r="L448">
        <f t="shared" si="6"/>
        <v>357</v>
      </c>
      <c r="M448">
        <f t="shared" si="6"/>
        <v>6655</v>
      </c>
      <c r="N448" t="b">
        <v>0</v>
      </c>
      <c r="O448">
        <v>1</v>
      </c>
      <c r="P448" t="s">
        <v>1281</v>
      </c>
      <c r="Q448">
        <v>2</v>
      </c>
      <c r="R448" t="b">
        <v>1</v>
      </c>
    </row>
    <row r="449" spans="1:18">
      <c r="A449" t="s">
        <v>1191</v>
      </c>
      <c r="B449" t="s">
        <v>1282</v>
      </c>
      <c r="C449" t="s">
        <v>1283</v>
      </c>
      <c r="E449">
        <v>236</v>
      </c>
      <c r="F449">
        <v>2269</v>
      </c>
      <c r="G449">
        <v>120</v>
      </c>
      <c r="H449">
        <v>645</v>
      </c>
      <c r="J449" t="s">
        <v>22</v>
      </c>
      <c r="K449" t="b">
        <v>1</v>
      </c>
      <c r="L449">
        <f t="shared" si="6"/>
        <v>356</v>
      </c>
      <c r="M449">
        <f t="shared" si="6"/>
        <v>2914</v>
      </c>
      <c r="N449" t="b">
        <v>0</v>
      </c>
      <c r="O449">
        <v>1</v>
      </c>
      <c r="P449" t="s">
        <v>1284</v>
      </c>
      <c r="Q449">
        <v>2</v>
      </c>
      <c r="R449" t="b">
        <v>1</v>
      </c>
    </row>
    <row r="450" spans="1:18">
      <c r="A450" t="s">
        <v>1167</v>
      </c>
      <c r="B450" t="s">
        <v>1285</v>
      </c>
      <c r="C450" t="s">
        <v>1286</v>
      </c>
      <c r="E450">
        <v>269</v>
      </c>
      <c r="F450">
        <v>5772</v>
      </c>
      <c r="G450">
        <v>86</v>
      </c>
      <c r="H450">
        <v>575</v>
      </c>
      <c r="J450" t="s">
        <v>22</v>
      </c>
      <c r="K450" t="b">
        <v>1</v>
      </c>
      <c r="L450">
        <f t="shared" si="6"/>
        <v>355</v>
      </c>
      <c r="M450">
        <f t="shared" si="6"/>
        <v>6347</v>
      </c>
      <c r="N450" t="b">
        <v>0</v>
      </c>
      <c r="O450">
        <v>1</v>
      </c>
      <c r="P450" t="s">
        <v>1287</v>
      </c>
      <c r="Q450">
        <v>2</v>
      </c>
      <c r="R450" t="b">
        <v>1</v>
      </c>
    </row>
    <row r="451" spans="1:18">
      <c r="A451" t="s">
        <v>24</v>
      </c>
      <c r="B451" t="s">
        <v>1288</v>
      </c>
      <c r="C451" t="s">
        <v>1289</v>
      </c>
      <c r="E451">
        <v>288</v>
      </c>
      <c r="F451">
        <v>5792</v>
      </c>
      <c r="G451">
        <v>65</v>
      </c>
      <c r="H451">
        <v>1723</v>
      </c>
      <c r="J451" t="s">
        <v>22</v>
      </c>
      <c r="K451" t="b">
        <v>1</v>
      </c>
      <c r="L451">
        <f t="shared" ref="L451:M514" si="7">E451+G451</f>
        <v>353</v>
      </c>
      <c r="M451">
        <f t="shared" si="7"/>
        <v>7515</v>
      </c>
      <c r="N451" t="b">
        <v>0</v>
      </c>
      <c r="O451">
        <v>1</v>
      </c>
      <c r="P451" t="s">
        <v>1290</v>
      </c>
      <c r="Q451">
        <v>2</v>
      </c>
      <c r="R451" t="b">
        <v>1</v>
      </c>
    </row>
    <row r="452" spans="1:18">
      <c r="A452" t="s">
        <v>205</v>
      </c>
      <c r="B452" t="s">
        <v>1291</v>
      </c>
      <c r="C452" t="s">
        <v>1292</v>
      </c>
      <c r="E452">
        <v>234</v>
      </c>
      <c r="F452">
        <v>621</v>
      </c>
      <c r="G452">
        <v>117</v>
      </c>
      <c r="H452">
        <v>309</v>
      </c>
      <c r="J452" t="s">
        <v>22</v>
      </c>
      <c r="K452" t="b">
        <v>1</v>
      </c>
      <c r="L452">
        <f t="shared" si="7"/>
        <v>351</v>
      </c>
      <c r="M452">
        <f t="shared" si="7"/>
        <v>930</v>
      </c>
      <c r="N452" t="b">
        <v>0</v>
      </c>
      <c r="O452">
        <v>1</v>
      </c>
      <c r="P452" t="s">
        <v>368</v>
      </c>
      <c r="Q452">
        <v>2</v>
      </c>
      <c r="R452" t="b">
        <v>1</v>
      </c>
    </row>
    <row r="453" spans="1:18" hidden="1">
      <c r="A453" t="s">
        <v>1293</v>
      </c>
      <c r="B453" t="s">
        <v>1294</v>
      </c>
      <c r="C453" t="s">
        <v>1295</v>
      </c>
      <c r="E453">
        <v>235</v>
      </c>
      <c r="F453">
        <v>3053</v>
      </c>
      <c r="G453">
        <v>114</v>
      </c>
      <c r="H453">
        <v>559</v>
      </c>
      <c r="J453" t="s">
        <v>93</v>
      </c>
      <c r="K453" t="b">
        <v>0</v>
      </c>
      <c r="L453">
        <f t="shared" si="7"/>
        <v>349</v>
      </c>
      <c r="M453">
        <f t="shared" si="7"/>
        <v>3612</v>
      </c>
      <c r="N453" t="b">
        <v>0</v>
      </c>
      <c r="O453">
        <v>0</v>
      </c>
      <c r="Q453">
        <v>0</v>
      </c>
      <c r="R453" t="b">
        <v>0</v>
      </c>
    </row>
    <row r="454" spans="1:18" hidden="1">
      <c r="A454" t="s">
        <v>248</v>
      </c>
      <c r="B454" t="s">
        <v>1296</v>
      </c>
      <c r="C454" s="2" t="s">
        <v>1297</v>
      </c>
      <c r="D454" t="s">
        <v>93</v>
      </c>
      <c r="E454">
        <v>200</v>
      </c>
      <c r="F454">
        <v>1415</v>
      </c>
      <c r="G454">
        <v>149</v>
      </c>
      <c r="H454">
        <v>1411</v>
      </c>
      <c r="J454" t="s">
        <v>93</v>
      </c>
      <c r="K454" t="b">
        <v>1</v>
      </c>
      <c r="L454">
        <f t="shared" si="7"/>
        <v>349</v>
      </c>
      <c r="M454">
        <f t="shared" si="7"/>
        <v>2826</v>
      </c>
      <c r="N454" t="b">
        <v>0</v>
      </c>
      <c r="O454">
        <v>0</v>
      </c>
      <c r="Q454">
        <v>0</v>
      </c>
      <c r="R454" t="b">
        <v>0</v>
      </c>
    </row>
    <row r="455" spans="1:18" hidden="1">
      <c r="A455" t="s">
        <v>248</v>
      </c>
      <c r="B455" t="s">
        <v>1298</v>
      </c>
      <c r="C455" s="2" t="s">
        <v>1299</v>
      </c>
      <c r="D455" t="s">
        <v>93</v>
      </c>
      <c r="E455">
        <v>222</v>
      </c>
      <c r="F455">
        <v>1891</v>
      </c>
      <c r="G455">
        <v>125</v>
      </c>
      <c r="H455">
        <v>2998</v>
      </c>
      <c r="J455" t="s">
        <v>93</v>
      </c>
      <c r="K455" t="b">
        <v>1</v>
      </c>
      <c r="L455">
        <f t="shared" si="7"/>
        <v>347</v>
      </c>
      <c r="M455">
        <f t="shared" si="7"/>
        <v>4889</v>
      </c>
      <c r="N455" t="b">
        <v>0</v>
      </c>
      <c r="O455">
        <v>0</v>
      </c>
      <c r="Q455">
        <v>0</v>
      </c>
      <c r="R455" t="b">
        <v>0</v>
      </c>
    </row>
    <row r="456" spans="1:18" hidden="1">
      <c r="A456" t="s">
        <v>706</v>
      </c>
      <c r="B456" t="s">
        <v>1300</v>
      </c>
      <c r="C456" t="s">
        <v>1301</v>
      </c>
      <c r="E456">
        <v>215</v>
      </c>
      <c r="F456">
        <v>386</v>
      </c>
      <c r="G456">
        <v>131</v>
      </c>
      <c r="H456">
        <v>255</v>
      </c>
      <c r="J456" t="s">
        <v>93</v>
      </c>
      <c r="K456" t="b">
        <v>0</v>
      </c>
      <c r="L456">
        <f t="shared" si="7"/>
        <v>346</v>
      </c>
      <c r="M456">
        <f t="shared" si="7"/>
        <v>641</v>
      </c>
      <c r="N456" t="b">
        <v>0</v>
      </c>
      <c r="O456">
        <v>0</v>
      </c>
      <c r="Q456">
        <v>0</v>
      </c>
      <c r="R456" t="b">
        <v>0</v>
      </c>
    </row>
    <row r="457" spans="1:18" hidden="1">
      <c r="A457" t="s">
        <v>706</v>
      </c>
      <c r="B457" t="s">
        <v>1302</v>
      </c>
      <c r="C457" t="s">
        <v>1303</v>
      </c>
      <c r="E457">
        <v>215</v>
      </c>
      <c r="F457">
        <v>386</v>
      </c>
      <c r="G457">
        <v>131</v>
      </c>
      <c r="H457">
        <v>255</v>
      </c>
      <c r="J457" t="s">
        <v>93</v>
      </c>
      <c r="K457" t="b">
        <v>0</v>
      </c>
      <c r="L457">
        <f t="shared" si="7"/>
        <v>346</v>
      </c>
      <c r="M457">
        <f t="shared" si="7"/>
        <v>641</v>
      </c>
      <c r="N457" t="b">
        <v>0</v>
      </c>
      <c r="O457">
        <v>0</v>
      </c>
      <c r="Q457">
        <v>0</v>
      </c>
      <c r="R457" t="b">
        <v>0</v>
      </c>
    </row>
    <row r="458" spans="1:18" hidden="1">
      <c r="A458" t="s">
        <v>1304</v>
      </c>
      <c r="B458" t="s">
        <v>1305</v>
      </c>
      <c r="C458" s="9" t="s">
        <v>1306</v>
      </c>
      <c r="D458" t="s">
        <v>93</v>
      </c>
      <c r="E458">
        <v>236</v>
      </c>
      <c r="F458">
        <v>2929</v>
      </c>
      <c r="G458">
        <v>109</v>
      </c>
      <c r="H458">
        <v>653</v>
      </c>
      <c r="I458" t="s">
        <v>603</v>
      </c>
      <c r="J458" t="s">
        <v>93</v>
      </c>
      <c r="K458" t="b">
        <v>0</v>
      </c>
      <c r="L458">
        <f t="shared" si="7"/>
        <v>345</v>
      </c>
      <c r="M458">
        <f t="shared" si="7"/>
        <v>3582</v>
      </c>
      <c r="N458" t="b">
        <v>0</v>
      </c>
      <c r="O458">
        <v>0</v>
      </c>
      <c r="Q458">
        <v>0</v>
      </c>
      <c r="R458" t="b">
        <v>0</v>
      </c>
    </row>
    <row r="459" spans="1:18" hidden="1">
      <c r="A459" t="s">
        <v>1269</v>
      </c>
      <c r="B459" t="s">
        <v>1307</v>
      </c>
      <c r="C459" t="s">
        <v>1308</v>
      </c>
      <c r="D459" t="s">
        <v>435</v>
      </c>
      <c r="E459">
        <v>223</v>
      </c>
      <c r="F459">
        <v>3764</v>
      </c>
      <c r="G459">
        <v>120</v>
      </c>
      <c r="H459">
        <v>1008</v>
      </c>
      <c r="J459" t="s">
        <v>93</v>
      </c>
      <c r="K459" t="b">
        <v>0</v>
      </c>
      <c r="L459">
        <f t="shared" si="7"/>
        <v>343</v>
      </c>
      <c r="M459">
        <f t="shared" si="7"/>
        <v>4772</v>
      </c>
      <c r="N459" t="b">
        <v>0</v>
      </c>
      <c r="O459">
        <v>0</v>
      </c>
      <c r="Q459">
        <v>0</v>
      </c>
      <c r="R459" t="b">
        <v>0</v>
      </c>
    </row>
    <row r="460" spans="1:18">
      <c r="A460" t="s">
        <v>573</v>
      </c>
      <c r="B460" t="s">
        <v>1309</v>
      </c>
      <c r="C460" t="s">
        <v>1310</v>
      </c>
      <c r="E460">
        <v>250</v>
      </c>
      <c r="F460">
        <v>2534</v>
      </c>
      <c r="G460">
        <v>90</v>
      </c>
      <c r="H460">
        <v>1110</v>
      </c>
      <c r="J460" t="s">
        <v>22</v>
      </c>
      <c r="K460" t="b">
        <v>1</v>
      </c>
      <c r="L460">
        <f t="shared" si="7"/>
        <v>340</v>
      </c>
      <c r="M460">
        <f t="shared" si="7"/>
        <v>3644</v>
      </c>
      <c r="N460" t="b">
        <v>0</v>
      </c>
      <c r="O460">
        <v>1</v>
      </c>
      <c r="P460" t="s">
        <v>1311</v>
      </c>
      <c r="Q460">
        <v>2</v>
      </c>
      <c r="R460" t="b">
        <v>1</v>
      </c>
    </row>
    <row r="461" spans="1:18">
      <c r="A461" t="s">
        <v>24</v>
      </c>
      <c r="B461" t="s">
        <v>1312</v>
      </c>
      <c r="C461" t="s">
        <v>1313</v>
      </c>
      <c r="E461">
        <v>250</v>
      </c>
      <c r="F461">
        <v>2534</v>
      </c>
      <c r="G461">
        <v>89</v>
      </c>
      <c r="H461">
        <v>1109</v>
      </c>
      <c r="J461" t="s">
        <v>22</v>
      </c>
      <c r="K461" t="b">
        <v>1</v>
      </c>
      <c r="L461">
        <f t="shared" si="7"/>
        <v>339</v>
      </c>
      <c r="M461">
        <f t="shared" si="7"/>
        <v>3643</v>
      </c>
      <c r="N461" t="b">
        <v>0</v>
      </c>
      <c r="O461">
        <v>1</v>
      </c>
      <c r="P461" t="s">
        <v>1314</v>
      </c>
      <c r="Q461">
        <v>2</v>
      </c>
      <c r="R461" t="b">
        <v>1</v>
      </c>
    </row>
    <row r="462" spans="1:18">
      <c r="A462" t="s">
        <v>24</v>
      </c>
      <c r="B462" t="s">
        <v>1315</v>
      </c>
      <c r="C462" t="s">
        <v>1316</v>
      </c>
      <c r="E462">
        <v>265</v>
      </c>
      <c r="F462">
        <v>5569</v>
      </c>
      <c r="G462">
        <v>71</v>
      </c>
      <c r="H462">
        <v>1092</v>
      </c>
      <c r="J462" t="s">
        <v>22</v>
      </c>
      <c r="K462" t="b">
        <v>1</v>
      </c>
      <c r="L462">
        <f t="shared" si="7"/>
        <v>336</v>
      </c>
      <c r="M462">
        <f t="shared" si="7"/>
        <v>6661</v>
      </c>
      <c r="N462" t="b">
        <v>0</v>
      </c>
      <c r="O462">
        <v>1</v>
      </c>
      <c r="P462" t="s">
        <v>1317</v>
      </c>
      <c r="Q462">
        <v>2</v>
      </c>
      <c r="R462" t="b">
        <v>1</v>
      </c>
    </row>
    <row r="463" spans="1:18" hidden="1">
      <c r="A463" t="s">
        <v>1139</v>
      </c>
      <c r="B463" t="s">
        <v>1318</v>
      </c>
      <c r="C463" s="5" t="s">
        <v>1319</v>
      </c>
      <c r="E463">
        <v>197</v>
      </c>
      <c r="F463">
        <v>4155</v>
      </c>
      <c r="G463">
        <v>138</v>
      </c>
      <c r="H463">
        <v>1407</v>
      </c>
      <c r="J463" t="s">
        <v>93</v>
      </c>
      <c r="K463" t="b">
        <v>0</v>
      </c>
      <c r="L463">
        <f t="shared" si="7"/>
        <v>335</v>
      </c>
      <c r="M463">
        <f t="shared" si="7"/>
        <v>5562</v>
      </c>
      <c r="N463" t="b">
        <v>0</v>
      </c>
      <c r="O463">
        <v>0</v>
      </c>
      <c r="Q463">
        <v>0</v>
      </c>
      <c r="R463" t="b">
        <v>0</v>
      </c>
    </row>
    <row r="464" spans="1:18">
      <c r="A464" t="s">
        <v>24</v>
      </c>
      <c r="B464" t="s">
        <v>1320</v>
      </c>
      <c r="C464" t="s">
        <v>1321</v>
      </c>
      <c r="E464">
        <v>250</v>
      </c>
      <c r="F464">
        <v>4364</v>
      </c>
      <c r="G464">
        <v>81</v>
      </c>
      <c r="H464">
        <v>1037</v>
      </c>
      <c r="J464" t="s">
        <v>22</v>
      </c>
      <c r="K464" t="b">
        <v>1</v>
      </c>
      <c r="L464">
        <f t="shared" si="7"/>
        <v>331</v>
      </c>
      <c r="M464">
        <f t="shared" si="7"/>
        <v>5401</v>
      </c>
      <c r="N464" t="b">
        <v>0</v>
      </c>
      <c r="O464">
        <v>1</v>
      </c>
      <c r="P464" t="s">
        <v>1322</v>
      </c>
      <c r="Q464">
        <v>2</v>
      </c>
      <c r="R464" t="b">
        <v>1</v>
      </c>
    </row>
    <row r="465" spans="1:18">
      <c r="A465" t="s">
        <v>1191</v>
      </c>
      <c r="B465" t="s">
        <v>1323</v>
      </c>
      <c r="C465" t="s">
        <v>1324</v>
      </c>
      <c r="E465">
        <v>226</v>
      </c>
      <c r="F465">
        <v>2031</v>
      </c>
      <c r="G465">
        <v>104</v>
      </c>
      <c r="H465">
        <v>593</v>
      </c>
      <c r="J465" t="s">
        <v>22</v>
      </c>
      <c r="K465" t="b">
        <v>1</v>
      </c>
      <c r="L465">
        <f t="shared" si="7"/>
        <v>330</v>
      </c>
      <c r="M465">
        <f t="shared" si="7"/>
        <v>2624</v>
      </c>
      <c r="N465" t="b">
        <v>0</v>
      </c>
      <c r="O465">
        <v>1</v>
      </c>
      <c r="P465" t="s">
        <v>1325</v>
      </c>
      <c r="Q465">
        <v>2</v>
      </c>
      <c r="R465" t="b">
        <v>1</v>
      </c>
    </row>
    <row r="466" spans="1:18">
      <c r="A466" t="s">
        <v>24</v>
      </c>
      <c r="B466" t="s">
        <v>1326</v>
      </c>
      <c r="C466" t="s">
        <v>1327</v>
      </c>
      <c r="E466">
        <v>197</v>
      </c>
      <c r="F466">
        <v>4155</v>
      </c>
      <c r="G466">
        <v>132</v>
      </c>
      <c r="H466">
        <v>1400</v>
      </c>
      <c r="J466" t="s">
        <v>22</v>
      </c>
      <c r="K466" t="b">
        <v>1</v>
      </c>
      <c r="L466">
        <f t="shared" si="7"/>
        <v>329</v>
      </c>
      <c r="M466">
        <f t="shared" si="7"/>
        <v>5555</v>
      </c>
      <c r="N466" t="b">
        <v>0</v>
      </c>
      <c r="O466">
        <v>1</v>
      </c>
      <c r="P466" t="s">
        <v>1328</v>
      </c>
      <c r="Q466">
        <v>2</v>
      </c>
      <c r="R466" t="b">
        <v>1</v>
      </c>
    </row>
    <row r="467" spans="1:18">
      <c r="A467" t="s">
        <v>205</v>
      </c>
      <c r="B467" t="s">
        <v>1329</v>
      </c>
      <c r="C467" t="s">
        <v>1330</v>
      </c>
      <c r="E467">
        <v>217</v>
      </c>
      <c r="F467">
        <v>844</v>
      </c>
      <c r="G467">
        <v>111</v>
      </c>
      <c r="H467">
        <v>321</v>
      </c>
      <c r="J467" t="s">
        <v>22</v>
      </c>
      <c r="K467" t="b">
        <v>1</v>
      </c>
      <c r="L467">
        <f t="shared" si="7"/>
        <v>328</v>
      </c>
      <c r="M467">
        <f t="shared" si="7"/>
        <v>1165</v>
      </c>
      <c r="N467" t="b">
        <v>0</v>
      </c>
      <c r="O467">
        <v>1</v>
      </c>
      <c r="P467" t="s">
        <v>732</v>
      </c>
      <c r="Q467">
        <v>2</v>
      </c>
      <c r="R467" t="b">
        <v>1</v>
      </c>
    </row>
    <row r="468" spans="1:18">
      <c r="A468" t="s">
        <v>248</v>
      </c>
      <c r="B468" t="s">
        <v>1331</v>
      </c>
      <c r="C468" t="s">
        <v>1332</v>
      </c>
      <c r="E468">
        <v>225</v>
      </c>
      <c r="F468">
        <v>4071</v>
      </c>
      <c r="G468">
        <v>103</v>
      </c>
      <c r="H468">
        <v>2015</v>
      </c>
      <c r="J468" t="s">
        <v>22</v>
      </c>
      <c r="K468" t="b">
        <v>1</v>
      </c>
      <c r="L468">
        <f t="shared" si="7"/>
        <v>328</v>
      </c>
      <c r="M468">
        <f t="shared" si="7"/>
        <v>6086</v>
      </c>
      <c r="N468" t="b">
        <v>0</v>
      </c>
      <c r="O468">
        <v>1</v>
      </c>
      <c r="P468" t="s">
        <v>1333</v>
      </c>
      <c r="Q468">
        <v>2</v>
      </c>
      <c r="R468" t="b">
        <v>1</v>
      </c>
    </row>
    <row r="469" spans="1:18">
      <c r="A469" t="s">
        <v>1334</v>
      </c>
      <c r="B469" t="s">
        <v>1335</v>
      </c>
      <c r="C469" t="s">
        <v>1336</v>
      </c>
      <c r="E469">
        <v>223</v>
      </c>
      <c r="F469">
        <v>1332</v>
      </c>
      <c r="G469">
        <v>103</v>
      </c>
      <c r="H469">
        <v>493</v>
      </c>
      <c r="J469" t="s">
        <v>22</v>
      </c>
      <c r="K469" t="b">
        <v>1</v>
      </c>
      <c r="L469">
        <f t="shared" si="7"/>
        <v>326</v>
      </c>
      <c r="M469">
        <f t="shared" si="7"/>
        <v>1825</v>
      </c>
      <c r="N469" t="b">
        <v>0</v>
      </c>
      <c r="O469">
        <v>1</v>
      </c>
      <c r="P469" t="s">
        <v>33</v>
      </c>
      <c r="Q469">
        <v>2</v>
      </c>
      <c r="R469" t="b">
        <v>1</v>
      </c>
    </row>
    <row r="470" spans="1:18">
      <c r="A470" t="s">
        <v>1334</v>
      </c>
      <c r="B470" t="s">
        <v>1337</v>
      </c>
      <c r="C470" t="s">
        <v>1338</v>
      </c>
      <c r="E470">
        <v>223</v>
      </c>
      <c r="F470">
        <v>1332</v>
      </c>
      <c r="G470">
        <v>103</v>
      </c>
      <c r="H470">
        <v>493</v>
      </c>
      <c r="J470" t="s">
        <v>22</v>
      </c>
      <c r="K470" t="b">
        <v>1</v>
      </c>
      <c r="L470">
        <f t="shared" si="7"/>
        <v>326</v>
      </c>
      <c r="M470">
        <f t="shared" si="7"/>
        <v>1825</v>
      </c>
      <c r="N470" t="b">
        <v>0</v>
      </c>
      <c r="O470">
        <v>0</v>
      </c>
      <c r="Q470">
        <v>0</v>
      </c>
      <c r="R470" t="b">
        <v>0</v>
      </c>
    </row>
    <row r="471" spans="1:18">
      <c r="A471" t="s">
        <v>1334</v>
      </c>
      <c r="B471" t="s">
        <v>1339</v>
      </c>
      <c r="C471" t="s">
        <v>1340</v>
      </c>
      <c r="E471">
        <v>223</v>
      </c>
      <c r="F471">
        <v>1332</v>
      </c>
      <c r="G471">
        <v>103</v>
      </c>
      <c r="H471">
        <v>493</v>
      </c>
      <c r="J471" t="s">
        <v>22</v>
      </c>
      <c r="K471" t="b">
        <v>1</v>
      </c>
      <c r="L471">
        <f t="shared" si="7"/>
        <v>326</v>
      </c>
      <c r="M471">
        <f t="shared" si="7"/>
        <v>1825</v>
      </c>
      <c r="N471" t="b">
        <v>0</v>
      </c>
      <c r="O471">
        <v>0</v>
      </c>
      <c r="Q471">
        <v>0</v>
      </c>
      <c r="R471" t="b">
        <v>0</v>
      </c>
    </row>
    <row r="472" spans="1:18">
      <c r="A472" t="s">
        <v>1334</v>
      </c>
      <c r="B472" t="s">
        <v>1341</v>
      </c>
      <c r="C472" t="s">
        <v>1342</v>
      </c>
      <c r="E472">
        <v>223</v>
      </c>
      <c r="F472">
        <v>1332</v>
      </c>
      <c r="G472">
        <v>103</v>
      </c>
      <c r="H472">
        <v>493</v>
      </c>
      <c r="J472" t="s">
        <v>22</v>
      </c>
      <c r="K472" t="b">
        <v>1</v>
      </c>
      <c r="L472">
        <f t="shared" si="7"/>
        <v>326</v>
      </c>
      <c r="M472">
        <f t="shared" si="7"/>
        <v>1825</v>
      </c>
      <c r="N472" t="b">
        <v>0</v>
      </c>
      <c r="O472">
        <v>1</v>
      </c>
      <c r="P472" t="s">
        <v>1343</v>
      </c>
      <c r="Q472">
        <v>1</v>
      </c>
      <c r="R472" t="b">
        <v>1</v>
      </c>
    </row>
    <row r="473" spans="1:18">
      <c r="A473" t="s">
        <v>87</v>
      </c>
      <c r="B473" t="s">
        <v>1344</v>
      </c>
      <c r="C473" t="s">
        <v>1345</v>
      </c>
      <c r="E473">
        <v>201</v>
      </c>
      <c r="F473">
        <v>2615</v>
      </c>
      <c r="G473">
        <v>122</v>
      </c>
      <c r="H473">
        <v>1404</v>
      </c>
      <c r="J473" t="s">
        <v>22</v>
      </c>
      <c r="K473" t="b">
        <v>1</v>
      </c>
      <c r="L473">
        <f t="shared" si="7"/>
        <v>323</v>
      </c>
      <c r="M473">
        <f t="shared" si="7"/>
        <v>4019</v>
      </c>
      <c r="N473" t="b">
        <v>0</v>
      </c>
      <c r="O473">
        <v>1</v>
      </c>
      <c r="P473" t="s">
        <v>1346</v>
      </c>
      <c r="Q473">
        <v>2</v>
      </c>
      <c r="R473" t="b">
        <v>1</v>
      </c>
    </row>
    <row r="474" spans="1:18" hidden="1">
      <c r="A474" t="s">
        <v>192</v>
      </c>
      <c r="B474" t="s">
        <v>1347</v>
      </c>
      <c r="C474" t="s">
        <v>1348</v>
      </c>
      <c r="D474" t="s">
        <v>519</v>
      </c>
      <c r="E474">
        <v>198</v>
      </c>
      <c r="F474">
        <v>2096</v>
      </c>
      <c r="G474">
        <v>123</v>
      </c>
      <c r="H474">
        <v>1229</v>
      </c>
      <c r="I474" t="s">
        <v>1349</v>
      </c>
      <c r="J474" t="s">
        <v>93</v>
      </c>
      <c r="K474" t="b">
        <v>1</v>
      </c>
      <c r="L474">
        <f t="shared" si="7"/>
        <v>321</v>
      </c>
      <c r="M474">
        <f t="shared" si="7"/>
        <v>3325</v>
      </c>
      <c r="N474" t="b">
        <v>0</v>
      </c>
      <c r="O474">
        <v>0.5</v>
      </c>
      <c r="P474" t="s">
        <v>1350</v>
      </c>
      <c r="Q474">
        <v>12</v>
      </c>
      <c r="R474" t="b">
        <v>1</v>
      </c>
    </row>
    <row r="475" spans="1:18">
      <c r="A475" t="s">
        <v>573</v>
      </c>
      <c r="B475" t="s">
        <v>1351</v>
      </c>
      <c r="C475" t="s">
        <v>1352</v>
      </c>
      <c r="E475">
        <v>215</v>
      </c>
      <c r="F475">
        <v>5031</v>
      </c>
      <c r="G475">
        <v>100</v>
      </c>
      <c r="H475">
        <v>709</v>
      </c>
      <c r="J475" t="s">
        <v>22</v>
      </c>
      <c r="K475" t="b">
        <v>1</v>
      </c>
      <c r="L475">
        <f t="shared" si="7"/>
        <v>315</v>
      </c>
      <c r="M475">
        <f t="shared" si="7"/>
        <v>5740</v>
      </c>
      <c r="N475" t="b">
        <v>0</v>
      </c>
      <c r="O475">
        <v>1</v>
      </c>
      <c r="P475" t="s">
        <v>1353</v>
      </c>
      <c r="Q475">
        <v>2</v>
      </c>
      <c r="R475" t="b">
        <v>1</v>
      </c>
    </row>
    <row r="476" spans="1:18">
      <c r="A476" t="s">
        <v>139</v>
      </c>
      <c r="B476" t="s">
        <v>1354</v>
      </c>
      <c r="C476" t="s">
        <v>1355</v>
      </c>
      <c r="E476">
        <v>315</v>
      </c>
      <c r="F476">
        <v>0</v>
      </c>
      <c r="G476">
        <v>0</v>
      </c>
      <c r="H476">
        <v>0</v>
      </c>
      <c r="J476" t="s">
        <v>22</v>
      </c>
      <c r="K476" t="b">
        <v>1</v>
      </c>
      <c r="L476">
        <f t="shared" si="7"/>
        <v>315</v>
      </c>
      <c r="M476">
        <f t="shared" si="7"/>
        <v>0</v>
      </c>
      <c r="N476" t="b">
        <v>0</v>
      </c>
      <c r="O476">
        <v>1</v>
      </c>
      <c r="P476" t="s">
        <v>1356</v>
      </c>
      <c r="Q476">
        <v>2</v>
      </c>
      <c r="R476" t="b">
        <v>1</v>
      </c>
    </row>
    <row r="477" spans="1:18">
      <c r="A477" t="s">
        <v>24</v>
      </c>
      <c r="B477" t="s">
        <v>1357</v>
      </c>
      <c r="C477" t="s">
        <v>1358</v>
      </c>
      <c r="E477">
        <v>205</v>
      </c>
      <c r="F477">
        <v>1867</v>
      </c>
      <c r="G477">
        <v>109</v>
      </c>
      <c r="H477">
        <v>2159</v>
      </c>
      <c r="J477" t="s">
        <v>22</v>
      </c>
      <c r="K477" t="b">
        <v>1</v>
      </c>
      <c r="L477">
        <f t="shared" si="7"/>
        <v>314</v>
      </c>
      <c r="M477">
        <f t="shared" si="7"/>
        <v>4026</v>
      </c>
      <c r="N477" t="b">
        <v>0</v>
      </c>
      <c r="O477">
        <v>1</v>
      </c>
      <c r="P477" t="s">
        <v>1359</v>
      </c>
      <c r="Q477">
        <v>2</v>
      </c>
      <c r="R477" t="b">
        <v>1</v>
      </c>
    </row>
    <row r="478" spans="1:18">
      <c r="A478" t="s">
        <v>235</v>
      </c>
      <c r="B478" t="s">
        <v>1360</v>
      </c>
      <c r="C478" t="s">
        <v>1361</v>
      </c>
      <c r="E478">
        <v>232</v>
      </c>
      <c r="F478">
        <v>13295</v>
      </c>
      <c r="G478">
        <v>80</v>
      </c>
      <c r="H478">
        <v>1529</v>
      </c>
      <c r="J478" t="s">
        <v>22</v>
      </c>
      <c r="K478" t="b">
        <v>1</v>
      </c>
      <c r="L478">
        <f t="shared" si="7"/>
        <v>312</v>
      </c>
      <c r="M478">
        <f t="shared" si="7"/>
        <v>14824</v>
      </c>
      <c r="N478" t="b">
        <v>0</v>
      </c>
      <c r="O478">
        <v>1</v>
      </c>
      <c r="P478" t="s">
        <v>1362</v>
      </c>
      <c r="Q478">
        <v>2</v>
      </c>
      <c r="R478" t="b">
        <v>1</v>
      </c>
    </row>
    <row r="479" spans="1:18">
      <c r="A479" t="s">
        <v>24</v>
      </c>
      <c r="B479" t="s">
        <v>1363</v>
      </c>
      <c r="C479" t="s">
        <v>1364</v>
      </c>
      <c r="E479">
        <v>214</v>
      </c>
      <c r="F479">
        <v>5030</v>
      </c>
      <c r="G479">
        <v>98</v>
      </c>
      <c r="H479">
        <v>707</v>
      </c>
      <c r="J479" t="s">
        <v>22</v>
      </c>
      <c r="K479" t="b">
        <v>1</v>
      </c>
      <c r="L479">
        <f t="shared" si="7"/>
        <v>312</v>
      </c>
      <c r="M479">
        <f t="shared" si="7"/>
        <v>5737</v>
      </c>
      <c r="N479" t="b">
        <v>0</v>
      </c>
      <c r="O479">
        <v>1</v>
      </c>
      <c r="P479" t="s">
        <v>1365</v>
      </c>
      <c r="Q479">
        <v>2</v>
      </c>
      <c r="R479" t="b">
        <v>1</v>
      </c>
    </row>
    <row r="480" spans="1:18">
      <c r="A480" t="s">
        <v>1334</v>
      </c>
      <c r="B480" t="s">
        <v>1366</v>
      </c>
      <c r="C480" t="s">
        <v>1367</v>
      </c>
      <c r="E480">
        <v>215</v>
      </c>
      <c r="F480">
        <v>1281</v>
      </c>
      <c r="G480">
        <v>96</v>
      </c>
      <c r="H480">
        <v>477</v>
      </c>
      <c r="J480" t="s">
        <v>22</v>
      </c>
      <c r="K480" t="b">
        <v>1</v>
      </c>
      <c r="L480">
        <f t="shared" si="7"/>
        <v>311</v>
      </c>
      <c r="M480">
        <f t="shared" si="7"/>
        <v>1758</v>
      </c>
      <c r="N480" t="b">
        <v>0</v>
      </c>
      <c r="O480">
        <v>1</v>
      </c>
      <c r="P480" t="s">
        <v>1368</v>
      </c>
      <c r="Q480">
        <v>1</v>
      </c>
      <c r="R480" t="b">
        <v>1</v>
      </c>
    </row>
    <row r="481" spans="1:18">
      <c r="A481" t="s">
        <v>192</v>
      </c>
      <c r="B481" t="s">
        <v>1369</v>
      </c>
      <c r="C481" t="s">
        <v>1370</v>
      </c>
      <c r="E481">
        <v>235</v>
      </c>
      <c r="F481">
        <v>492</v>
      </c>
      <c r="G481">
        <v>75</v>
      </c>
      <c r="H481">
        <v>1334</v>
      </c>
      <c r="J481" t="s">
        <v>22</v>
      </c>
      <c r="K481" t="b">
        <v>1</v>
      </c>
      <c r="L481">
        <f t="shared" si="7"/>
        <v>310</v>
      </c>
      <c r="M481">
        <f t="shared" si="7"/>
        <v>1826</v>
      </c>
      <c r="N481" t="b">
        <v>0</v>
      </c>
      <c r="O481">
        <v>1</v>
      </c>
      <c r="P481" t="s">
        <v>1371</v>
      </c>
      <c r="Q481">
        <v>2</v>
      </c>
      <c r="R481" t="b">
        <v>1</v>
      </c>
    </row>
    <row r="482" spans="1:18" hidden="1">
      <c r="A482" t="s">
        <v>1293</v>
      </c>
      <c r="B482" t="s">
        <v>1372</v>
      </c>
      <c r="C482" t="s">
        <v>1373</v>
      </c>
      <c r="D482" t="s">
        <v>519</v>
      </c>
      <c r="E482">
        <v>208</v>
      </c>
      <c r="F482">
        <v>2908</v>
      </c>
      <c r="G482">
        <v>101</v>
      </c>
      <c r="H482">
        <v>523</v>
      </c>
      <c r="I482" t="s">
        <v>1374</v>
      </c>
      <c r="J482" t="s">
        <v>93</v>
      </c>
      <c r="K482" t="b">
        <v>0</v>
      </c>
      <c r="L482">
        <f t="shared" si="7"/>
        <v>309</v>
      </c>
      <c r="M482">
        <f t="shared" si="7"/>
        <v>3431</v>
      </c>
      <c r="N482" t="b">
        <v>0</v>
      </c>
      <c r="O482">
        <v>0</v>
      </c>
      <c r="Q482">
        <v>0</v>
      </c>
      <c r="R482" t="b">
        <v>0</v>
      </c>
    </row>
    <row r="483" spans="1:18">
      <c r="A483" t="s">
        <v>1191</v>
      </c>
      <c r="B483" t="s">
        <v>1375</v>
      </c>
      <c r="C483" t="s">
        <v>1376</v>
      </c>
      <c r="E483">
        <v>211</v>
      </c>
      <c r="F483">
        <v>2117</v>
      </c>
      <c r="G483">
        <v>95</v>
      </c>
      <c r="H483">
        <v>562</v>
      </c>
      <c r="J483" t="s">
        <v>22</v>
      </c>
      <c r="K483" t="b">
        <v>1</v>
      </c>
      <c r="L483">
        <f t="shared" si="7"/>
        <v>306</v>
      </c>
      <c r="M483">
        <f t="shared" si="7"/>
        <v>2679</v>
      </c>
      <c r="N483" t="b">
        <v>0</v>
      </c>
      <c r="O483">
        <v>1</v>
      </c>
      <c r="P483" t="s">
        <v>1377</v>
      </c>
      <c r="Q483">
        <v>2</v>
      </c>
      <c r="R483" t="b">
        <v>1</v>
      </c>
    </row>
    <row r="484" spans="1:18" hidden="1">
      <c r="A484" t="s">
        <v>1207</v>
      </c>
      <c r="B484" t="s">
        <v>1378</v>
      </c>
      <c r="C484" t="s">
        <v>1379</v>
      </c>
      <c r="D484" t="s">
        <v>519</v>
      </c>
      <c r="E484">
        <v>186</v>
      </c>
      <c r="F484">
        <v>1810</v>
      </c>
      <c r="G484">
        <v>119</v>
      </c>
      <c r="H484">
        <v>1138</v>
      </c>
      <c r="I484" t="s">
        <v>1380</v>
      </c>
      <c r="J484" t="s">
        <v>93</v>
      </c>
      <c r="K484" t="b">
        <v>0</v>
      </c>
      <c r="L484">
        <f t="shared" si="7"/>
        <v>305</v>
      </c>
      <c r="M484">
        <f t="shared" si="7"/>
        <v>2948</v>
      </c>
      <c r="N484" t="b">
        <v>0</v>
      </c>
      <c r="O484">
        <v>0</v>
      </c>
      <c r="Q484">
        <v>0</v>
      </c>
      <c r="R484" t="b">
        <v>0</v>
      </c>
    </row>
    <row r="485" spans="1:18">
      <c r="A485" t="s">
        <v>857</v>
      </c>
      <c r="B485" t="s">
        <v>1381</v>
      </c>
      <c r="C485" t="s">
        <v>1382</v>
      </c>
      <c r="E485">
        <v>175</v>
      </c>
      <c r="F485">
        <v>581</v>
      </c>
      <c r="G485">
        <v>129</v>
      </c>
      <c r="H485">
        <v>456</v>
      </c>
      <c r="J485" t="s">
        <v>22</v>
      </c>
      <c r="K485" t="b">
        <v>1</v>
      </c>
      <c r="L485">
        <f t="shared" si="7"/>
        <v>304</v>
      </c>
      <c r="M485">
        <f t="shared" si="7"/>
        <v>1037</v>
      </c>
      <c r="N485" t="b">
        <v>0</v>
      </c>
      <c r="O485">
        <v>1</v>
      </c>
      <c r="P485" t="s">
        <v>1383</v>
      </c>
      <c r="Q485">
        <v>2</v>
      </c>
      <c r="R485" t="b">
        <v>1</v>
      </c>
    </row>
    <row r="486" spans="1:18">
      <c r="A486" t="s">
        <v>1384</v>
      </c>
      <c r="B486" t="s">
        <v>1385</v>
      </c>
      <c r="C486" t="s">
        <v>1386</v>
      </c>
      <c r="E486">
        <v>198</v>
      </c>
      <c r="F486">
        <v>910</v>
      </c>
      <c r="G486">
        <v>103</v>
      </c>
      <c r="H486">
        <v>471</v>
      </c>
      <c r="J486" t="s">
        <v>22</v>
      </c>
      <c r="K486" t="b">
        <v>1</v>
      </c>
      <c r="L486">
        <f t="shared" si="7"/>
        <v>301</v>
      </c>
      <c r="M486">
        <f t="shared" si="7"/>
        <v>1381</v>
      </c>
      <c r="N486" t="b">
        <v>0</v>
      </c>
      <c r="O486">
        <v>1</v>
      </c>
      <c r="P486" t="s">
        <v>1387</v>
      </c>
      <c r="Q486">
        <v>2</v>
      </c>
      <c r="R486" t="b">
        <v>1</v>
      </c>
    </row>
    <row r="487" spans="1:18" hidden="1">
      <c r="A487" t="s">
        <v>361</v>
      </c>
      <c r="B487" t="s">
        <v>1388</v>
      </c>
      <c r="C487" t="s">
        <v>1389</v>
      </c>
      <c r="D487" t="s">
        <v>519</v>
      </c>
      <c r="E487">
        <v>301</v>
      </c>
      <c r="F487">
        <v>6</v>
      </c>
      <c r="G487">
        <v>0</v>
      </c>
      <c r="H487">
        <v>0</v>
      </c>
      <c r="I487" t="s">
        <v>520</v>
      </c>
      <c r="J487" t="s">
        <v>93</v>
      </c>
      <c r="K487" t="b">
        <v>0</v>
      </c>
      <c r="L487">
        <f t="shared" si="7"/>
        <v>301</v>
      </c>
      <c r="M487">
        <f t="shared" si="7"/>
        <v>6</v>
      </c>
      <c r="N487" t="b">
        <v>1</v>
      </c>
      <c r="O487">
        <v>0</v>
      </c>
      <c r="Q487">
        <v>0</v>
      </c>
      <c r="R487" t="b">
        <v>0</v>
      </c>
    </row>
    <row r="488" spans="1:18">
      <c r="A488" t="s">
        <v>24</v>
      </c>
      <c r="B488" t="s">
        <v>1390</v>
      </c>
      <c r="C488" t="s">
        <v>1391</v>
      </c>
      <c r="E488">
        <v>208</v>
      </c>
      <c r="F488">
        <v>1759</v>
      </c>
      <c r="G488">
        <v>92</v>
      </c>
      <c r="H488">
        <v>1686</v>
      </c>
      <c r="J488" t="s">
        <v>22</v>
      </c>
      <c r="K488" t="b">
        <v>1</v>
      </c>
      <c r="L488">
        <f t="shared" si="7"/>
        <v>300</v>
      </c>
      <c r="M488">
        <f t="shared" si="7"/>
        <v>3445</v>
      </c>
      <c r="N488" t="b">
        <v>0</v>
      </c>
      <c r="O488">
        <v>1</v>
      </c>
      <c r="P488" t="s">
        <v>1392</v>
      </c>
      <c r="Q488">
        <v>2</v>
      </c>
      <c r="R488" t="b">
        <v>1</v>
      </c>
    </row>
    <row r="489" spans="1:18">
      <c r="A489" t="s">
        <v>1384</v>
      </c>
      <c r="B489" t="s">
        <v>1393</v>
      </c>
      <c r="C489" t="s">
        <v>1394</v>
      </c>
      <c r="E489">
        <v>198</v>
      </c>
      <c r="F489">
        <v>910</v>
      </c>
      <c r="G489">
        <v>101</v>
      </c>
      <c r="H489">
        <v>465</v>
      </c>
      <c r="J489" t="s">
        <v>22</v>
      </c>
      <c r="K489" t="b">
        <v>1</v>
      </c>
      <c r="L489">
        <f t="shared" si="7"/>
        <v>299</v>
      </c>
      <c r="M489">
        <f t="shared" si="7"/>
        <v>1375</v>
      </c>
      <c r="N489" t="b">
        <v>0</v>
      </c>
      <c r="O489">
        <v>0</v>
      </c>
      <c r="Q489">
        <v>0</v>
      </c>
      <c r="R489" t="b">
        <v>0</v>
      </c>
    </row>
    <row r="490" spans="1:18">
      <c r="A490" t="s">
        <v>1384</v>
      </c>
      <c r="B490" t="s">
        <v>1395</v>
      </c>
      <c r="C490" t="s">
        <v>1396</v>
      </c>
      <c r="E490">
        <v>198</v>
      </c>
      <c r="F490">
        <v>910</v>
      </c>
      <c r="G490">
        <v>101</v>
      </c>
      <c r="H490">
        <v>465</v>
      </c>
      <c r="J490" t="s">
        <v>22</v>
      </c>
      <c r="K490" t="b">
        <v>1</v>
      </c>
      <c r="L490">
        <f t="shared" si="7"/>
        <v>299</v>
      </c>
      <c r="M490">
        <f t="shared" si="7"/>
        <v>1375</v>
      </c>
      <c r="N490" t="b">
        <v>0</v>
      </c>
      <c r="O490">
        <v>0</v>
      </c>
      <c r="Q490">
        <v>0</v>
      </c>
      <c r="R490" t="b">
        <v>0</v>
      </c>
    </row>
    <row r="491" spans="1:18">
      <c r="A491" t="s">
        <v>1384</v>
      </c>
      <c r="B491" t="s">
        <v>1397</v>
      </c>
      <c r="C491" t="s">
        <v>1398</v>
      </c>
      <c r="E491">
        <v>198</v>
      </c>
      <c r="F491">
        <v>910</v>
      </c>
      <c r="G491">
        <v>101</v>
      </c>
      <c r="H491">
        <v>465</v>
      </c>
      <c r="J491" t="s">
        <v>22</v>
      </c>
      <c r="K491" t="b">
        <v>1</v>
      </c>
      <c r="L491">
        <f t="shared" si="7"/>
        <v>299</v>
      </c>
      <c r="M491">
        <f t="shared" si="7"/>
        <v>1375</v>
      </c>
      <c r="N491" t="b">
        <v>0</v>
      </c>
      <c r="O491">
        <v>1</v>
      </c>
      <c r="P491" t="s">
        <v>1399</v>
      </c>
      <c r="Q491">
        <v>2</v>
      </c>
      <c r="R491" t="b">
        <v>1</v>
      </c>
    </row>
    <row r="492" spans="1:18">
      <c r="A492" t="s">
        <v>87</v>
      </c>
      <c r="B492" t="s">
        <v>1400</v>
      </c>
      <c r="C492" t="s">
        <v>1401</v>
      </c>
      <c r="E492">
        <v>0</v>
      </c>
      <c r="F492">
        <v>0</v>
      </c>
      <c r="G492">
        <v>298</v>
      </c>
      <c r="H492">
        <v>5077</v>
      </c>
      <c r="J492" t="s">
        <v>22</v>
      </c>
      <c r="K492" t="b">
        <v>1</v>
      </c>
      <c r="L492">
        <f t="shared" si="7"/>
        <v>298</v>
      </c>
      <c r="M492">
        <f t="shared" si="7"/>
        <v>5077</v>
      </c>
      <c r="N492" t="b">
        <v>0</v>
      </c>
      <c r="O492">
        <v>1</v>
      </c>
      <c r="P492" t="s">
        <v>1402</v>
      </c>
      <c r="Q492">
        <v>2</v>
      </c>
      <c r="R492" t="b">
        <v>1</v>
      </c>
    </row>
    <row r="493" spans="1:18" hidden="1">
      <c r="A493" t="s">
        <v>1182</v>
      </c>
      <c r="B493" t="s">
        <v>1403</v>
      </c>
      <c r="C493" t="s">
        <v>1404</v>
      </c>
      <c r="D493" t="s">
        <v>519</v>
      </c>
      <c r="E493">
        <v>164</v>
      </c>
      <c r="F493">
        <v>2499</v>
      </c>
      <c r="G493">
        <v>133</v>
      </c>
      <c r="H493">
        <v>1130</v>
      </c>
      <c r="I493" t="s">
        <v>1185</v>
      </c>
      <c r="J493" t="s">
        <v>93</v>
      </c>
      <c r="K493" t="b">
        <v>0</v>
      </c>
      <c r="L493">
        <f t="shared" si="7"/>
        <v>297</v>
      </c>
      <c r="M493">
        <f t="shared" si="7"/>
        <v>3629</v>
      </c>
      <c r="N493" t="b">
        <v>0</v>
      </c>
      <c r="O493">
        <v>0</v>
      </c>
      <c r="Q493">
        <v>0</v>
      </c>
      <c r="R493" t="b">
        <v>0</v>
      </c>
    </row>
    <row r="494" spans="1:18">
      <c r="A494" t="s">
        <v>854</v>
      </c>
      <c r="B494" t="s">
        <v>1405</v>
      </c>
      <c r="C494" t="s">
        <v>1406</v>
      </c>
      <c r="E494">
        <v>0</v>
      </c>
      <c r="F494">
        <v>0</v>
      </c>
      <c r="G494">
        <v>295</v>
      </c>
      <c r="H494">
        <v>1427</v>
      </c>
      <c r="J494" t="s">
        <v>22</v>
      </c>
      <c r="K494" t="b">
        <v>1</v>
      </c>
      <c r="L494">
        <f t="shared" si="7"/>
        <v>295</v>
      </c>
      <c r="M494">
        <f t="shared" si="7"/>
        <v>1427</v>
      </c>
      <c r="N494" t="b">
        <v>0</v>
      </c>
      <c r="O494">
        <v>1</v>
      </c>
      <c r="P494" t="s">
        <v>1407</v>
      </c>
      <c r="Q494">
        <v>2</v>
      </c>
      <c r="R494" t="b">
        <v>1</v>
      </c>
    </row>
    <row r="495" spans="1:18">
      <c r="A495" t="s">
        <v>854</v>
      </c>
      <c r="B495" t="s">
        <v>1408</v>
      </c>
      <c r="C495" t="s">
        <v>1409</v>
      </c>
      <c r="E495">
        <v>0</v>
      </c>
      <c r="F495">
        <v>0</v>
      </c>
      <c r="G495">
        <v>295</v>
      </c>
      <c r="H495">
        <v>1427</v>
      </c>
      <c r="J495" t="s">
        <v>22</v>
      </c>
      <c r="K495" t="b">
        <v>1</v>
      </c>
      <c r="L495">
        <f t="shared" si="7"/>
        <v>295</v>
      </c>
      <c r="M495">
        <f t="shared" si="7"/>
        <v>1427</v>
      </c>
      <c r="N495" t="b">
        <v>0</v>
      </c>
      <c r="O495">
        <v>1</v>
      </c>
      <c r="P495" t="s">
        <v>1410</v>
      </c>
      <c r="Q495">
        <v>2</v>
      </c>
      <c r="R495" t="b">
        <v>1</v>
      </c>
    </row>
    <row r="496" spans="1:18">
      <c r="A496" t="s">
        <v>205</v>
      </c>
      <c r="B496" t="s">
        <v>1411</v>
      </c>
      <c r="C496" t="s">
        <v>1412</v>
      </c>
      <c r="E496">
        <v>190</v>
      </c>
      <c r="F496">
        <v>538</v>
      </c>
      <c r="G496">
        <v>103</v>
      </c>
      <c r="H496">
        <v>299</v>
      </c>
      <c r="J496" t="s">
        <v>22</v>
      </c>
      <c r="K496" t="b">
        <v>1</v>
      </c>
      <c r="L496">
        <f t="shared" si="7"/>
        <v>293</v>
      </c>
      <c r="M496">
        <f t="shared" si="7"/>
        <v>837</v>
      </c>
      <c r="N496" t="b">
        <v>0</v>
      </c>
      <c r="O496">
        <v>1</v>
      </c>
      <c r="P496" t="s">
        <v>1413</v>
      </c>
      <c r="Q496">
        <v>2</v>
      </c>
      <c r="R496" t="b">
        <v>1</v>
      </c>
    </row>
    <row r="497" spans="1:18">
      <c r="A497" t="s">
        <v>24</v>
      </c>
      <c r="B497" t="s">
        <v>1414</v>
      </c>
      <c r="C497" t="s">
        <v>1415</v>
      </c>
      <c r="E497">
        <v>232</v>
      </c>
      <c r="F497">
        <v>4121</v>
      </c>
      <c r="G497">
        <v>57</v>
      </c>
      <c r="H497">
        <v>905</v>
      </c>
      <c r="J497" t="s">
        <v>22</v>
      </c>
      <c r="K497" t="b">
        <v>1</v>
      </c>
      <c r="L497">
        <f t="shared" si="7"/>
        <v>289</v>
      </c>
      <c r="M497">
        <f t="shared" si="7"/>
        <v>5026</v>
      </c>
      <c r="N497" t="b">
        <v>0</v>
      </c>
      <c r="O497">
        <v>0.25</v>
      </c>
      <c r="P497" t="s">
        <v>1322</v>
      </c>
      <c r="Q497">
        <v>2</v>
      </c>
      <c r="R497" t="b">
        <v>1</v>
      </c>
    </row>
    <row r="498" spans="1:18">
      <c r="A498" t="s">
        <v>205</v>
      </c>
      <c r="B498" t="s">
        <v>1416</v>
      </c>
      <c r="C498" t="s">
        <v>1417</v>
      </c>
      <c r="E498">
        <v>211</v>
      </c>
      <c r="F498">
        <v>2130</v>
      </c>
      <c r="G498">
        <v>74</v>
      </c>
      <c r="H498">
        <v>301</v>
      </c>
      <c r="J498" t="s">
        <v>22</v>
      </c>
      <c r="K498" t="b">
        <v>1</v>
      </c>
      <c r="L498">
        <f t="shared" si="7"/>
        <v>285</v>
      </c>
      <c r="M498">
        <f t="shared" si="7"/>
        <v>2431</v>
      </c>
      <c r="N498" t="b">
        <v>0</v>
      </c>
      <c r="O498">
        <v>1</v>
      </c>
      <c r="P498" t="s">
        <v>1029</v>
      </c>
      <c r="Q498">
        <v>2</v>
      </c>
      <c r="R498" t="b">
        <v>1</v>
      </c>
    </row>
    <row r="499" spans="1:18">
      <c r="A499" t="s">
        <v>1418</v>
      </c>
      <c r="B499" t="s">
        <v>1419</v>
      </c>
      <c r="C499" t="s">
        <v>1420</v>
      </c>
      <c r="E499">
        <v>202</v>
      </c>
      <c r="F499">
        <v>3232</v>
      </c>
      <c r="G499">
        <v>81</v>
      </c>
      <c r="H499">
        <v>572</v>
      </c>
      <c r="J499" t="s">
        <v>22</v>
      </c>
      <c r="K499" t="b">
        <v>1</v>
      </c>
      <c r="L499">
        <f t="shared" si="7"/>
        <v>283</v>
      </c>
      <c r="M499">
        <f t="shared" si="7"/>
        <v>3804</v>
      </c>
      <c r="N499" t="b">
        <v>0</v>
      </c>
      <c r="O499">
        <v>1</v>
      </c>
      <c r="P499" t="s">
        <v>33</v>
      </c>
      <c r="Q499">
        <v>2</v>
      </c>
      <c r="R499" t="b">
        <v>1</v>
      </c>
    </row>
    <row r="500" spans="1:18">
      <c r="A500" t="s">
        <v>1191</v>
      </c>
      <c r="B500" t="s">
        <v>1421</v>
      </c>
      <c r="C500" t="s">
        <v>1422</v>
      </c>
      <c r="E500">
        <v>188</v>
      </c>
      <c r="F500">
        <v>487</v>
      </c>
      <c r="G500">
        <v>91</v>
      </c>
      <c r="H500">
        <v>431</v>
      </c>
      <c r="J500" t="s">
        <v>22</v>
      </c>
      <c r="K500" t="b">
        <v>1</v>
      </c>
      <c r="L500">
        <f t="shared" si="7"/>
        <v>279</v>
      </c>
      <c r="M500">
        <f t="shared" si="7"/>
        <v>918</v>
      </c>
      <c r="N500" t="b">
        <v>0</v>
      </c>
      <c r="O500">
        <v>1</v>
      </c>
      <c r="P500" t="s">
        <v>1423</v>
      </c>
      <c r="Q500">
        <v>2</v>
      </c>
      <c r="R500" t="b">
        <v>1</v>
      </c>
    </row>
    <row r="501" spans="1:18" hidden="1">
      <c r="A501" t="s">
        <v>1424</v>
      </c>
      <c r="B501" t="s">
        <v>1425</v>
      </c>
      <c r="C501" t="s">
        <v>1426</v>
      </c>
      <c r="D501" t="s">
        <v>519</v>
      </c>
      <c r="E501">
        <v>194</v>
      </c>
      <c r="F501">
        <v>1510</v>
      </c>
      <c r="G501">
        <v>85</v>
      </c>
      <c r="H501">
        <v>562</v>
      </c>
      <c r="I501" t="s">
        <v>1427</v>
      </c>
      <c r="J501" t="s">
        <v>93</v>
      </c>
      <c r="K501" t="b">
        <v>0</v>
      </c>
      <c r="L501">
        <f t="shared" si="7"/>
        <v>279</v>
      </c>
      <c r="M501">
        <f t="shared" si="7"/>
        <v>2072</v>
      </c>
      <c r="N501" t="b">
        <v>0</v>
      </c>
      <c r="O501">
        <v>0</v>
      </c>
      <c r="Q501">
        <v>0</v>
      </c>
      <c r="R501" t="b">
        <v>0</v>
      </c>
    </row>
    <row r="502" spans="1:18" hidden="1">
      <c r="A502" t="s">
        <v>1428</v>
      </c>
      <c r="B502" t="s">
        <v>1429</v>
      </c>
      <c r="C502" s="8" t="s">
        <v>1430</v>
      </c>
      <c r="E502">
        <v>182</v>
      </c>
      <c r="F502">
        <v>1758</v>
      </c>
      <c r="G502">
        <v>95</v>
      </c>
      <c r="H502">
        <v>969</v>
      </c>
      <c r="I502" t="s">
        <v>1218</v>
      </c>
      <c r="J502" t="s">
        <v>93</v>
      </c>
      <c r="K502" t="b">
        <v>0</v>
      </c>
      <c r="L502">
        <f t="shared" si="7"/>
        <v>277</v>
      </c>
      <c r="M502">
        <f t="shared" si="7"/>
        <v>2727</v>
      </c>
      <c r="N502" t="b">
        <v>0</v>
      </c>
      <c r="O502">
        <v>0</v>
      </c>
      <c r="Q502">
        <v>0</v>
      </c>
      <c r="R502" t="b">
        <v>0</v>
      </c>
    </row>
    <row r="503" spans="1:18" hidden="1">
      <c r="A503" t="s">
        <v>1428</v>
      </c>
      <c r="B503" t="s">
        <v>1431</v>
      </c>
      <c r="C503" s="8" t="s">
        <v>1432</v>
      </c>
      <c r="E503">
        <v>182</v>
      </c>
      <c r="F503">
        <v>1758</v>
      </c>
      <c r="G503">
        <v>95</v>
      </c>
      <c r="H503">
        <v>969</v>
      </c>
      <c r="I503" t="s">
        <v>1218</v>
      </c>
      <c r="J503" t="s">
        <v>93</v>
      </c>
      <c r="K503" t="b">
        <v>0</v>
      </c>
      <c r="L503">
        <f t="shared" si="7"/>
        <v>277</v>
      </c>
      <c r="M503">
        <f t="shared" si="7"/>
        <v>2727</v>
      </c>
      <c r="N503" t="b">
        <v>0</v>
      </c>
      <c r="O503">
        <v>0</v>
      </c>
      <c r="Q503">
        <v>0</v>
      </c>
      <c r="R503" t="b">
        <v>0</v>
      </c>
    </row>
    <row r="504" spans="1:18" hidden="1">
      <c r="A504" t="s">
        <v>1139</v>
      </c>
      <c r="B504" t="s">
        <v>1433</v>
      </c>
      <c r="C504" s="5" t="s">
        <v>1434</v>
      </c>
      <c r="E504">
        <v>185</v>
      </c>
      <c r="F504">
        <v>3666</v>
      </c>
      <c r="G504">
        <v>91</v>
      </c>
      <c r="H504">
        <v>1089</v>
      </c>
      <c r="J504" t="s">
        <v>93</v>
      </c>
      <c r="K504" t="b">
        <v>0</v>
      </c>
      <c r="L504">
        <f t="shared" si="7"/>
        <v>276</v>
      </c>
      <c r="M504">
        <f t="shared" si="7"/>
        <v>4755</v>
      </c>
      <c r="N504" t="b">
        <v>0</v>
      </c>
      <c r="O504">
        <v>0</v>
      </c>
      <c r="Q504">
        <v>0</v>
      </c>
      <c r="R504" t="b">
        <v>0</v>
      </c>
    </row>
    <row r="505" spans="1:18">
      <c r="A505" t="s">
        <v>24</v>
      </c>
      <c r="B505" t="s">
        <v>1435</v>
      </c>
      <c r="C505" t="s">
        <v>1436</v>
      </c>
      <c r="E505">
        <v>185</v>
      </c>
      <c r="F505">
        <v>3666</v>
      </c>
      <c r="G505">
        <v>88</v>
      </c>
      <c r="H505">
        <v>1085</v>
      </c>
      <c r="J505" t="s">
        <v>22</v>
      </c>
      <c r="K505" t="b">
        <v>1</v>
      </c>
      <c r="L505">
        <f t="shared" si="7"/>
        <v>273</v>
      </c>
      <c r="M505">
        <f t="shared" si="7"/>
        <v>4751</v>
      </c>
      <c r="N505" t="b">
        <v>0</v>
      </c>
      <c r="O505">
        <v>1</v>
      </c>
      <c r="P505" t="s">
        <v>1437</v>
      </c>
      <c r="Q505">
        <v>2</v>
      </c>
      <c r="R505" t="b">
        <v>1</v>
      </c>
    </row>
    <row r="506" spans="1:18">
      <c r="A506" t="s">
        <v>1143</v>
      </c>
      <c r="B506" t="s">
        <v>1438</v>
      </c>
      <c r="C506" t="s">
        <v>1439</v>
      </c>
      <c r="E506">
        <v>0</v>
      </c>
      <c r="F506">
        <v>0</v>
      </c>
      <c r="G506">
        <v>273</v>
      </c>
      <c r="H506">
        <v>1249</v>
      </c>
      <c r="J506" t="s">
        <v>22</v>
      </c>
      <c r="K506" t="b">
        <v>1</v>
      </c>
      <c r="L506">
        <f t="shared" si="7"/>
        <v>273</v>
      </c>
      <c r="M506">
        <f t="shared" si="7"/>
        <v>1249</v>
      </c>
      <c r="N506" t="b">
        <v>0</v>
      </c>
      <c r="O506">
        <v>1</v>
      </c>
      <c r="P506" t="s">
        <v>1440</v>
      </c>
      <c r="Q506">
        <v>2</v>
      </c>
      <c r="R506" t="b">
        <v>1</v>
      </c>
    </row>
    <row r="507" spans="1:18">
      <c r="A507" t="s">
        <v>1143</v>
      </c>
      <c r="B507" t="s">
        <v>1441</v>
      </c>
      <c r="C507" t="s">
        <v>1442</v>
      </c>
      <c r="E507">
        <v>0</v>
      </c>
      <c r="F507">
        <v>0</v>
      </c>
      <c r="G507">
        <v>273</v>
      </c>
      <c r="H507">
        <v>1249</v>
      </c>
      <c r="J507" t="s">
        <v>22</v>
      </c>
      <c r="K507" t="b">
        <v>1</v>
      </c>
      <c r="L507">
        <f t="shared" si="7"/>
        <v>273</v>
      </c>
      <c r="M507">
        <f t="shared" si="7"/>
        <v>1249</v>
      </c>
      <c r="N507" t="b">
        <v>0</v>
      </c>
      <c r="O507">
        <v>1</v>
      </c>
      <c r="P507" t="s">
        <v>1443</v>
      </c>
      <c r="Q507">
        <v>2</v>
      </c>
      <c r="R507" t="b">
        <v>1</v>
      </c>
    </row>
    <row r="508" spans="1:18" hidden="1">
      <c r="A508" t="s">
        <v>133</v>
      </c>
      <c r="B508" t="s">
        <v>1444</v>
      </c>
      <c r="C508" s="8" t="s">
        <v>1445</v>
      </c>
      <c r="D508" t="s">
        <v>93</v>
      </c>
      <c r="E508">
        <v>216</v>
      </c>
      <c r="F508">
        <v>2047</v>
      </c>
      <c r="G508">
        <v>57</v>
      </c>
      <c r="H508">
        <v>1949</v>
      </c>
      <c r="J508" t="s">
        <v>93</v>
      </c>
      <c r="K508" t="b">
        <v>1</v>
      </c>
      <c r="L508">
        <f t="shared" si="7"/>
        <v>273</v>
      </c>
      <c r="M508">
        <f t="shared" si="7"/>
        <v>3996</v>
      </c>
      <c r="N508" t="b">
        <v>0</v>
      </c>
      <c r="O508">
        <v>0</v>
      </c>
      <c r="Q508">
        <v>0</v>
      </c>
      <c r="R508" t="b">
        <v>0</v>
      </c>
    </row>
    <row r="509" spans="1:18" hidden="1">
      <c r="A509" t="s">
        <v>133</v>
      </c>
      <c r="B509" t="s">
        <v>1446</v>
      </c>
      <c r="C509" s="8" t="s">
        <v>1447</v>
      </c>
      <c r="D509" t="s">
        <v>93</v>
      </c>
      <c r="E509">
        <v>216</v>
      </c>
      <c r="F509">
        <v>2047</v>
      </c>
      <c r="G509">
        <v>57</v>
      </c>
      <c r="H509">
        <v>1949</v>
      </c>
      <c r="J509" t="s">
        <v>93</v>
      </c>
      <c r="K509" t="b">
        <v>1</v>
      </c>
      <c r="L509">
        <f t="shared" si="7"/>
        <v>273</v>
      </c>
      <c r="M509">
        <f t="shared" si="7"/>
        <v>3996</v>
      </c>
      <c r="N509" t="b">
        <v>0</v>
      </c>
      <c r="O509">
        <v>0.5</v>
      </c>
      <c r="P509" t="s">
        <v>201</v>
      </c>
      <c r="Q509">
        <v>2</v>
      </c>
      <c r="R509" t="b">
        <v>1</v>
      </c>
    </row>
    <row r="510" spans="1:18" hidden="1">
      <c r="A510" t="s">
        <v>378</v>
      </c>
      <c r="B510" t="s">
        <v>1448</v>
      </c>
      <c r="C510" t="s">
        <v>1449</v>
      </c>
      <c r="D510" t="s">
        <v>1450</v>
      </c>
      <c r="E510">
        <v>158</v>
      </c>
      <c r="F510">
        <v>2482</v>
      </c>
      <c r="G510">
        <v>114</v>
      </c>
      <c r="H510">
        <v>1149</v>
      </c>
      <c r="I510" t="s">
        <v>1451</v>
      </c>
      <c r="J510" t="s">
        <v>93</v>
      </c>
      <c r="K510" t="b">
        <v>1</v>
      </c>
      <c r="L510">
        <f t="shared" si="7"/>
        <v>272</v>
      </c>
      <c r="M510">
        <f t="shared" si="7"/>
        <v>3631</v>
      </c>
      <c r="N510" t="b">
        <v>0</v>
      </c>
      <c r="O510">
        <v>0.16669999999999999</v>
      </c>
      <c r="P510" t="s">
        <v>806</v>
      </c>
      <c r="Q510">
        <v>2</v>
      </c>
      <c r="R510" t="b">
        <v>1</v>
      </c>
    </row>
    <row r="511" spans="1:18" hidden="1">
      <c r="A511" t="s">
        <v>133</v>
      </c>
      <c r="B511" t="s">
        <v>1452</v>
      </c>
      <c r="C511" s="8" t="s">
        <v>1453</v>
      </c>
      <c r="D511" t="s">
        <v>93</v>
      </c>
      <c r="E511">
        <v>189</v>
      </c>
      <c r="F511">
        <v>2770</v>
      </c>
      <c r="G511">
        <v>83</v>
      </c>
      <c r="H511">
        <v>1458</v>
      </c>
      <c r="I511" t="s">
        <v>1454</v>
      </c>
      <c r="J511" t="s">
        <v>93</v>
      </c>
      <c r="K511" t="b">
        <v>1</v>
      </c>
      <c r="L511">
        <f t="shared" si="7"/>
        <v>272</v>
      </c>
      <c r="M511">
        <f t="shared" si="7"/>
        <v>4228</v>
      </c>
      <c r="N511" t="b">
        <v>0</v>
      </c>
      <c r="O511">
        <v>0.5</v>
      </c>
      <c r="P511" t="s">
        <v>201</v>
      </c>
      <c r="Q511">
        <v>2</v>
      </c>
      <c r="R511" t="b">
        <v>1</v>
      </c>
    </row>
    <row r="512" spans="1:18" hidden="1">
      <c r="A512" t="s">
        <v>378</v>
      </c>
      <c r="B512" t="s">
        <v>1455</v>
      </c>
      <c r="C512" t="s">
        <v>1456</v>
      </c>
      <c r="D512" t="s">
        <v>1450</v>
      </c>
      <c r="E512">
        <v>156</v>
      </c>
      <c r="F512">
        <v>2478</v>
      </c>
      <c r="G512">
        <v>113</v>
      </c>
      <c r="H512">
        <v>1148</v>
      </c>
      <c r="I512" t="s">
        <v>1451</v>
      </c>
      <c r="J512" t="s">
        <v>93</v>
      </c>
      <c r="K512" t="b">
        <v>1</v>
      </c>
      <c r="L512">
        <f t="shared" si="7"/>
        <v>269</v>
      </c>
      <c r="M512">
        <f t="shared" si="7"/>
        <v>3626</v>
      </c>
      <c r="N512" t="b">
        <v>0</v>
      </c>
      <c r="O512">
        <v>0.16669999999999999</v>
      </c>
      <c r="P512" t="s">
        <v>815</v>
      </c>
      <c r="Q512">
        <v>2</v>
      </c>
      <c r="R512" t="b">
        <v>1</v>
      </c>
    </row>
    <row r="513" spans="1:18">
      <c r="A513" t="s">
        <v>24</v>
      </c>
      <c r="B513" t="s">
        <v>1457</v>
      </c>
      <c r="C513" t="s">
        <v>1458</v>
      </c>
      <c r="E513">
        <v>178</v>
      </c>
      <c r="F513">
        <v>616</v>
      </c>
      <c r="G513">
        <v>87</v>
      </c>
      <c r="H513">
        <v>1466</v>
      </c>
      <c r="J513" t="s">
        <v>22</v>
      </c>
      <c r="K513" t="b">
        <v>1</v>
      </c>
      <c r="L513">
        <f t="shared" si="7"/>
        <v>265</v>
      </c>
      <c r="M513">
        <f t="shared" si="7"/>
        <v>2082</v>
      </c>
      <c r="N513" t="b">
        <v>0</v>
      </c>
      <c r="O513">
        <v>1</v>
      </c>
      <c r="P513" t="s">
        <v>1459</v>
      </c>
      <c r="Q513">
        <v>2</v>
      </c>
      <c r="R513" t="b">
        <v>1</v>
      </c>
    </row>
    <row r="514" spans="1:18">
      <c r="A514" t="s">
        <v>205</v>
      </c>
      <c r="B514" t="s">
        <v>1460</v>
      </c>
      <c r="C514" t="s">
        <v>1461</v>
      </c>
      <c r="E514">
        <v>180</v>
      </c>
      <c r="F514">
        <v>2402</v>
      </c>
      <c r="G514">
        <v>85</v>
      </c>
      <c r="H514">
        <v>1236</v>
      </c>
      <c r="J514" t="s">
        <v>22</v>
      </c>
      <c r="K514" t="b">
        <v>1</v>
      </c>
      <c r="L514">
        <f t="shared" si="7"/>
        <v>265</v>
      </c>
      <c r="M514">
        <f t="shared" si="7"/>
        <v>3638</v>
      </c>
      <c r="N514" t="b">
        <v>0</v>
      </c>
      <c r="O514">
        <v>1</v>
      </c>
      <c r="P514" t="s">
        <v>1076</v>
      </c>
      <c r="Q514">
        <v>2</v>
      </c>
      <c r="R514" t="b">
        <v>1</v>
      </c>
    </row>
    <row r="515" spans="1:18">
      <c r="A515" t="s">
        <v>1462</v>
      </c>
      <c r="B515" t="s">
        <v>1463</v>
      </c>
      <c r="C515" t="s">
        <v>1464</v>
      </c>
      <c r="E515">
        <v>163</v>
      </c>
      <c r="F515">
        <v>747</v>
      </c>
      <c r="G515">
        <v>99</v>
      </c>
      <c r="H515">
        <v>314</v>
      </c>
      <c r="J515" t="s">
        <v>22</v>
      </c>
      <c r="K515" t="b">
        <v>1</v>
      </c>
      <c r="L515">
        <f t="shared" ref="L515:M578" si="8">E515+G515</f>
        <v>262</v>
      </c>
      <c r="M515">
        <f t="shared" si="8"/>
        <v>1061</v>
      </c>
      <c r="N515" t="b">
        <v>0</v>
      </c>
      <c r="O515">
        <v>0</v>
      </c>
      <c r="Q515">
        <v>0</v>
      </c>
      <c r="R515" t="b">
        <v>0</v>
      </c>
    </row>
    <row r="516" spans="1:18">
      <c r="A516" t="s">
        <v>1462</v>
      </c>
      <c r="B516" t="s">
        <v>1465</v>
      </c>
      <c r="C516" t="s">
        <v>1466</v>
      </c>
      <c r="E516">
        <v>163</v>
      </c>
      <c r="F516">
        <v>747</v>
      </c>
      <c r="G516">
        <v>99</v>
      </c>
      <c r="H516">
        <v>314</v>
      </c>
      <c r="J516" t="s">
        <v>22</v>
      </c>
      <c r="K516" t="b">
        <v>1</v>
      </c>
      <c r="L516">
        <f t="shared" si="8"/>
        <v>262</v>
      </c>
      <c r="M516">
        <f t="shared" si="8"/>
        <v>1061</v>
      </c>
      <c r="N516" t="b">
        <v>0</v>
      </c>
      <c r="O516">
        <v>0</v>
      </c>
      <c r="Q516">
        <v>0</v>
      </c>
      <c r="R516" t="b">
        <v>0</v>
      </c>
    </row>
    <row r="517" spans="1:18">
      <c r="A517" t="s">
        <v>1462</v>
      </c>
      <c r="B517" t="s">
        <v>1467</v>
      </c>
      <c r="C517" t="s">
        <v>1468</v>
      </c>
      <c r="E517">
        <v>163</v>
      </c>
      <c r="F517">
        <v>747</v>
      </c>
      <c r="G517">
        <v>99</v>
      </c>
      <c r="H517">
        <v>314</v>
      </c>
      <c r="J517" t="s">
        <v>22</v>
      </c>
      <c r="K517" t="b">
        <v>1</v>
      </c>
      <c r="L517">
        <f t="shared" si="8"/>
        <v>262</v>
      </c>
      <c r="M517">
        <f t="shared" si="8"/>
        <v>1061</v>
      </c>
      <c r="N517" t="b">
        <v>0</v>
      </c>
      <c r="O517">
        <v>1</v>
      </c>
      <c r="P517" t="s">
        <v>1469</v>
      </c>
      <c r="Q517">
        <v>2</v>
      </c>
      <c r="R517" t="b">
        <v>1</v>
      </c>
    </row>
    <row r="518" spans="1:18">
      <c r="A518" t="s">
        <v>1191</v>
      </c>
      <c r="B518" t="s">
        <v>1470</v>
      </c>
      <c r="C518" t="s">
        <v>1471</v>
      </c>
      <c r="E518">
        <v>172</v>
      </c>
      <c r="F518">
        <v>463</v>
      </c>
      <c r="G518">
        <v>89</v>
      </c>
      <c r="H518">
        <v>503</v>
      </c>
      <c r="J518" t="s">
        <v>22</v>
      </c>
      <c r="K518" t="b">
        <v>1</v>
      </c>
      <c r="L518">
        <f t="shared" si="8"/>
        <v>261</v>
      </c>
      <c r="M518">
        <f t="shared" si="8"/>
        <v>966</v>
      </c>
      <c r="N518" t="b">
        <v>0</v>
      </c>
      <c r="O518">
        <v>1</v>
      </c>
      <c r="P518" t="s">
        <v>1472</v>
      </c>
      <c r="Q518">
        <v>2</v>
      </c>
      <c r="R518" t="b">
        <v>1</v>
      </c>
    </row>
    <row r="519" spans="1:18">
      <c r="A519" t="s">
        <v>1191</v>
      </c>
      <c r="B519" t="s">
        <v>1473</v>
      </c>
      <c r="C519" t="s">
        <v>1474</v>
      </c>
      <c r="E519">
        <v>181</v>
      </c>
      <c r="F519">
        <v>1867</v>
      </c>
      <c r="G519">
        <v>79</v>
      </c>
      <c r="H519">
        <v>519</v>
      </c>
      <c r="J519" t="s">
        <v>22</v>
      </c>
      <c r="K519" t="b">
        <v>1</v>
      </c>
      <c r="L519">
        <f t="shared" si="8"/>
        <v>260</v>
      </c>
      <c r="M519">
        <f t="shared" si="8"/>
        <v>2386</v>
      </c>
      <c r="N519" t="b">
        <v>0</v>
      </c>
      <c r="O519">
        <v>1</v>
      </c>
      <c r="P519" t="s">
        <v>1475</v>
      </c>
      <c r="Q519">
        <v>2</v>
      </c>
      <c r="R519" t="b">
        <v>1</v>
      </c>
    </row>
    <row r="520" spans="1:18">
      <c r="A520" t="s">
        <v>1462</v>
      </c>
      <c r="B520" t="s">
        <v>1476</v>
      </c>
      <c r="C520" t="s">
        <v>1477</v>
      </c>
      <c r="E520">
        <v>162</v>
      </c>
      <c r="F520">
        <v>746</v>
      </c>
      <c r="G520">
        <v>97</v>
      </c>
      <c r="H520">
        <v>311</v>
      </c>
      <c r="J520" t="s">
        <v>22</v>
      </c>
      <c r="K520" t="b">
        <v>1</v>
      </c>
      <c r="L520">
        <f t="shared" si="8"/>
        <v>259</v>
      </c>
      <c r="M520">
        <f t="shared" si="8"/>
        <v>1057</v>
      </c>
      <c r="N520" t="b">
        <v>0</v>
      </c>
      <c r="O520">
        <v>0</v>
      </c>
      <c r="Q520">
        <v>0</v>
      </c>
      <c r="R520" t="b">
        <v>0</v>
      </c>
    </row>
    <row r="521" spans="1:18">
      <c r="A521" t="s">
        <v>1462</v>
      </c>
      <c r="B521" t="s">
        <v>1478</v>
      </c>
      <c r="C521" t="s">
        <v>1479</v>
      </c>
      <c r="E521">
        <v>162</v>
      </c>
      <c r="F521">
        <v>746</v>
      </c>
      <c r="G521">
        <v>97</v>
      </c>
      <c r="H521">
        <v>311</v>
      </c>
      <c r="J521" t="s">
        <v>22</v>
      </c>
      <c r="K521" t="b">
        <v>1</v>
      </c>
      <c r="L521">
        <f t="shared" si="8"/>
        <v>259</v>
      </c>
      <c r="M521">
        <f t="shared" si="8"/>
        <v>1057</v>
      </c>
      <c r="N521" t="b">
        <v>0</v>
      </c>
      <c r="O521">
        <v>0</v>
      </c>
      <c r="Q521">
        <v>0</v>
      </c>
      <c r="R521" t="b">
        <v>0</v>
      </c>
    </row>
    <row r="522" spans="1:18">
      <c r="A522" t="s">
        <v>1462</v>
      </c>
      <c r="B522" t="s">
        <v>1480</v>
      </c>
      <c r="C522" t="s">
        <v>1481</v>
      </c>
      <c r="E522">
        <v>162</v>
      </c>
      <c r="F522">
        <v>746</v>
      </c>
      <c r="G522">
        <v>97</v>
      </c>
      <c r="H522">
        <v>311</v>
      </c>
      <c r="J522" t="s">
        <v>22</v>
      </c>
      <c r="K522" t="b">
        <v>1</v>
      </c>
      <c r="L522">
        <f t="shared" si="8"/>
        <v>259</v>
      </c>
      <c r="M522">
        <f t="shared" si="8"/>
        <v>1057</v>
      </c>
      <c r="N522" t="b">
        <v>0</v>
      </c>
      <c r="O522">
        <v>1</v>
      </c>
      <c r="P522" t="s">
        <v>1482</v>
      </c>
      <c r="Q522">
        <v>2</v>
      </c>
      <c r="R522" t="b">
        <v>1</v>
      </c>
    </row>
    <row r="523" spans="1:18" hidden="1">
      <c r="A523" t="s">
        <v>568</v>
      </c>
      <c r="B523" t="s">
        <v>1483</v>
      </c>
      <c r="C523" t="s">
        <v>1484</v>
      </c>
      <c r="D523" t="s">
        <v>435</v>
      </c>
      <c r="E523">
        <v>258</v>
      </c>
      <c r="F523">
        <v>2957</v>
      </c>
      <c r="G523">
        <v>0</v>
      </c>
      <c r="H523">
        <v>0</v>
      </c>
      <c r="J523" t="s">
        <v>93</v>
      </c>
      <c r="K523" t="b">
        <v>0</v>
      </c>
      <c r="L523">
        <f t="shared" si="8"/>
        <v>258</v>
      </c>
      <c r="M523">
        <f t="shared" si="8"/>
        <v>2957</v>
      </c>
      <c r="N523" t="b">
        <v>0</v>
      </c>
      <c r="O523">
        <v>0</v>
      </c>
      <c r="Q523">
        <v>0</v>
      </c>
      <c r="R523" t="b">
        <v>0</v>
      </c>
    </row>
    <row r="524" spans="1:18">
      <c r="A524" t="s">
        <v>192</v>
      </c>
      <c r="B524" t="s">
        <v>1485</v>
      </c>
      <c r="C524" t="s">
        <v>1486</v>
      </c>
      <c r="E524">
        <v>0</v>
      </c>
      <c r="F524">
        <v>0</v>
      </c>
      <c r="G524">
        <v>258</v>
      </c>
      <c r="H524">
        <v>2284</v>
      </c>
      <c r="J524" t="s">
        <v>22</v>
      </c>
      <c r="K524" t="b">
        <v>1</v>
      </c>
      <c r="L524">
        <f t="shared" si="8"/>
        <v>258</v>
      </c>
      <c r="M524">
        <f t="shared" si="8"/>
        <v>2284</v>
      </c>
      <c r="N524" t="b">
        <v>0</v>
      </c>
      <c r="O524">
        <v>1</v>
      </c>
      <c r="P524" t="s">
        <v>1487</v>
      </c>
      <c r="Q524">
        <v>2</v>
      </c>
      <c r="R524" t="b">
        <v>1</v>
      </c>
    </row>
    <row r="525" spans="1:18" hidden="1">
      <c r="A525" t="s">
        <v>1424</v>
      </c>
      <c r="B525" t="s">
        <v>1488</v>
      </c>
      <c r="C525" t="s">
        <v>1489</v>
      </c>
      <c r="D525" t="s">
        <v>519</v>
      </c>
      <c r="E525">
        <v>176</v>
      </c>
      <c r="F525">
        <v>1495</v>
      </c>
      <c r="G525">
        <v>82</v>
      </c>
      <c r="H525">
        <v>555</v>
      </c>
      <c r="I525" t="s">
        <v>1135</v>
      </c>
      <c r="J525" t="s">
        <v>93</v>
      </c>
      <c r="K525" t="b">
        <v>0</v>
      </c>
      <c r="L525">
        <f t="shared" si="8"/>
        <v>258</v>
      </c>
      <c r="M525">
        <f t="shared" si="8"/>
        <v>2050</v>
      </c>
      <c r="N525" t="b">
        <v>0</v>
      </c>
      <c r="O525">
        <v>0</v>
      </c>
      <c r="Q525">
        <v>0</v>
      </c>
      <c r="R525" t="b">
        <v>0</v>
      </c>
    </row>
    <row r="526" spans="1:18" hidden="1">
      <c r="A526" t="s">
        <v>37</v>
      </c>
      <c r="B526" t="s">
        <v>1490</v>
      </c>
      <c r="C526" t="s">
        <v>1491</v>
      </c>
      <c r="D526" t="s">
        <v>215</v>
      </c>
      <c r="E526">
        <v>168</v>
      </c>
      <c r="F526">
        <v>9294</v>
      </c>
      <c r="G526">
        <v>90</v>
      </c>
      <c r="H526">
        <v>2368</v>
      </c>
      <c r="I526" t="s">
        <v>1135</v>
      </c>
      <c r="J526" t="s">
        <v>93</v>
      </c>
      <c r="K526" t="b">
        <v>1</v>
      </c>
      <c r="L526">
        <f t="shared" si="8"/>
        <v>258</v>
      </c>
      <c r="M526">
        <f t="shared" si="8"/>
        <v>11662</v>
      </c>
      <c r="N526" t="b">
        <v>0</v>
      </c>
      <c r="O526">
        <v>0</v>
      </c>
      <c r="Q526">
        <v>0</v>
      </c>
      <c r="R526" t="b">
        <v>0</v>
      </c>
    </row>
    <row r="527" spans="1:18" hidden="1">
      <c r="A527" t="s">
        <v>37</v>
      </c>
      <c r="B527" t="s">
        <v>1492</v>
      </c>
      <c r="C527" t="s">
        <v>1493</v>
      </c>
      <c r="D527" t="s">
        <v>215</v>
      </c>
      <c r="E527">
        <v>168</v>
      </c>
      <c r="F527">
        <v>9294</v>
      </c>
      <c r="G527">
        <v>90</v>
      </c>
      <c r="H527">
        <v>2368</v>
      </c>
      <c r="I527" t="s">
        <v>1135</v>
      </c>
      <c r="J527" t="s">
        <v>93</v>
      </c>
      <c r="K527" t="b">
        <v>1</v>
      </c>
      <c r="L527">
        <f t="shared" si="8"/>
        <v>258</v>
      </c>
      <c r="M527">
        <f t="shared" si="8"/>
        <v>11662</v>
      </c>
      <c r="N527" t="b">
        <v>0</v>
      </c>
      <c r="O527">
        <v>0</v>
      </c>
      <c r="Q527">
        <v>0</v>
      </c>
      <c r="R527" t="b">
        <v>0</v>
      </c>
    </row>
    <row r="528" spans="1:18">
      <c r="A528" t="s">
        <v>1494</v>
      </c>
      <c r="B528" t="s">
        <v>1495</v>
      </c>
      <c r="C528" t="s">
        <v>1496</v>
      </c>
      <c r="E528">
        <v>137</v>
      </c>
      <c r="F528">
        <v>313</v>
      </c>
      <c r="G528">
        <v>121</v>
      </c>
      <c r="H528">
        <v>270</v>
      </c>
      <c r="J528" t="s">
        <v>22</v>
      </c>
      <c r="K528" t="b">
        <v>1</v>
      </c>
      <c r="L528">
        <f t="shared" si="8"/>
        <v>258</v>
      </c>
      <c r="M528">
        <f t="shared" si="8"/>
        <v>583</v>
      </c>
      <c r="N528" t="b">
        <v>0</v>
      </c>
      <c r="O528">
        <v>1</v>
      </c>
      <c r="P528" t="s">
        <v>144</v>
      </c>
      <c r="Q528">
        <v>2</v>
      </c>
      <c r="R528" t="b">
        <v>1</v>
      </c>
    </row>
    <row r="529" spans="1:18">
      <c r="A529" t="s">
        <v>1494</v>
      </c>
      <c r="B529" t="s">
        <v>1497</v>
      </c>
      <c r="C529" t="s">
        <v>1498</v>
      </c>
      <c r="E529">
        <v>137</v>
      </c>
      <c r="F529">
        <v>313</v>
      </c>
      <c r="G529">
        <v>121</v>
      </c>
      <c r="H529">
        <v>270</v>
      </c>
      <c r="J529" t="s">
        <v>22</v>
      </c>
      <c r="K529" t="b">
        <v>1</v>
      </c>
      <c r="L529">
        <f t="shared" si="8"/>
        <v>258</v>
      </c>
      <c r="M529">
        <f t="shared" si="8"/>
        <v>583</v>
      </c>
      <c r="N529" t="b">
        <v>0</v>
      </c>
      <c r="O529">
        <v>1</v>
      </c>
      <c r="P529" t="s">
        <v>33</v>
      </c>
      <c r="Q529">
        <v>2</v>
      </c>
      <c r="R529" t="b">
        <v>1</v>
      </c>
    </row>
    <row r="530" spans="1:18">
      <c r="A530" t="s">
        <v>59</v>
      </c>
      <c r="B530" t="s">
        <v>1499</v>
      </c>
      <c r="C530" t="s">
        <v>1500</v>
      </c>
      <c r="E530">
        <v>165</v>
      </c>
      <c r="F530">
        <v>1948</v>
      </c>
      <c r="G530">
        <v>92</v>
      </c>
      <c r="H530">
        <v>568</v>
      </c>
      <c r="J530" t="s">
        <v>22</v>
      </c>
      <c r="K530" t="b">
        <v>1</v>
      </c>
      <c r="L530">
        <f t="shared" si="8"/>
        <v>257</v>
      </c>
      <c r="M530">
        <f t="shared" si="8"/>
        <v>2516</v>
      </c>
      <c r="N530" t="b">
        <v>0</v>
      </c>
      <c r="O530">
        <v>1</v>
      </c>
      <c r="P530" t="s">
        <v>1501</v>
      </c>
      <c r="Q530">
        <v>2</v>
      </c>
      <c r="R530" t="b">
        <v>1</v>
      </c>
    </row>
    <row r="531" spans="1:18" hidden="1">
      <c r="A531" t="s">
        <v>37</v>
      </c>
      <c r="B531" t="s">
        <v>1502</v>
      </c>
      <c r="C531" t="s">
        <v>1503</v>
      </c>
      <c r="D531" t="s">
        <v>519</v>
      </c>
      <c r="E531">
        <v>153</v>
      </c>
      <c r="F531">
        <v>3162</v>
      </c>
      <c r="G531">
        <v>103</v>
      </c>
      <c r="H531">
        <v>2067</v>
      </c>
      <c r="I531" t="s">
        <v>1135</v>
      </c>
      <c r="J531" t="s">
        <v>93</v>
      </c>
      <c r="K531" t="b">
        <v>1</v>
      </c>
      <c r="L531">
        <f t="shared" si="8"/>
        <v>256</v>
      </c>
      <c r="M531">
        <f t="shared" si="8"/>
        <v>5229</v>
      </c>
      <c r="N531" t="b">
        <v>0</v>
      </c>
      <c r="O531">
        <v>0</v>
      </c>
      <c r="Q531">
        <v>0</v>
      </c>
      <c r="R531" t="b">
        <v>0</v>
      </c>
    </row>
    <row r="532" spans="1:18">
      <c r="A532" t="s">
        <v>1462</v>
      </c>
      <c r="B532" t="s">
        <v>1504</v>
      </c>
      <c r="C532" t="s">
        <v>1505</v>
      </c>
      <c r="E532">
        <v>158</v>
      </c>
      <c r="F532">
        <v>744</v>
      </c>
      <c r="G532">
        <v>96</v>
      </c>
      <c r="H532">
        <v>310</v>
      </c>
      <c r="J532" t="s">
        <v>22</v>
      </c>
      <c r="K532" t="b">
        <v>1</v>
      </c>
      <c r="L532">
        <f t="shared" si="8"/>
        <v>254</v>
      </c>
      <c r="M532">
        <f t="shared" si="8"/>
        <v>1054</v>
      </c>
      <c r="N532" t="b">
        <v>0</v>
      </c>
      <c r="O532">
        <v>1</v>
      </c>
      <c r="P532" t="s">
        <v>1506</v>
      </c>
      <c r="Q532">
        <v>2</v>
      </c>
      <c r="R532" t="b">
        <v>1</v>
      </c>
    </row>
    <row r="533" spans="1:18">
      <c r="A533" t="s">
        <v>24</v>
      </c>
      <c r="B533" t="s">
        <v>1507</v>
      </c>
      <c r="C533" t="s">
        <v>1508</v>
      </c>
      <c r="E533">
        <v>169</v>
      </c>
      <c r="F533">
        <v>818</v>
      </c>
      <c r="G533">
        <v>83</v>
      </c>
      <c r="H533">
        <v>514</v>
      </c>
      <c r="J533" t="s">
        <v>22</v>
      </c>
      <c r="K533" t="b">
        <v>1</v>
      </c>
      <c r="L533">
        <f t="shared" si="8"/>
        <v>252</v>
      </c>
      <c r="M533">
        <f t="shared" si="8"/>
        <v>1332</v>
      </c>
      <c r="N533" t="b">
        <v>0</v>
      </c>
      <c r="O533">
        <v>1</v>
      </c>
      <c r="P533" t="s">
        <v>1509</v>
      </c>
      <c r="Q533">
        <v>2</v>
      </c>
      <c r="R533" t="b">
        <v>1</v>
      </c>
    </row>
    <row r="534" spans="1:18">
      <c r="A534" t="s">
        <v>248</v>
      </c>
      <c r="B534" t="s">
        <v>1510</v>
      </c>
      <c r="C534" t="s">
        <v>1511</v>
      </c>
      <c r="E534">
        <v>177</v>
      </c>
      <c r="F534">
        <v>1757</v>
      </c>
      <c r="G534">
        <v>75</v>
      </c>
      <c r="H534">
        <v>389</v>
      </c>
      <c r="J534" t="s">
        <v>22</v>
      </c>
      <c r="K534" t="b">
        <v>1</v>
      </c>
      <c r="L534">
        <f t="shared" si="8"/>
        <v>252</v>
      </c>
      <c r="M534">
        <f t="shared" si="8"/>
        <v>2146</v>
      </c>
      <c r="N534" t="b">
        <v>0</v>
      </c>
      <c r="O534">
        <v>1</v>
      </c>
      <c r="P534" t="s">
        <v>1512</v>
      </c>
      <c r="Q534">
        <v>2</v>
      </c>
      <c r="R534" t="b">
        <v>1</v>
      </c>
    </row>
    <row r="535" spans="1:18">
      <c r="A535" t="s">
        <v>30</v>
      </c>
      <c r="B535" t="s">
        <v>1513</v>
      </c>
      <c r="C535" t="s">
        <v>1514</v>
      </c>
      <c r="E535">
        <v>195</v>
      </c>
      <c r="F535">
        <v>912</v>
      </c>
      <c r="G535">
        <v>57</v>
      </c>
      <c r="H535">
        <v>184</v>
      </c>
      <c r="J535" t="s">
        <v>22</v>
      </c>
      <c r="K535" t="b">
        <v>1</v>
      </c>
      <c r="L535">
        <f t="shared" si="8"/>
        <v>252</v>
      </c>
      <c r="M535">
        <f t="shared" si="8"/>
        <v>1096</v>
      </c>
      <c r="N535" t="b">
        <v>0</v>
      </c>
      <c r="O535">
        <v>1</v>
      </c>
      <c r="P535" t="s">
        <v>1515</v>
      </c>
      <c r="Q535">
        <v>2</v>
      </c>
      <c r="R535" t="b">
        <v>1</v>
      </c>
    </row>
    <row r="536" spans="1:18">
      <c r="A536" t="s">
        <v>854</v>
      </c>
      <c r="B536" t="s">
        <v>1516</v>
      </c>
      <c r="C536" t="s">
        <v>1517</v>
      </c>
      <c r="E536">
        <v>166</v>
      </c>
      <c r="F536">
        <v>2370</v>
      </c>
      <c r="G536">
        <v>84</v>
      </c>
      <c r="H536">
        <v>476</v>
      </c>
      <c r="J536" t="s">
        <v>22</v>
      </c>
      <c r="K536" t="b">
        <v>1</v>
      </c>
      <c r="L536">
        <f t="shared" si="8"/>
        <v>250</v>
      </c>
      <c r="M536">
        <f t="shared" si="8"/>
        <v>2846</v>
      </c>
      <c r="N536" t="b">
        <v>0</v>
      </c>
      <c r="O536">
        <v>1</v>
      </c>
      <c r="P536" t="s">
        <v>138</v>
      </c>
      <c r="Q536">
        <v>2</v>
      </c>
      <c r="R536" t="b">
        <v>1</v>
      </c>
    </row>
    <row r="537" spans="1:18" hidden="1">
      <c r="A537" t="s">
        <v>573</v>
      </c>
      <c r="B537" t="s">
        <v>1518</v>
      </c>
      <c r="C537" t="s">
        <v>1519</v>
      </c>
      <c r="D537" t="s">
        <v>93</v>
      </c>
      <c r="E537">
        <v>184</v>
      </c>
      <c r="F537">
        <v>2144</v>
      </c>
      <c r="G537">
        <v>64</v>
      </c>
      <c r="H537">
        <v>775</v>
      </c>
      <c r="I537" t="s">
        <v>1218</v>
      </c>
      <c r="J537" t="s">
        <v>93</v>
      </c>
      <c r="K537" t="b">
        <v>1</v>
      </c>
      <c r="L537">
        <f t="shared" si="8"/>
        <v>248</v>
      </c>
      <c r="M537">
        <f t="shared" si="8"/>
        <v>2919</v>
      </c>
      <c r="N537" t="b">
        <v>0</v>
      </c>
      <c r="O537">
        <v>0</v>
      </c>
      <c r="Q537">
        <v>0</v>
      </c>
      <c r="R537" t="b">
        <v>0</v>
      </c>
    </row>
    <row r="538" spans="1:18" hidden="1">
      <c r="A538" t="s">
        <v>1269</v>
      </c>
      <c r="B538" t="s">
        <v>1520</v>
      </c>
      <c r="C538" t="s">
        <v>1521</v>
      </c>
      <c r="D538" t="s">
        <v>435</v>
      </c>
      <c r="E538">
        <v>168</v>
      </c>
      <c r="F538">
        <v>2198</v>
      </c>
      <c r="G538">
        <v>79</v>
      </c>
      <c r="H538">
        <v>472</v>
      </c>
      <c r="J538" t="s">
        <v>93</v>
      </c>
      <c r="K538" t="b">
        <v>0</v>
      </c>
      <c r="L538">
        <f t="shared" si="8"/>
        <v>247</v>
      </c>
      <c r="M538">
        <f t="shared" si="8"/>
        <v>2670</v>
      </c>
      <c r="N538" t="b">
        <v>0</v>
      </c>
      <c r="O538">
        <v>0</v>
      </c>
      <c r="Q538">
        <v>0</v>
      </c>
      <c r="R538" t="b">
        <v>0</v>
      </c>
    </row>
    <row r="539" spans="1:18" hidden="1">
      <c r="A539" t="s">
        <v>24</v>
      </c>
      <c r="B539" t="s">
        <v>1522</v>
      </c>
      <c r="C539" s="8" t="s">
        <v>1523</v>
      </c>
      <c r="D539" t="s">
        <v>93</v>
      </c>
      <c r="E539">
        <v>184</v>
      </c>
      <c r="F539">
        <v>2144</v>
      </c>
      <c r="G539">
        <v>62</v>
      </c>
      <c r="H539">
        <v>773</v>
      </c>
      <c r="I539" t="s">
        <v>1218</v>
      </c>
      <c r="J539" t="s">
        <v>93</v>
      </c>
      <c r="K539" t="b">
        <v>1</v>
      </c>
      <c r="L539">
        <f t="shared" si="8"/>
        <v>246</v>
      </c>
      <c r="M539">
        <f t="shared" si="8"/>
        <v>2917</v>
      </c>
      <c r="N539" t="b">
        <v>0</v>
      </c>
      <c r="O539">
        <v>0</v>
      </c>
      <c r="Q539">
        <v>0</v>
      </c>
      <c r="R539" t="b">
        <v>0</v>
      </c>
    </row>
    <row r="540" spans="1:18">
      <c r="A540" t="s">
        <v>235</v>
      </c>
      <c r="B540" t="s">
        <v>1524</v>
      </c>
      <c r="C540" t="s">
        <v>1525</v>
      </c>
      <c r="E540">
        <v>158</v>
      </c>
      <c r="F540">
        <v>2094</v>
      </c>
      <c r="G540">
        <v>87</v>
      </c>
      <c r="H540">
        <v>421</v>
      </c>
      <c r="J540" t="s">
        <v>22</v>
      </c>
      <c r="K540" t="b">
        <v>1</v>
      </c>
      <c r="L540">
        <f t="shared" si="8"/>
        <v>245</v>
      </c>
      <c r="M540">
        <f t="shared" si="8"/>
        <v>2515</v>
      </c>
      <c r="N540" t="b">
        <v>0</v>
      </c>
      <c r="O540">
        <v>1</v>
      </c>
      <c r="P540" t="s">
        <v>1526</v>
      </c>
      <c r="Q540">
        <v>2</v>
      </c>
      <c r="R540" t="b">
        <v>1</v>
      </c>
    </row>
    <row r="541" spans="1:18" hidden="1">
      <c r="A541" t="s">
        <v>352</v>
      </c>
      <c r="B541" t="s">
        <v>1527</v>
      </c>
      <c r="C541" t="s">
        <v>1528</v>
      </c>
      <c r="D541" s="7" t="s">
        <v>1529</v>
      </c>
      <c r="E541">
        <v>179</v>
      </c>
      <c r="F541">
        <v>3886</v>
      </c>
      <c r="G541">
        <v>64</v>
      </c>
      <c r="H541">
        <v>1152</v>
      </c>
      <c r="I541" t="s">
        <v>1530</v>
      </c>
      <c r="J541" t="s">
        <v>93</v>
      </c>
      <c r="K541" t="b">
        <v>1</v>
      </c>
      <c r="L541">
        <f t="shared" si="8"/>
        <v>243</v>
      </c>
      <c r="M541">
        <f t="shared" si="8"/>
        <v>5038</v>
      </c>
      <c r="N541" t="b">
        <v>0</v>
      </c>
      <c r="O541">
        <v>0.5</v>
      </c>
      <c r="P541" t="s">
        <v>1531</v>
      </c>
      <c r="Q541">
        <v>1</v>
      </c>
      <c r="R541" t="b">
        <v>1</v>
      </c>
    </row>
    <row r="542" spans="1:18" hidden="1">
      <c r="A542" t="s">
        <v>706</v>
      </c>
      <c r="B542" t="s">
        <v>1532</v>
      </c>
      <c r="C542" t="s">
        <v>1533</v>
      </c>
      <c r="E542">
        <v>173</v>
      </c>
      <c r="F542">
        <v>737</v>
      </c>
      <c r="G542">
        <v>69</v>
      </c>
      <c r="H542">
        <v>303</v>
      </c>
      <c r="J542" t="s">
        <v>93</v>
      </c>
      <c r="K542" t="b">
        <v>0</v>
      </c>
      <c r="L542">
        <f t="shared" si="8"/>
        <v>242</v>
      </c>
      <c r="M542">
        <f t="shared" si="8"/>
        <v>1040</v>
      </c>
      <c r="N542" t="b">
        <v>0</v>
      </c>
      <c r="O542">
        <v>0</v>
      </c>
      <c r="Q542">
        <v>0</v>
      </c>
      <c r="R542" t="b">
        <v>0</v>
      </c>
    </row>
    <row r="543" spans="1:18">
      <c r="A543" t="s">
        <v>1224</v>
      </c>
      <c r="B543" t="s">
        <v>1534</v>
      </c>
      <c r="C543" t="s">
        <v>1535</v>
      </c>
      <c r="E543">
        <v>162</v>
      </c>
      <c r="F543">
        <v>2103</v>
      </c>
      <c r="G543">
        <v>78</v>
      </c>
      <c r="H543">
        <v>1641</v>
      </c>
      <c r="J543" t="s">
        <v>22</v>
      </c>
      <c r="K543" t="b">
        <v>1</v>
      </c>
      <c r="L543">
        <f t="shared" si="8"/>
        <v>240</v>
      </c>
      <c r="M543">
        <f t="shared" si="8"/>
        <v>3744</v>
      </c>
      <c r="N543" t="b">
        <v>0</v>
      </c>
      <c r="O543">
        <v>1</v>
      </c>
      <c r="P543" t="s">
        <v>1536</v>
      </c>
      <c r="Q543">
        <v>2</v>
      </c>
      <c r="R543" t="b">
        <v>1</v>
      </c>
    </row>
    <row r="544" spans="1:18" hidden="1">
      <c r="A544" t="s">
        <v>672</v>
      </c>
      <c r="B544" t="s">
        <v>1537</v>
      </c>
      <c r="C544" t="s">
        <v>1538</v>
      </c>
      <c r="E544">
        <v>138</v>
      </c>
      <c r="F544">
        <v>471</v>
      </c>
      <c r="G544">
        <v>102</v>
      </c>
      <c r="H544">
        <v>241</v>
      </c>
      <c r="J544" t="s">
        <v>93</v>
      </c>
      <c r="K544" t="b">
        <v>0</v>
      </c>
      <c r="L544">
        <f t="shared" si="8"/>
        <v>240</v>
      </c>
      <c r="M544">
        <f t="shared" si="8"/>
        <v>712</v>
      </c>
      <c r="N544" t="b">
        <v>0</v>
      </c>
      <c r="O544">
        <v>0</v>
      </c>
      <c r="Q544">
        <v>0</v>
      </c>
      <c r="R544" t="b">
        <v>0</v>
      </c>
    </row>
    <row r="545" spans="1:18">
      <c r="A545" t="s">
        <v>678</v>
      </c>
      <c r="B545" t="s">
        <v>1539</v>
      </c>
      <c r="C545" t="s">
        <v>1540</v>
      </c>
      <c r="E545">
        <v>138</v>
      </c>
      <c r="F545">
        <v>471</v>
      </c>
      <c r="G545">
        <v>102</v>
      </c>
      <c r="H545">
        <v>241</v>
      </c>
      <c r="J545" t="s">
        <v>22</v>
      </c>
      <c r="K545" t="b">
        <v>1</v>
      </c>
      <c r="L545">
        <f t="shared" si="8"/>
        <v>240</v>
      </c>
      <c r="M545">
        <f t="shared" si="8"/>
        <v>712</v>
      </c>
      <c r="N545" t="b">
        <v>0</v>
      </c>
      <c r="O545">
        <v>1</v>
      </c>
      <c r="P545" t="s">
        <v>1541</v>
      </c>
      <c r="Q545">
        <v>2</v>
      </c>
      <c r="R545" t="b">
        <v>1</v>
      </c>
    </row>
    <row r="546" spans="1:18" hidden="1">
      <c r="A546" t="s">
        <v>706</v>
      </c>
      <c r="B546" t="s">
        <v>1542</v>
      </c>
      <c r="C546" t="s">
        <v>1543</v>
      </c>
      <c r="E546">
        <v>159</v>
      </c>
      <c r="F546">
        <v>821</v>
      </c>
      <c r="G546">
        <v>79</v>
      </c>
      <c r="H546">
        <v>327</v>
      </c>
      <c r="J546" t="s">
        <v>93</v>
      </c>
      <c r="K546" t="b">
        <v>0</v>
      </c>
      <c r="L546">
        <f t="shared" si="8"/>
        <v>238</v>
      </c>
      <c r="M546">
        <f t="shared" si="8"/>
        <v>1148</v>
      </c>
      <c r="N546" t="b">
        <v>0</v>
      </c>
      <c r="O546">
        <v>0</v>
      </c>
      <c r="Q546">
        <v>0</v>
      </c>
      <c r="R546" t="b">
        <v>0</v>
      </c>
    </row>
    <row r="547" spans="1:18" hidden="1">
      <c r="A547" t="s">
        <v>706</v>
      </c>
      <c r="B547" t="s">
        <v>1544</v>
      </c>
      <c r="C547" t="s">
        <v>1545</v>
      </c>
      <c r="E547">
        <v>159</v>
      </c>
      <c r="F547">
        <v>821</v>
      </c>
      <c r="G547">
        <v>79</v>
      </c>
      <c r="H547">
        <v>327</v>
      </c>
      <c r="J547" t="s">
        <v>93</v>
      </c>
      <c r="K547" t="b">
        <v>0</v>
      </c>
      <c r="L547">
        <f t="shared" si="8"/>
        <v>238</v>
      </c>
      <c r="M547">
        <f t="shared" si="8"/>
        <v>1148</v>
      </c>
      <c r="N547" t="b">
        <v>0</v>
      </c>
      <c r="O547">
        <v>0</v>
      </c>
      <c r="Q547">
        <v>0</v>
      </c>
      <c r="R547" t="b">
        <v>0</v>
      </c>
    </row>
    <row r="548" spans="1:18">
      <c r="A548" t="s">
        <v>438</v>
      </c>
      <c r="B548" t="s">
        <v>1546</v>
      </c>
      <c r="C548" t="s">
        <v>1547</v>
      </c>
      <c r="E548">
        <v>198</v>
      </c>
      <c r="F548">
        <v>5688</v>
      </c>
      <c r="G548">
        <v>38</v>
      </c>
      <c r="H548">
        <v>534</v>
      </c>
      <c r="J548" t="s">
        <v>22</v>
      </c>
      <c r="K548" t="b">
        <v>1</v>
      </c>
      <c r="L548">
        <f t="shared" si="8"/>
        <v>236</v>
      </c>
      <c r="M548">
        <f t="shared" si="8"/>
        <v>6222</v>
      </c>
      <c r="N548" t="b">
        <v>0</v>
      </c>
      <c r="O548">
        <v>1</v>
      </c>
      <c r="P548" t="s">
        <v>1548</v>
      </c>
      <c r="Q548">
        <v>2</v>
      </c>
      <c r="R548" t="b">
        <v>1</v>
      </c>
    </row>
    <row r="549" spans="1:18">
      <c r="A549" t="s">
        <v>438</v>
      </c>
      <c r="B549" t="s">
        <v>1549</v>
      </c>
      <c r="C549" t="s">
        <v>1550</v>
      </c>
      <c r="E549">
        <v>193</v>
      </c>
      <c r="F549">
        <v>2723</v>
      </c>
      <c r="G549">
        <v>41</v>
      </c>
      <c r="H549">
        <v>333</v>
      </c>
      <c r="J549" t="s">
        <v>22</v>
      </c>
      <c r="K549" t="b">
        <v>1</v>
      </c>
      <c r="L549">
        <f t="shared" si="8"/>
        <v>234</v>
      </c>
      <c r="M549">
        <f t="shared" si="8"/>
        <v>3056</v>
      </c>
      <c r="N549" t="b">
        <v>0</v>
      </c>
      <c r="O549">
        <v>1</v>
      </c>
      <c r="P549" t="s">
        <v>1551</v>
      </c>
      <c r="Q549">
        <v>2</v>
      </c>
      <c r="R549" t="b">
        <v>1</v>
      </c>
    </row>
    <row r="550" spans="1:18">
      <c r="A550" t="s">
        <v>59</v>
      </c>
      <c r="B550" t="s">
        <v>1552</v>
      </c>
      <c r="C550" t="s">
        <v>1553</v>
      </c>
      <c r="E550">
        <v>124</v>
      </c>
      <c r="F550">
        <v>439</v>
      </c>
      <c r="G550">
        <v>110</v>
      </c>
      <c r="H550">
        <v>487</v>
      </c>
      <c r="J550" t="s">
        <v>22</v>
      </c>
      <c r="K550" t="b">
        <v>1</v>
      </c>
      <c r="L550">
        <f t="shared" si="8"/>
        <v>234</v>
      </c>
      <c r="M550">
        <f t="shared" si="8"/>
        <v>926</v>
      </c>
      <c r="N550" t="b">
        <v>0</v>
      </c>
      <c r="O550">
        <v>1</v>
      </c>
      <c r="P550" t="s">
        <v>1554</v>
      </c>
      <c r="Q550">
        <v>2</v>
      </c>
      <c r="R550" t="b">
        <v>1</v>
      </c>
    </row>
    <row r="551" spans="1:18">
      <c r="A551" t="s">
        <v>87</v>
      </c>
      <c r="B551" t="s">
        <v>1555</v>
      </c>
      <c r="C551" t="s">
        <v>1556</v>
      </c>
      <c r="E551">
        <v>134</v>
      </c>
      <c r="F551">
        <v>3159</v>
      </c>
      <c r="G551">
        <v>100</v>
      </c>
      <c r="H551">
        <v>2405</v>
      </c>
      <c r="J551" t="s">
        <v>22</v>
      </c>
      <c r="K551" t="b">
        <v>1</v>
      </c>
      <c r="L551">
        <f t="shared" si="8"/>
        <v>234</v>
      </c>
      <c r="M551">
        <f t="shared" si="8"/>
        <v>5564</v>
      </c>
      <c r="N551" t="b">
        <v>0</v>
      </c>
      <c r="O551">
        <v>1</v>
      </c>
      <c r="P551" t="s">
        <v>1557</v>
      </c>
      <c r="Q551">
        <v>2</v>
      </c>
      <c r="R551" t="b">
        <v>1</v>
      </c>
    </row>
    <row r="552" spans="1:18" hidden="1">
      <c r="A552" t="s">
        <v>1182</v>
      </c>
      <c r="B552" t="s">
        <v>1558</v>
      </c>
      <c r="C552" t="s">
        <v>1559</v>
      </c>
      <c r="D552" t="s">
        <v>519</v>
      </c>
      <c r="E552">
        <v>102</v>
      </c>
      <c r="F552">
        <v>1734</v>
      </c>
      <c r="G552">
        <v>130</v>
      </c>
      <c r="H552">
        <v>1358</v>
      </c>
      <c r="I552" t="s">
        <v>1185</v>
      </c>
      <c r="J552" t="s">
        <v>93</v>
      </c>
      <c r="K552" t="b">
        <v>0</v>
      </c>
      <c r="L552">
        <f t="shared" si="8"/>
        <v>232</v>
      </c>
      <c r="M552">
        <f t="shared" si="8"/>
        <v>3092</v>
      </c>
      <c r="N552" t="b">
        <v>0</v>
      </c>
      <c r="O552">
        <v>0</v>
      </c>
      <c r="Q552">
        <v>0</v>
      </c>
      <c r="R552" t="b">
        <v>0</v>
      </c>
    </row>
    <row r="553" spans="1:18" hidden="1">
      <c r="A553" t="s">
        <v>1182</v>
      </c>
      <c r="B553" t="s">
        <v>1560</v>
      </c>
      <c r="C553" t="s">
        <v>1561</v>
      </c>
      <c r="D553" t="s">
        <v>519</v>
      </c>
      <c r="E553">
        <v>102</v>
      </c>
      <c r="F553">
        <v>1734</v>
      </c>
      <c r="G553">
        <v>130</v>
      </c>
      <c r="H553">
        <v>1358</v>
      </c>
      <c r="I553" t="s">
        <v>1185</v>
      </c>
      <c r="J553" t="s">
        <v>93</v>
      </c>
      <c r="K553" t="b">
        <v>0</v>
      </c>
      <c r="L553">
        <f t="shared" si="8"/>
        <v>232</v>
      </c>
      <c r="M553">
        <f t="shared" si="8"/>
        <v>3092</v>
      </c>
      <c r="N553" t="b">
        <v>0</v>
      </c>
      <c r="O553">
        <v>0</v>
      </c>
      <c r="Q553">
        <v>0</v>
      </c>
      <c r="R553" t="b">
        <v>0</v>
      </c>
    </row>
    <row r="554" spans="1:18">
      <c r="A554" t="s">
        <v>1562</v>
      </c>
      <c r="B554" t="s">
        <v>1563</v>
      </c>
      <c r="C554" t="s">
        <v>1564</v>
      </c>
      <c r="E554">
        <v>135</v>
      </c>
      <c r="F554">
        <v>301</v>
      </c>
      <c r="G554">
        <v>97</v>
      </c>
      <c r="H554">
        <v>304</v>
      </c>
      <c r="J554" t="s">
        <v>22</v>
      </c>
      <c r="K554" t="b">
        <v>1</v>
      </c>
      <c r="L554">
        <f t="shared" si="8"/>
        <v>232</v>
      </c>
      <c r="M554">
        <f t="shared" si="8"/>
        <v>605</v>
      </c>
      <c r="N554" t="b">
        <v>0</v>
      </c>
      <c r="O554">
        <v>1</v>
      </c>
      <c r="P554" t="s">
        <v>1565</v>
      </c>
      <c r="Q554">
        <v>2</v>
      </c>
      <c r="R554" t="b">
        <v>1</v>
      </c>
    </row>
    <row r="555" spans="1:18">
      <c r="A555" t="s">
        <v>1562</v>
      </c>
      <c r="B555" t="s">
        <v>1566</v>
      </c>
      <c r="C555" t="s">
        <v>1567</v>
      </c>
      <c r="E555">
        <v>134</v>
      </c>
      <c r="F555">
        <v>300</v>
      </c>
      <c r="G555">
        <v>97</v>
      </c>
      <c r="H555">
        <v>304</v>
      </c>
      <c r="J555" t="s">
        <v>22</v>
      </c>
      <c r="K555" t="b">
        <v>1</v>
      </c>
      <c r="L555">
        <f t="shared" si="8"/>
        <v>231</v>
      </c>
      <c r="M555">
        <f t="shared" si="8"/>
        <v>604</v>
      </c>
      <c r="N555" t="b">
        <v>0</v>
      </c>
      <c r="O555">
        <v>1</v>
      </c>
      <c r="P555" t="s">
        <v>1568</v>
      </c>
      <c r="Q555">
        <v>2</v>
      </c>
      <c r="R555" t="b">
        <v>1</v>
      </c>
    </row>
    <row r="556" spans="1:18">
      <c r="A556" t="s">
        <v>1384</v>
      </c>
      <c r="B556" t="s">
        <v>1569</v>
      </c>
      <c r="C556" t="s">
        <v>1570</v>
      </c>
      <c r="E556">
        <v>148</v>
      </c>
      <c r="F556">
        <v>648</v>
      </c>
      <c r="G556">
        <v>83</v>
      </c>
      <c r="H556">
        <v>260</v>
      </c>
      <c r="J556" t="s">
        <v>22</v>
      </c>
      <c r="K556" t="b">
        <v>1</v>
      </c>
      <c r="L556">
        <f t="shared" si="8"/>
        <v>231</v>
      </c>
      <c r="M556">
        <f t="shared" si="8"/>
        <v>908</v>
      </c>
      <c r="N556" t="b">
        <v>0</v>
      </c>
      <c r="O556">
        <v>1</v>
      </c>
      <c r="P556" t="s">
        <v>1571</v>
      </c>
      <c r="Q556">
        <v>2</v>
      </c>
      <c r="R556" t="b">
        <v>1</v>
      </c>
    </row>
    <row r="557" spans="1:18" hidden="1">
      <c r="A557" t="s">
        <v>1227</v>
      </c>
      <c r="B557" t="s">
        <v>1572</v>
      </c>
      <c r="C557" t="s">
        <v>1573</v>
      </c>
      <c r="D557" t="s">
        <v>435</v>
      </c>
      <c r="E557">
        <v>230</v>
      </c>
      <c r="F557">
        <v>4611</v>
      </c>
      <c r="G557">
        <v>0</v>
      </c>
      <c r="H557">
        <v>0</v>
      </c>
      <c r="J557" t="s">
        <v>93</v>
      </c>
      <c r="K557" t="b">
        <v>0</v>
      </c>
      <c r="L557">
        <f t="shared" si="8"/>
        <v>230</v>
      </c>
      <c r="M557">
        <f t="shared" si="8"/>
        <v>4611</v>
      </c>
      <c r="N557" t="b">
        <v>0</v>
      </c>
      <c r="O557">
        <v>0</v>
      </c>
      <c r="Q557">
        <v>0</v>
      </c>
      <c r="R557" t="b">
        <v>0</v>
      </c>
    </row>
    <row r="558" spans="1:18">
      <c r="A558" t="s">
        <v>139</v>
      </c>
      <c r="B558" t="s">
        <v>1574</v>
      </c>
      <c r="C558" t="s">
        <v>1575</v>
      </c>
      <c r="E558">
        <v>139</v>
      </c>
      <c r="F558">
        <v>0</v>
      </c>
      <c r="G558">
        <v>89</v>
      </c>
      <c r="H558">
        <v>1485</v>
      </c>
      <c r="J558" t="s">
        <v>22</v>
      </c>
      <c r="K558" t="b">
        <v>1</v>
      </c>
      <c r="L558">
        <f t="shared" si="8"/>
        <v>228</v>
      </c>
      <c r="M558">
        <f t="shared" si="8"/>
        <v>1485</v>
      </c>
      <c r="N558" t="b">
        <v>0</v>
      </c>
      <c r="O558">
        <v>1</v>
      </c>
      <c r="P558" t="s">
        <v>1576</v>
      </c>
      <c r="Q558">
        <v>2</v>
      </c>
      <c r="R558" t="b">
        <v>1</v>
      </c>
    </row>
    <row r="559" spans="1:18">
      <c r="A559" t="s">
        <v>334</v>
      </c>
      <c r="B559" t="s">
        <v>1577</v>
      </c>
      <c r="C559" t="s">
        <v>1578</v>
      </c>
      <c r="E559">
        <v>141</v>
      </c>
      <c r="F559">
        <v>1013</v>
      </c>
      <c r="G559">
        <v>84</v>
      </c>
      <c r="H559">
        <v>443</v>
      </c>
      <c r="J559" t="s">
        <v>22</v>
      </c>
      <c r="K559" t="b">
        <v>1</v>
      </c>
      <c r="L559">
        <f t="shared" si="8"/>
        <v>225</v>
      </c>
      <c r="M559">
        <f t="shared" si="8"/>
        <v>1456</v>
      </c>
      <c r="N559" t="b">
        <v>0</v>
      </c>
      <c r="O559">
        <v>1</v>
      </c>
      <c r="P559" t="s">
        <v>1579</v>
      </c>
      <c r="Q559">
        <v>2</v>
      </c>
      <c r="R559" t="b">
        <v>1</v>
      </c>
    </row>
    <row r="560" spans="1:18">
      <c r="A560" t="s">
        <v>334</v>
      </c>
      <c r="B560" t="s">
        <v>1580</v>
      </c>
      <c r="C560" t="s">
        <v>1581</v>
      </c>
      <c r="E560">
        <v>143</v>
      </c>
      <c r="F560">
        <v>1023</v>
      </c>
      <c r="G560">
        <v>82</v>
      </c>
      <c r="H560">
        <v>441</v>
      </c>
      <c r="J560" t="s">
        <v>22</v>
      </c>
      <c r="K560" t="b">
        <v>1</v>
      </c>
      <c r="L560">
        <f t="shared" si="8"/>
        <v>225</v>
      </c>
      <c r="M560">
        <f t="shared" si="8"/>
        <v>1464</v>
      </c>
      <c r="N560" t="b">
        <v>0</v>
      </c>
      <c r="O560">
        <v>1</v>
      </c>
      <c r="P560" t="s">
        <v>1582</v>
      </c>
      <c r="Q560">
        <v>2</v>
      </c>
      <c r="R560" t="b">
        <v>1</v>
      </c>
    </row>
    <row r="561" spans="1:18" hidden="1">
      <c r="A561" t="s">
        <v>533</v>
      </c>
      <c r="B561" t="s">
        <v>1583</v>
      </c>
      <c r="C561" t="s">
        <v>1584</v>
      </c>
      <c r="D561" t="s">
        <v>519</v>
      </c>
      <c r="E561">
        <v>145</v>
      </c>
      <c r="F561">
        <v>932</v>
      </c>
      <c r="G561">
        <v>77</v>
      </c>
      <c r="H561">
        <v>1774</v>
      </c>
      <c r="I561" t="s">
        <v>1585</v>
      </c>
      <c r="J561" t="s">
        <v>93</v>
      </c>
      <c r="K561" t="b">
        <v>0</v>
      </c>
      <c r="L561">
        <f t="shared" si="8"/>
        <v>222</v>
      </c>
      <c r="M561">
        <f t="shared" si="8"/>
        <v>2706</v>
      </c>
      <c r="N561" t="b">
        <v>0</v>
      </c>
      <c r="O561">
        <v>0</v>
      </c>
      <c r="Q561">
        <v>0</v>
      </c>
      <c r="R561" t="b">
        <v>0</v>
      </c>
    </row>
    <row r="562" spans="1:18">
      <c r="A562" t="s">
        <v>192</v>
      </c>
      <c r="B562" t="s">
        <v>1586</v>
      </c>
      <c r="C562" t="s">
        <v>1587</v>
      </c>
      <c r="E562">
        <v>145</v>
      </c>
      <c r="F562">
        <v>932</v>
      </c>
      <c r="G562">
        <v>77</v>
      </c>
      <c r="H562">
        <v>1774</v>
      </c>
      <c r="J562" t="s">
        <v>22</v>
      </c>
      <c r="K562" t="b">
        <v>1</v>
      </c>
      <c r="L562">
        <f t="shared" si="8"/>
        <v>222</v>
      </c>
      <c r="M562">
        <f t="shared" si="8"/>
        <v>2706</v>
      </c>
      <c r="N562" t="b">
        <v>0</v>
      </c>
      <c r="O562">
        <v>0</v>
      </c>
      <c r="Q562">
        <v>0</v>
      </c>
      <c r="R562" t="b">
        <v>0</v>
      </c>
    </row>
    <row r="563" spans="1:18" hidden="1">
      <c r="A563" t="s">
        <v>133</v>
      </c>
      <c r="B563" t="s">
        <v>1588</v>
      </c>
      <c r="C563" t="s">
        <v>1589</v>
      </c>
      <c r="D563" s="7" t="s">
        <v>1529</v>
      </c>
      <c r="E563">
        <v>160</v>
      </c>
      <c r="F563">
        <v>2292</v>
      </c>
      <c r="G563">
        <v>60</v>
      </c>
      <c r="H563">
        <v>1753</v>
      </c>
      <c r="J563" t="s">
        <v>93</v>
      </c>
      <c r="K563" t="b">
        <v>1</v>
      </c>
      <c r="L563">
        <f t="shared" si="8"/>
        <v>220</v>
      </c>
      <c r="M563">
        <f t="shared" si="8"/>
        <v>4045</v>
      </c>
      <c r="N563" t="b">
        <v>0</v>
      </c>
      <c r="O563">
        <v>0</v>
      </c>
      <c r="Q563">
        <v>0</v>
      </c>
      <c r="R563" t="b">
        <v>0</v>
      </c>
    </row>
    <row r="564" spans="1:18" hidden="1">
      <c r="A564" t="s">
        <v>690</v>
      </c>
      <c r="B564" t="s">
        <v>1590</v>
      </c>
      <c r="C564" t="s">
        <v>1591</v>
      </c>
      <c r="D564" t="s">
        <v>435</v>
      </c>
      <c r="E564">
        <v>217</v>
      </c>
      <c r="F564">
        <v>4322</v>
      </c>
      <c r="G564">
        <v>0</v>
      </c>
      <c r="H564">
        <v>0</v>
      </c>
      <c r="J564" t="s">
        <v>93</v>
      </c>
      <c r="K564" t="b">
        <v>0</v>
      </c>
      <c r="L564">
        <f t="shared" si="8"/>
        <v>217</v>
      </c>
      <c r="M564">
        <f t="shared" si="8"/>
        <v>4322</v>
      </c>
      <c r="N564" t="b">
        <v>0</v>
      </c>
      <c r="O564">
        <v>0</v>
      </c>
      <c r="Q564">
        <v>0</v>
      </c>
      <c r="R564" t="b">
        <v>0</v>
      </c>
    </row>
    <row r="565" spans="1:18" hidden="1">
      <c r="A565" t="s">
        <v>690</v>
      </c>
      <c r="B565" t="s">
        <v>1592</v>
      </c>
      <c r="C565" t="s">
        <v>1593</v>
      </c>
      <c r="D565" t="s">
        <v>435</v>
      </c>
      <c r="E565">
        <v>217</v>
      </c>
      <c r="F565">
        <v>4322</v>
      </c>
      <c r="G565">
        <v>0</v>
      </c>
      <c r="H565">
        <v>0</v>
      </c>
      <c r="J565" t="s">
        <v>93</v>
      </c>
      <c r="K565" t="b">
        <v>0</v>
      </c>
      <c r="L565">
        <f t="shared" si="8"/>
        <v>217</v>
      </c>
      <c r="M565">
        <f t="shared" si="8"/>
        <v>4322</v>
      </c>
      <c r="N565" t="b">
        <v>0</v>
      </c>
      <c r="O565">
        <v>0</v>
      </c>
      <c r="Q565">
        <v>0</v>
      </c>
      <c r="R565" t="b">
        <v>0</v>
      </c>
    </row>
    <row r="566" spans="1:18" hidden="1">
      <c r="A566" t="s">
        <v>432</v>
      </c>
      <c r="B566" t="s">
        <v>1594</v>
      </c>
      <c r="C566" t="s">
        <v>1595</v>
      </c>
      <c r="D566" t="s">
        <v>519</v>
      </c>
      <c r="E566">
        <v>172</v>
      </c>
      <c r="F566">
        <v>2545</v>
      </c>
      <c r="G566">
        <v>44</v>
      </c>
      <c r="H566">
        <v>520</v>
      </c>
      <c r="I566" t="s">
        <v>1596</v>
      </c>
      <c r="J566" t="s">
        <v>93</v>
      </c>
      <c r="K566" t="b">
        <v>0</v>
      </c>
      <c r="L566">
        <f t="shared" si="8"/>
        <v>216</v>
      </c>
      <c r="M566">
        <f t="shared" si="8"/>
        <v>3065</v>
      </c>
      <c r="N566" t="b">
        <v>0</v>
      </c>
      <c r="O566">
        <v>0</v>
      </c>
      <c r="Q566">
        <v>0</v>
      </c>
      <c r="R566" t="b">
        <v>0</v>
      </c>
    </row>
    <row r="567" spans="1:18" hidden="1">
      <c r="A567" t="s">
        <v>372</v>
      </c>
      <c r="B567" t="s">
        <v>1597</v>
      </c>
      <c r="C567" t="s">
        <v>1598</v>
      </c>
      <c r="D567" t="s">
        <v>519</v>
      </c>
      <c r="E567">
        <v>145</v>
      </c>
      <c r="F567">
        <v>3160</v>
      </c>
      <c r="G567">
        <v>71</v>
      </c>
      <c r="H567">
        <v>1139</v>
      </c>
      <c r="J567" t="s">
        <v>93</v>
      </c>
      <c r="K567" t="b">
        <v>1</v>
      </c>
      <c r="L567">
        <f t="shared" si="8"/>
        <v>216</v>
      </c>
      <c r="M567">
        <f t="shared" si="8"/>
        <v>4299</v>
      </c>
      <c r="N567" t="b">
        <v>0</v>
      </c>
      <c r="O567">
        <v>0</v>
      </c>
      <c r="Q567">
        <v>0</v>
      </c>
      <c r="R567" t="b">
        <v>0</v>
      </c>
    </row>
    <row r="568" spans="1:18" hidden="1">
      <c r="A568" t="s">
        <v>24</v>
      </c>
      <c r="B568" t="s">
        <v>1599</v>
      </c>
      <c r="C568" t="s">
        <v>1600</v>
      </c>
      <c r="E568">
        <v>139</v>
      </c>
      <c r="F568">
        <v>386</v>
      </c>
      <c r="G568">
        <v>77</v>
      </c>
      <c r="H568">
        <v>490</v>
      </c>
      <c r="J568" t="s">
        <v>93</v>
      </c>
      <c r="K568" t="b">
        <v>1</v>
      </c>
      <c r="L568">
        <f t="shared" si="8"/>
        <v>216</v>
      </c>
      <c r="M568">
        <f t="shared" si="8"/>
        <v>876</v>
      </c>
      <c r="N568" t="b">
        <v>0</v>
      </c>
      <c r="O568">
        <v>0</v>
      </c>
      <c r="Q568">
        <v>0</v>
      </c>
      <c r="R568" t="b">
        <v>0</v>
      </c>
    </row>
    <row r="569" spans="1:18">
      <c r="A569" t="s">
        <v>30</v>
      </c>
      <c r="B569" t="s">
        <v>1601</v>
      </c>
      <c r="C569" t="s">
        <v>1602</v>
      </c>
      <c r="E569">
        <v>187</v>
      </c>
      <c r="F569">
        <v>3923</v>
      </c>
      <c r="G569">
        <v>25</v>
      </c>
      <c r="H569">
        <v>555</v>
      </c>
      <c r="J569" t="s">
        <v>22</v>
      </c>
      <c r="K569" t="b">
        <v>1</v>
      </c>
      <c r="L569">
        <f t="shared" si="8"/>
        <v>212</v>
      </c>
      <c r="M569">
        <f t="shared" si="8"/>
        <v>4478</v>
      </c>
      <c r="N569" t="b">
        <v>0</v>
      </c>
      <c r="O569">
        <v>1</v>
      </c>
      <c r="P569" t="s">
        <v>1603</v>
      </c>
      <c r="Q569">
        <v>2</v>
      </c>
      <c r="R569" t="b">
        <v>1</v>
      </c>
    </row>
    <row r="570" spans="1:18" hidden="1">
      <c r="A570" t="s">
        <v>1424</v>
      </c>
      <c r="B570" t="s">
        <v>1604</v>
      </c>
      <c r="C570" t="s">
        <v>1605</v>
      </c>
      <c r="D570" t="s">
        <v>519</v>
      </c>
      <c r="E570">
        <v>136</v>
      </c>
      <c r="F570">
        <v>1458</v>
      </c>
      <c r="G570">
        <v>75</v>
      </c>
      <c r="H570">
        <v>542</v>
      </c>
      <c r="J570" t="s">
        <v>93</v>
      </c>
      <c r="K570" t="b">
        <v>0</v>
      </c>
      <c r="L570">
        <f t="shared" si="8"/>
        <v>211</v>
      </c>
      <c r="M570">
        <f t="shared" si="8"/>
        <v>2000</v>
      </c>
      <c r="N570" t="b">
        <v>0</v>
      </c>
      <c r="O570">
        <v>0</v>
      </c>
      <c r="Q570">
        <v>0</v>
      </c>
      <c r="R570" t="b">
        <v>0</v>
      </c>
    </row>
    <row r="571" spans="1:18">
      <c r="A571" t="s">
        <v>24</v>
      </c>
      <c r="B571" t="s">
        <v>1606</v>
      </c>
      <c r="C571" t="s">
        <v>1607</v>
      </c>
      <c r="E571">
        <v>132</v>
      </c>
      <c r="F571">
        <v>3031</v>
      </c>
      <c r="G571">
        <v>79</v>
      </c>
      <c r="H571">
        <v>1833</v>
      </c>
      <c r="J571" t="s">
        <v>22</v>
      </c>
      <c r="K571" t="b">
        <v>1</v>
      </c>
      <c r="L571">
        <f t="shared" si="8"/>
        <v>211</v>
      </c>
      <c r="M571">
        <f t="shared" si="8"/>
        <v>4864</v>
      </c>
      <c r="N571" t="b">
        <v>0</v>
      </c>
      <c r="O571">
        <v>1</v>
      </c>
      <c r="P571" t="s">
        <v>1608</v>
      </c>
      <c r="Q571">
        <v>2</v>
      </c>
      <c r="R571" t="b">
        <v>1</v>
      </c>
    </row>
    <row r="572" spans="1:18">
      <c r="A572" t="s">
        <v>352</v>
      </c>
      <c r="B572" t="s">
        <v>1609</v>
      </c>
      <c r="C572" t="s">
        <v>1610</v>
      </c>
      <c r="E572">
        <v>149</v>
      </c>
      <c r="F572">
        <v>2516</v>
      </c>
      <c r="G572">
        <v>62</v>
      </c>
      <c r="H572">
        <v>247</v>
      </c>
      <c r="J572" t="s">
        <v>22</v>
      </c>
      <c r="K572" t="b">
        <v>1</v>
      </c>
      <c r="L572">
        <f t="shared" si="8"/>
        <v>211</v>
      </c>
      <c r="M572">
        <f t="shared" si="8"/>
        <v>2763</v>
      </c>
      <c r="N572" t="b">
        <v>0</v>
      </c>
      <c r="O572">
        <v>1</v>
      </c>
      <c r="P572" t="s">
        <v>1611</v>
      </c>
      <c r="Q572">
        <v>1</v>
      </c>
      <c r="R572" t="b">
        <v>1</v>
      </c>
    </row>
    <row r="573" spans="1:18" hidden="1">
      <c r="A573" t="s">
        <v>133</v>
      </c>
      <c r="B573" t="s">
        <v>1612</v>
      </c>
      <c r="C573" t="s">
        <v>1613</v>
      </c>
      <c r="D573" t="s">
        <v>649</v>
      </c>
      <c r="E573">
        <v>132</v>
      </c>
      <c r="F573">
        <v>1744</v>
      </c>
      <c r="G573">
        <v>79</v>
      </c>
      <c r="H573">
        <v>2548</v>
      </c>
      <c r="J573" t="s">
        <v>93</v>
      </c>
      <c r="K573" t="b">
        <v>1</v>
      </c>
      <c r="L573">
        <f t="shared" si="8"/>
        <v>211</v>
      </c>
      <c r="M573">
        <f t="shared" si="8"/>
        <v>4292</v>
      </c>
      <c r="N573" t="b">
        <v>0</v>
      </c>
      <c r="O573">
        <v>0</v>
      </c>
      <c r="Q573">
        <v>0</v>
      </c>
      <c r="R573" t="b">
        <v>0</v>
      </c>
    </row>
    <row r="574" spans="1:18" hidden="1">
      <c r="A574" t="s">
        <v>1424</v>
      </c>
      <c r="B574" t="s">
        <v>1614</v>
      </c>
      <c r="C574" t="s">
        <v>1615</v>
      </c>
      <c r="D574" t="s">
        <v>519</v>
      </c>
      <c r="E574">
        <v>135</v>
      </c>
      <c r="F574">
        <v>1458</v>
      </c>
      <c r="G574">
        <v>75</v>
      </c>
      <c r="H574">
        <v>542</v>
      </c>
      <c r="J574" t="s">
        <v>93</v>
      </c>
      <c r="K574" t="b">
        <v>0</v>
      </c>
      <c r="L574">
        <f t="shared" si="8"/>
        <v>210</v>
      </c>
      <c r="M574">
        <f t="shared" si="8"/>
        <v>2000</v>
      </c>
      <c r="N574" t="b">
        <v>0</v>
      </c>
      <c r="O574">
        <v>0</v>
      </c>
      <c r="Q574">
        <v>0</v>
      </c>
      <c r="R574" t="b">
        <v>0</v>
      </c>
    </row>
    <row r="575" spans="1:18" hidden="1">
      <c r="A575" t="s">
        <v>1424</v>
      </c>
      <c r="B575" t="s">
        <v>1616</v>
      </c>
      <c r="C575" t="s">
        <v>1617</v>
      </c>
      <c r="D575" t="s">
        <v>519</v>
      </c>
      <c r="E575">
        <v>135</v>
      </c>
      <c r="F575">
        <v>1458</v>
      </c>
      <c r="G575">
        <v>75</v>
      </c>
      <c r="H575">
        <v>542</v>
      </c>
      <c r="J575" t="s">
        <v>93</v>
      </c>
      <c r="K575" t="b">
        <v>0</v>
      </c>
      <c r="L575">
        <f t="shared" si="8"/>
        <v>210</v>
      </c>
      <c r="M575">
        <f t="shared" si="8"/>
        <v>2000</v>
      </c>
      <c r="N575" t="b">
        <v>0</v>
      </c>
      <c r="O575">
        <v>0</v>
      </c>
      <c r="Q575">
        <v>0</v>
      </c>
      <c r="R575" t="b">
        <v>0</v>
      </c>
    </row>
    <row r="576" spans="1:18">
      <c r="A576" t="s">
        <v>205</v>
      </c>
      <c r="B576" t="s">
        <v>1618</v>
      </c>
      <c r="C576" t="s">
        <v>1619</v>
      </c>
      <c r="E576">
        <v>142</v>
      </c>
      <c r="F576">
        <v>269</v>
      </c>
      <c r="G576">
        <v>66</v>
      </c>
      <c r="H576">
        <v>136</v>
      </c>
      <c r="J576" t="s">
        <v>22</v>
      </c>
      <c r="K576" t="b">
        <v>1</v>
      </c>
      <c r="L576">
        <f t="shared" si="8"/>
        <v>208</v>
      </c>
      <c r="M576">
        <f t="shared" si="8"/>
        <v>405</v>
      </c>
      <c r="N576" t="b">
        <v>0</v>
      </c>
      <c r="O576">
        <v>1</v>
      </c>
      <c r="P576" t="s">
        <v>377</v>
      </c>
      <c r="Q576">
        <v>2</v>
      </c>
      <c r="R576" t="b">
        <v>1</v>
      </c>
    </row>
    <row r="577" spans="1:18" hidden="1">
      <c r="A577" t="s">
        <v>24</v>
      </c>
      <c r="B577" t="s">
        <v>1620</v>
      </c>
      <c r="C577" t="s">
        <v>1621</v>
      </c>
      <c r="E577">
        <v>133</v>
      </c>
      <c r="F577">
        <v>378</v>
      </c>
      <c r="G577">
        <v>74</v>
      </c>
      <c r="H577">
        <v>483</v>
      </c>
      <c r="J577" t="s">
        <v>93</v>
      </c>
      <c r="K577" t="b">
        <v>1</v>
      </c>
      <c r="L577">
        <f t="shared" si="8"/>
        <v>207</v>
      </c>
      <c r="M577">
        <f t="shared" si="8"/>
        <v>861</v>
      </c>
      <c r="N577" t="b">
        <v>0</v>
      </c>
      <c r="O577">
        <v>0</v>
      </c>
      <c r="Q577">
        <v>0</v>
      </c>
      <c r="R577" t="b">
        <v>0</v>
      </c>
    </row>
    <row r="578" spans="1:18">
      <c r="A578" t="s">
        <v>24</v>
      </c>
      <c r="B578" t="s">
        <v>1622</v>
      </c>
      <c r="C578" t="s">
        <v>1623</v>
      </c>
      <c r="E578">
        <v>146</v>
      </c>
      <c r="F578">
        <v>825</v>
      </c>
      <c r="G578">
        <v>61</v>
      </c>
      <c r="H578">
        <v>1342</v>
      </c>
      <c r="J578" t="s">
        <v>22</v>
      </c>
      <c r="K578" t="b">
        <v>1</v>
      </c>
      <c r="L578">
        <f t="shared" si="8"/>
        <v>207</v>
      </c>
      <c r="M578">
        <f t="shared" si="8"/>
        <v>2167</v>
      </c>
      <c r="N578" t="b">
        <v>0</v>
      </c>
      <c r="O578">
        <v>1</v>
      </c>
      <c r="P578" t="s">
        <v>1624</v>
      </c>
      <c r="Q578">
        <v>2</v>
      </c>
      <c r="R578" t="b">
        <v>1</v>
      </c>
    </row>
    <row r="579" spans="1:18">
      <c r="A579" t="s">
        <v>1625</v>
      </c>
      <c r="B579" t="s">
        <v>1626</v>
      </c>
      <c r="C579" t="s">
        <v>1627</v>
      </c>
      <c r="E579">
        <v>119</v>
      </c>
      <c r="F579">
        <v>274</v>
      </c>
      <c r="G579">
        <v>88</v>
      </c>
      <c r="H579">
        <v>282</v>
      </c>
      <c r="J579" t="s">
        <v>22</v>
      </c>
      <c r="K579" t="b">
        <v>1</v>
      </c>
      <c r="L579">
        <f t="shared" ref="L579:M642" si="9">E579+G579</f>
        <v>207</v>
      </c>
      <c r="M579">
        <f t="shared" si="9"/>
        <v>556</v>
      </c>
      <c r="N579" t="b">
        <v>0</v>
      </c>
      <c r="O579">
        <v>1</v>
      </c>
      <c r="P579" t="s">
        <v>1628</v>
      </c>
      <c r="Q579">
        <v>2</v>
      </c>
      <c r="R579" t="b">
        <v>1</v>
      </c>
    </row>
    <row r="580" spans="1:18">
      <c r="A580" t="s">
        <v>1625</v>
      </c>
      <c r="B580" t="s">
        <v>1629</v>
      </c>
      <c r="C580" t="s">
        <v>1630</v>
      </c>
      <c r="E580">
        <v>119</v>
      </c>
      <c r="F580">
        <v>274</v>
      </c>
      <c r="G580">
        <v>88</v>
      </c>
      <c r="H580">
        <v>282</v>
      </c>
      <c r="J580" t="s">
        <v>22</v>
      </c>
      <c r="K580" t="b">
        <v>1</v>
      </c>
      <c r="L580">
        <f t="shared" si="9"/>
        <v>207</v>
      </c>
      <c r="M580">
        <f t="shared" si="9"/>
        <v>556</v>
      </c>
      <c r="N580" t="b">
        <v>0</v>
      </c>
      <c r="O580">
        <v>1</v>
      </c>
      <c r="P580" t="s">
        <v>1631</v>
      </c>
      <c r="Q580">
        <v>2</v>
      </c>
      <c r="R580" t="b">
        <v>1</v>
      </c>
    </row>
    <row r="581" spans="1:18">
      <c r="A581" t="s">
        <v>1625</v>
      </c>
      <c r="B581" t="s">
        <v>1632</v>
      </c>
      <c r="C581" t="s">
        <v>1633</v>
      </c>
      <c r="E581">
        <v>119</v>
      </c>
      <c r="F581">
        <v>274</v>
      </c>
      <c r="G581">
        <v>88</v>
      </c>
      <c r="H581">
        <v>282</v>
      </c>
      <c r="J581" t="s">
        <v>22</v>
      </c>
      <c r="K581" t="b">
        <v>1</v>
      </c>
      <c r="L581">
        <f t="shared" si="9"/>
        <v>207</v>
      </c>
      <c r="M581">
        <f t="shared" si="9"/>
        <v>556</v>
      </c>
      <c r="N581" t="b">
        <v>0</v>
      </c>
      <c r="O581">
        <v>1</v>
      </c>
      <c r="P581" t="s">
        <v>1634</v>
      </c>
      <c r="Q581">
        <v>2</v>
      </c>
      <c r="R581" t="b">
        <v>1</v>
      </c>
    </row>
    <row r="582" spans="1:18" hidden="1">
      <c r="A582" t="s">
        <v>192</v>
      </c>
      <c r="B582" t="s">
        <v>1635</v>
      </c>
      <c r="C582" t="s">
        <v>1636</v>
      </c>
      <c r="E582">
        <v>133</v>
      </c>
      <c r="F582">
        <v>378</v>
      </c>
      <c r="G582">
        <v>74</v>
      </c>
      <c r="H582">
        <v>483</v>
      </c>
      <c r="J582" t="s">
        <v>93</v>
      </c>
      <c r="K582" t="b">
        <v>1</v>
      </c>
      <c r="L582">
        <f t="shared" si="9"/>
        <v>207</v>
      </c>
      <c r="M582">
        <f t="shared" si="9"/>
        <v>861</v>
      </c>
      <c r="N582" t="b">
        <v>0</v>
      </c>
      <c r="O582">
        <v>0</v>
      </c>
      <c r="Q582">
        <v>0</v>
      </c>
      <c r="R582" t="b">
        <v>0</v>
      </c>
    </row>
    <row r="583" spans="1:18" hidden="1">
      <c r="A583" t="s">
        <v>192</v>
      </c>
      <c r="B583" t="s">
        <v>1637</v>
      </c>
      <c r="C583" t="s">
        <v>1638</v>
      </c>
      <c r="E583">
        <v>133</v>
      </c>
      <c r="F583">
        <v>378</v>
      </c>
      <c r="G583">
        <v>74</v>
      </c>
      <c r="H583">
        <v>483</v>
      </c>
      <c r="J583" t="s">
        <v>93</v>
      </c>
      <c r="K583" t="b">
        <v>1</v>
      </c>
      <c r="L583">
        <f t="shared" si="9"/>
        <v>207</v>
      </c>
      <c r="M583">
        <f t="shared" si="9"/>
        <v>861</v>
      </c>
      <c r="N583" t="b">
        <v>0</v>
      </c>
      <c r="O583">
        <v>0</v>
      </c>
      <c r="Q583">
        <v>0</v>
      </c>
      <c r="R583" t="b">
        <v>0</v>
      </c>
    </row>
    <row r="584" spans="1:18">
      <c r="A584" t="s">
        <v>498</v>
      </c>
      <c r="B584" t="s">
        <v>1639</v>
      </c>
      <c r="C584" t="s">
        <v>1640</v>
      </c>
      <c r="E584">
        <v>161</v>
      </c>
      <c r="F584">
        <v>2948</v>
      </c>
      <c r="G584">
        <v>45</v>
      </c>
      <c r="H584">
        <v>1051</v>
      </c>
      <c r="J584" t="s">
        <v>22</v>
      </c>
      <c r="K584" t="b">
        <v>1</v>
      </c>
      <c r="L584">
        <f t="shared" si="9"/>
        <v>206</v>
      </c>
      <c r="M584">
        <f t="shared" si="9"/>
        <v>3999</v>
      </c>
      <c r="N584" t="b">
        <v>0</v>
      </c>
      <c r="O584">
        <v>1</v>
      </c>
      <c r="P584" t="s">
        <v>1641</v>
      </c>
      <c r="Q584">
        <v>2</v>
      </c>
      <c r="R584" t="b">
        <v>1</v>
      </c>
    </row>
    <row r="585" spans="1:18" hidden="1">
      <c r="A585" t="s">
        <v>235</v>
      </c>
      <c r="B585" t="s">
        <v>1642</v>
      </c>
      <c r="C585" t="s">
        <v>1643</v>
      </c>
      <c r="D585" t="s">
        <v>93</v>
      </c>
      <c r="E585">
        <v>126</v>
      </c>
      <c r="F585">
        <v>781</v>
      </c>
      <c r="G585">
        <v>77</v>
      </c>
      <c r="H585">
        <v>329</v>
      </c>
      <c r="I585" t="s">
        <v>1278</v>
      </c>
      <c r="J585" t="s">
        <v>93</v>
      </c>
      <c r="K585" t="b">
        <v>1</v>
      </c>
      <c r="L585">
        <f t="shared" si="9"/>
        <v>203</v>
      </c>
      <c r="M585">
        <f t="shared" si="9"/>
        <v>1110</v>
      </c>
      <c r="N585" t="b">
        <v>0</v>
      </c>
      <c r="O585">
        <v>0</v>
      </c>
      <c r="Q585">
        <v>0</v>
      </c>
      <c r="R585" t="b">
        <v>0</v>
      </c>
    </row>
    <row r="586" spans="1:18">
      <c r="A586" t="s">
        <v>1224</v>
      </c>
      <c r="B586" t="s">
        <v>1644</v>
      </c>
      <c r="C586" t="s">
        <v>1645</v>
      </c>
      <c r="E586">
        <v>145</v>
      </c>
      <c r="F586">
        <v>1324</v>
      </c>
      <c r="G586">
        <v>58</v>
      </c>
      <c r="H586">
        <v>390</v>
      </c>
      <c r="J586" t="s">
        <v>22</v>
      </c>
      <c r="K586" t="b">
        <v>1</v>
      </c>
      <c r="L586">
        <f t="shared" si="9"/>
        <v>203</v>
      </c>
      <c r="M586">
        <f t="shared" si="9"/>
        <v>1714</v>
      </c>
      <c r="N586" t="b">
        <v>0</v>
      </c>
      <c r="O586">
        <v>1</v>
      </c>
      <c r="P586" t="s">
        <v>1646</v>
      </c>
      <c r="Q586">
        <v>2</v>
      </c>
      <c r="R586" t="b">
        <v>1</v>
      </c>
    </row>
    <row r="587" spans="1:18">
      <c r="A587" t="s">
        <v>1143</v>
      </c>
      <c r="B587" t="s">
        <v>1647</v>
      </c>
      <c r="C587" t="s">
        <v>1648</v>
      </c>
      <c r="E587">
        <v>0</v>
      </c>
      <c r="F587">
        <v>0</v>
      </c>
      <c r="G587">
        <v>203</v>
      </c>
      <c r="H587">
        <v>915</v>
      </c>
      <c r="J587" t="s">
        <v>22</v>
      </c>
      <c r="K587" t="b">
        <v>1</v>
      </c>
      <c r="L587">
        <f t="shared" si="9"/>
        <v>203</v>
      </c>
      <c r="M587">
        <f t="shared" si="9"/>
        <v>915</v>
      </c>
      <c r="N587" t="b">
        <v>0</v>
      </c>
      <c r="O587">
        <v>1</v>
      </c>
      <c r="P587" t="s">
        <v>1649</v>
      </c>
      <c r="Q587">
        <v>2</v>
      </c>
      <c r="R587" t="b">
        <v>1</v>
      </c>
    </row>
    <row r="588" spans="1:18">
      <c r="A588" t="s">
        <v>1167</v>
      </c>
      <c r="B588" t="s">
        <v>1650</v>
      </c>
      <c r="C588" t="s">
        <v>1651</v>
      </c>
      <c r="E588">
        <v>156</v>
      </c>
      <c r="F588">
        <v>5296</v>
      </c>
      <c r="G588">
        <v>46</v>
      </c>
      <c r="H588">
        <v>287</v>
      </c>
      <c r="J588" t="s">
        <v>22</v>
      </c>
      <c r="K588" t="b">
        <v>1</v>
      </c>
      <c r="L588">
        <f t="shared" si="9"/>
        <v>202</v>
      </c>
      <c r="M588">
        <f t="shared" si="9"/>
        <v>5583</v>
      </c>
      <c r="N588" t="b">
        <v>0</v>
      </c>
      <c r="O588">
        <v>1</v>
      </c>
      <c r="P588" t="s">
        <v>1652</v>
      </c>
      <c r="Q588">
        <v>2</v>
      </c>
      <c r="R588" t="b">
        <v>1</v>
      </c>
    </row>
    <row r="589" spans="1:18" hidden="1">
      <c r="A589" t="s">
        <v>1227</v>
      </c>
      <c r="B589" t="s">
        <v>1653</v>
      </c>
      <c r="C589" t="s">
        <v>1654</v>
      </c>
      <c r="D589" t="s">
        <v>435</v>
      </c>
      <c r="E589">
        <v>201</v>
      </c>
      <c r="F589">
        <v>4260</v>
      </c>
      <c r="G589">
        <v>0</v>
      </c>
      <c r="H589">
        <v>0</v>
      </c>
      <c r="J589" t="s">
        <v>93</v>
      </c>
      <c r="K589" t="b">
        <v>0</v>
      </c>
      <c r="L589">
        <f t="shared" si="9"/>
        <v>201</v>
      </c>
      <c r="M589">
        <f t="shared" si="9"/>
        <v>4260</v>
      </c>
      <c r="N589" t="b">
        <v>0</v>
      </c>
      <c r="O589">
        <v>0</v>
      </c>
      <c r="Q589">
        <v>0</v>
      </c>
      <c r="R589" t="b">
        <v>0</v>
      </c>
    </row>
    <row r="590" spans="1:18" hidden="1">
      <c r="A590" t="s">
        <v>1227</v>
      </c>
      <c r="B590" t="s">
        <v>1655</v>
      </c>
      <c r="C590" t="s">
        <v>1656</v>
      </c>
      <c r="D590" t="s">
        <v>435</v>
      </c>
      <c r="E590">
        <v>201</v>
      </c>
      <c r="F590">
        <v>4260</v>
      </c>
      <c r="G590">
        <v>0</v>
      </c>
      <c r="H590">
        <v>0</v>
      </c>
      <c r="J590" t="s">
        <v>93</v>
      </c>
      <c r="K590" t="b">
        <v>0</v>
      </c>
      <c r="L590">
        <f t="shared" si="9"/>
        <v>201</v>
      </c>
      <c r="M590">
        <f t="shared" si="9"/>
        <v>4260</v>
      </c>
      <c r="N590" t="b">
        <v>0</v>
      </c>
      <c r="O590">
        <v>0</v>
      </c>
      <c r="Q590">
        <v>0</v>
      </c>
      <c r="R590" t="b">
        <v>0</v>
      </c>
    </row>
    <row r="591" spans="1:18">
      <c r="A591" t="s">
        <v>24</v>
      </c>
      <c r="B591" t="s">
        <v>1657</v>
      </c>
      <c r="C591" t="s">
        <v>1658</v>
      </c>
      <c r="E591">
        <v>140</v>
      </c>
      <c r="F591">
        <v>1530</v>
      </c>
      <c r="G591">
        <v>61</v>
      </c>
      <c r="H591">
        <v>716</v>
      </c>
      <c r="J591" t="s">
        <v>22</v>
      </c>
      <c r="K591" t="b">
        <v>1</v>
      </c>
      <c r="L591">
        <f t="shared" si="9"/>
        <v>201</v>
      </c>
      <c r="M591">
        <f t="shared" si="9"/>
        <v>2246</v>
      </c>
      <c r="N591" t="b">
        <v>0</v>
      </c>
      <c r="O591">
        <v>1</v>
      </c>
      <c r="P591" t="s">
        <v>1659</v>
      </c>
      <c r="Q591">
        <v>2</v>
      </c>
      <c r="R591" t="b">
        <v>1</v>
      </c>
    </row>
    <row r="592" spans="1:18">
      <c r="A592" t="s">
        <v>394</v>
      </c>
      <c r="B592" t="s">
        <v>1660</v>
      </c>
      <c r="C592" t="s">
        <v>1661</v>
      </c>
      <c r="E592">
        <v>119</v>
      </c>
      <c r="F592">
        <v>995</v>
      </c>
      <c r="G592">
        <v>82</v>
      </c>
      <c r="H592">
        <v>282</v>
      </c>
      <c r="J592" t="s">
        <v>22</v>
      </c>
      <c r="K592" t="b">
        <v>1</v>
      </c>
      <c r="L592">
        <f t="shared" si="9"/>
        <v>201</v>
      </c>
      <c r="M592">
        <f t="shared" si="9"/>
        <v>1277</v>
      </c>
      <c r="N592" t="b">
        <v>0</v>
      </c>
      <c r="O592">
        <v>1</v>
      </c>
      <c r="P592" t="s">
        <v>1662</v>
      </c>
      <c r="Q592">
        <v>2</v>
      </c>
      <c r="R592" t="b">
        <v>1</v>
      </c>
    </row>
    <row r="593" spans="1:18">
      <c r="A593" t="s">
        <v>24</v>
      </c>
      <c r="B593" t="s">
        <v>1663</v>
      </c>
      <c r="C593" t="s">
        <v>1664</v>
      </c>
      <c r="E593">
        <v>156</v>
      </c>
      <c r="F593">
        <v>2664</v>
      </c>
      <c r="G593">
        <v>44</v>
      </c>
      <c r="H593">
        <v>555</v>
      </c>
      <c r="J593" t="s">
        <v>22</v>
      </c>
      <c r="K593" t="b">
        <v>1</v>
      </c>
      <c r="L593">
        <f t="shared" si="9"/>
        <v>200</v>
      </c>
      <c r="M593">
        <f t="shared" si="9"/>
        <v>3219</v>
      </c>
      <c r="N593" t="b">
        <v>0</v>
      </c>
      <c r="O593">
        <v>1</v>
      </c>
      <c r="P593" t="s">
        <v>1665</v>
      </c>
      <c r="Q593">
        <v>1</v>
      </c>
      <c r="R593" t="b">
        <v>1</v>
      </c>
    </row>
    <row r="594" spans="1:18">
      <c r="A594" t="s">
        <v>235</v>
      </c>
      <c r="B594" t="s">
        <v>1666</v>
      </c>
      <c r="C594" t="s">
        <v>1667</v>
      </c>
      <c r="E594">
        <v>143</v>
      </c>
      <c r="F594">
        <v>11125</v>
      </c>
      <c r="G594">
        <v>51</v>
      </c>
      <c r="H594">
        <v>455</v>
      </c>
      <c r="J594" t="s">
        <v>22</v>
      </c>
      <c r="K594" t="b">
        <v>1</v>
      </c>
      <c r="L594">
        <f t="shared" si="9"/>
        <v>194</v>
      </c>
      <c r="M594">
        <f t="shared" si="9"/>
        <v>11580</v>
      </c>
      <c r="N594" t="b">
        <v>0</v>
      </c>
      <c r="O594">
        <v>1</v>
      </c>
      <c r="P594" t="s">
        <v>1668</v>
      </c>
      <c r="Q594">
        <v>2</v>
      </c>
      <c r="R594" t="b">
        <v>1</v>
      </c>
    </row>
    <row r="595" spans="1:18">
      <c r="A595" t="s">
        <v>87</v>
      </c>
      <c r="B595" t="s">
        <v>1669</v>
      </c>
      <c r="C595" t="s">
        <v>1670</v>
      </c>
      <c r="E595">
        <v>0</v>
      </c>
      <c r="F595">
        <v>0</v>
      </c>
      <c r="G595">
        <v>193</v>
      </c>
      <c r="H595">
        <v>1542</v>
      </c>
      <c r="J595" t="s">
        <v>22</v>
      </c>
      <c r="K595" t="b">
        <v>1</v>
      </c>
      <c r="L595">
        <f t="shared" si="9"/>
        <v>193</v>
      </c>
      <c r="M595">
        <f t="shared" si="9"/>
        <v>1542</v>
      </c>
      <c r="N595" t="b">
        <v>0</v>
      </c>
      <c r="O595">
        <v>1</v>
      </c>
      <c r="P595" t="s">
        <v>1671</v>
      </c>
      <c r="Q595">
        <v>2</v>
      </c>
      <c r="R595" t="b">
        <v>1</v>
      </c>
    </row>
    <row r="596" spans="1:18" hidden="1">
      <c r="A596" t="s">
        <v>24</v>
      </c>
      <c r="B596" t="s">
        <v>1672</v>
      </c>
      <c r="C596" t="s">
        <v>1673</v>
      </c>
      <c r="E596">
        <v>143</v>
      </c>
      <c r="F596">
        <v>239</v>
      </c>
      <c r="G596">
        <v>50</v>
      </c>
      <c r="H596">
        <v>64</v>
      </c>
      <c r="J596" t="s">
        <v>93</v>
      </c>
      <c r="K596" t="b">
        <v>1</v>
      </c>
      <c r="L596">
        <f t="shared" si="9"/>
        <v>193</v>
      </c>
      <c r="M596">
        <f t="shared" si="9"/>
        <v>303</v>
      </c>
      <c r="N596" t="b">
        <v>0</v>
      </c>
      <c r="O596">
        <v>0</v>
      </c>
      <c r="Q596">
        <v>0</v>
      </c>
      <c r="R596" t="b">
        <v>0</v>
      </c>
    </row>
    <row r="597" spans="1:18" hidden="1">
      <c r="A597" t="s">
        <v>19</v>
      </c>
      <c r="B597" t="s">
        <v>1674</v>
      </c>
      <c r="C597" t="s">
        <v>1675</v>
      </c>
      <c r="D597" t="s">
        <v>519</v>
      </c>
      <c r="E597">
        <v>114</v>
      </c>
      <c r="F597">
        <v>426</v>
      </c>
      <c r="G597">
        <v>77</v>
      </c>
      <c r="H597">
        <v>478</v>
      </c>
      <c r="I597" t="s">
        <v>1676</v>
      </c>
      <c r="J597" t="s">
        <v>93</v>
      </c>
      <c r="K597" t="b">
        <v>1</v>
      </c>
      <c r="L597">
        <f t="shared" si="9"/>
        <v>191</v>
      </c>
      <c r="M597">
        <f t="shared" si="9"/>
        <v>904</v>
      </c>
      <c r="N597" t="b">
        <v>0</v>
      </c>
      <c r="O597">
        <v>0</v>
      </c>
      <c r="Q597">
        <v>0</v>
      </c>
      <c r="R597" t="b">
        <v>0</v>
      </c>
    </row>
    <row r="598" spans="1:18">
      <c r="A598" t="s">
        <v>1224</v>
      </c>
      <c r="B598" t="s">
        <v>1677</v>
      </c>
      <c r="C598" t="s">
        <v>1678</v>
      </c>
      <c r="E598">
        <v>139</v>
      </c>
      <c r="F598">
        <v>1179</v>
      </c>
      <c r="G598">
        <v>51</v>
      </c>
      <c r="H598">
        <v>368</v>
      </c>
      <c r="J598" t="s">
        <v>22</v>
      </c>
      <c r="K598" t="b">
        <v>1</v>
      </c>
      <c r="L598">
        <f t="shared" si="9"/>
        <v>190</v>
      </c>
      <c r="M598">
        <f t="shared" si="9"/>
        <v>1547</v>
      </c>
      <c r="N598" t="b">
        <v>0</v>
      </c>
      <c r="O598">
        <v>1</v>
      </c>
      <c r="P598" t="s">
        <v>1679</v>
      </c>
      <c r="Q598">
        <v>2</v>
      </c>
      <c r="R598" t="b">
        <v>1</v>
      </c>
    </row>
    <row r="599" spans="1:18">
      <c r="A599" t="s">
        <v>24</v>
      </c>
      <c r="B599" t="s">
        <v>1680</v>
      </c>
      <c r="C599" t="s">
        <v>1681</v>
      </c>
      <c r="E599">
        <v>148</v>
      </c>
      <c r="F599">
        <v>2566</v>
      </c>
      <c r="G599">
        <v>42</v>
      </c>
      <c r="H599">
        <v>244</v>
      </c>
      <c r="J599" t="s">
        <v>22</v>
      </c>
      <c r="K599" t="b">
        <v>1</v>
      </c>
      <c r="L599">
        <f t="shared" si="9"/>
        <v>190</v>
      </c>
      <c r="M599">
        <f t="shared" si="9"/>
        <v>2810</v>
      </c>
      <c r="N599" t="b">
        <v>0</v>
      </c>
      <c r="O599">
        <v>1</v>
      </c>
      <c r="P599" t="s">
        <v>976</v>
      </c>
      <c r="Q599">
        <v>2</v>
      </c>
      <c r="R599" t="b">
        <v>1</v>
      </c>
    </row>
    <row r="600" spans="1:18" hidden="1">
      <c r="A600" t="s">
        <v>133</v>
      </c>
      <c r="B600" t="s">
        <v>1682</v>
      </c>
      <c r="C600" t="s">
        <v>1683</v>
      </c>
      <c r="D600" t="s">
        <v>649</v>
      </c>
      <c r="E600">
        <v>132</v>
      </c>
      <c r="F600">
        <v>1283</v>
      </c>
      <c r="G600">
        <v>57</v>
      </c>
      <c r="H600">
        <v>1949</v>
      </c>
      <c r="J600" t="s">
        <v>93</v>
      </c>
      <c r="K600" t="b">
        <v>1</v>
      </c>
      <c r="L600">
        <f t="shared" si="9"/>
        <v>189</v>
      </c>
      <c r="M600">
        <f t="shared" si="9"/>
        <v>3232</v>
      </c>
      <c r="N600" t="b">
        <v>0</v>
      </c>
      <c r="O600">
        <v>0.5</v>
      </c>
      <c r="P600" t="s">
        <v>1684</v>
      </c>
      <c r="Q600">
        <v>4</v>
      </c>
      <c r="R600" t="b">
        <v>1</v>
      </c>
    </row>
    <row r="601" spans="1:18">
      <c r="A601" t="s">
        <v>24</v>
      </c>
      <c r="B601" t="s">
        <v>1685</v>
      </c>
      <c r="C601" t="s">
        <v>1686</v>
      </c>
      <c r="E601">
        <v>148</v>
      </c>
      <c r="F601">
        <v>2540</v>
      </c>
      <c r="G601">
        <v>40</v>
      </c>
      <c r="H601">
        <v>381</v>
      </c>
      <c r="J601" t="s">
        <v>22</v>
      </c>
      <c r="K601" t="b">
        <v>1</v>
      </c>
      <c r="L601">
        <f t="shared" si="9"/>
        <v>188</v>
      </c>
      <c r="M601">
        <f t="shared" si="9"/>
        <v>2921</v>
      </c>
      <c r="N601" t="b">
        <v>0</v>
      </c>
      <c r="O601">
        <v>0</v>
      </c>
      <c r="Q601">
        <v>0</v>
      </c>
      <c r="R601" t="b">
        <v>0</v>
      </c>
    </row>
    <row r="602" spans="1:18">
      <c r="A602" t="s">
        <v>1224</v>
      </c>
      <c r="B602" t="s">
        <v>1687</v>
      </c>
      <c r="C602" t="s">
        <v>1688</v>
      </c>
      <c r="E602">
        <v>136</v>
      </c>
      <c r="F602">
        <v>962</v>
      </c>
      <c r="G602">
        <v>51</v>
      </c>
      <c r="H602">
        <v>366</v>
      </c>
      <c r="J602" t="s">
        <v>22</v>
      </c>
      <c r="K602" t="b">
        <v>1</v>
      </c>
      <c r="L602">
        <f t="shared" si="9"/>
        <v>187</v>
      </c>
      <c r="M602">
        <f t="shared" si="9"/>
        <v>1328</v>
      </c>
      <c r="N602" t="b">
        <v>0</v>
      </c>
      <c r="O602">
        <v>1</v>
      </c>
      <c r="P602" t="s">
        <v>1689</v>
      </c>
      <c r="Q602">
        <v>2</v>
      </c>
      <c r="R602" t="b">
        <v>1</v>
      </c>
    </row>
    <row r="603" spans="1:18">
      <c r="A603" t="s">
        <v>1143</v>
      </c>
      <c r="B603" t="s">
        <v>1690</v>
      </c>
      <c r="C603" t="s">
        <v>1691</v>
      </c>
      <c r="E603">
        <v>0</v>
      </c>
      <c r="F603">
        <v>0</v>
      </c>
      <c r="G603">
        <v>186</v>
      </c>
      <c r="H603">
        <v>770</v>
      </c>
      <c r="J603" t="s">
        <v>22</v>
      </c>
      <c r="K603" t="b">
        <v>1</v>
      </c>
      <c r="L603">
        <f t="shared" si="9"/>
        <v>186</v>
      </c>
      <c r="M603">
        <f t="shared" si="9"/>
        <v>770</v>
      </c>
      <c r="N603" t="b">
        <v>0</v>
      </c>
      <c r="O603">
        <v>1</v>
      </c>
      <c r="P603" t="s">
        <v>1692</v>
      </c>
      <c r="Q603">
        <v>2</v>
      </c>
      <c r="R603" t="b">
        <v>1</v>
      </c>
    </row>
    <row r="604" spans="1:18" hidden="1">
      <c r="A604" t="s">
        <v>1424</v>
      </c>
      <c r="B604" t="s">
        <v>1693</v>
      </c>
      <c r="C604" t="s">
        <v>1694</v>
      </c>
      <c r="E604">
        <v>117</v>
      </c>
      <c r="F604">
        <v>1424</v>
      </c>
      <c r="G604">
        <v>68</v>
      </c>
      <c r="H604">
        <v>525</v>
      </c>
      <c r="J604" t="s">
        <v>93</v>
      </c>
      <c r="K604" t="b">
        <v>0</v>
      </c>
      <c r="L604">
        <f t="shared" si="9"/>
        <v>185</v>
      </c>
      <c r="M604">
        <f t="shared" si="9"/>
        <v>1949</v>
      </c>
      <c r="N604" t="b">
        <v>0</v>
      </c>
      <c r="O604">
        <v>0</v>
      </c>
      <c r="Q604">
        <v>0</v>
      </c>
      <c r="R604" t="b">
        <v>0</v>
      </c>
    </row>
    <row r="605" spans="1:18">
      <c r="A605" t="s">
        <v>1224</v>
      </c>
      <c r="B605" t="s">
        <v>1695</v>
      </c>
      <c r="C605" t="s">
        <v>1696</v>
      </c>
      <c r="E605">
        <v>135</v>
      </c>
      <c r="F605">
        <v>981</v>
      </c>
      <c r="G605">
        <v>50</v>
      </c>
      <c r="H605">
        <v>357</v>
      </c>
      <c r="J605" t="s">
        <v>22</v>
      </c>
      <c r="K605" t="b">
        <v>1</v>
      </c>
      <c r="L605">
        <f t="shared" si="9"/>
        <v>185</v>
      </c>
      <c r="M605">
        <f t="shared" si="9"/>
        <v>1338</v>
      </c>
      <c r="N605" t="b">
        <v>0</v>
      </c>
      <c r="O605">
        <v>1</v>
      </c>
      <c r="P605" t="s">
        <v>1697</v>
      </c>
      <c r="Q605">
        <v>2</v>
      </c>
      <c r="R605" t="b">
        <v>1</v>
      </c>
    </row>
    <row r="606" spans="1:18">
      <c r="A606" t="s">
        <v>857</v>
      </c>
      <c r="B606" t="s">
        <v>1698</v>
      </c>
      <c r="C606" t="s">
        <v>1699</v>
      </c>
      <c r="E606">
        <v>98</v>
      </c>
      <c r="F606">
        <v>389</v>
      </c>
      <c r="G606">
        <v>86</v>
      </c>
      <c r="H606">
        <v>282</v>
      </c>
      <c r="J606" t="s">
        <v>22</v>
      </c>
      <c r="K606" t="b">
        <v>1</v>
      </c>
      <c r="L606">
        <f t="shared" si="9"/>
        <v>184</v>
      </c>
      <c r="M606">
        <f t="shared" si="9"/>
        <v>671</v>
      </c>
      <c r="N606" t="b">
        <v>0</v>
      </c>
      <c r="O606">
        <v>1</v>
      </c>
      <c r="P606" t="s">
        <v>1700</v>
      </c>
      <c r="Q606">
        <v>2</v>
      </c>
      <c r="R606" t="b">
        <v>1</v>
      </c>
    </row>
    <row r="607" spans="1:18">
      <c r="A607" t="s">
        <v>857</v>
      </c>
      <c r="B607" t="s">
        <v>1701</v>
      </c>
      <c r="C607" t="s">
        <v>1702</v>
      </c>
      <c r="E607">
        <v>98</v>
      </c>
      <c r="F607">
        <v>389</v>
      </c>
      <c r="G607">
        <v>86</v>
      </c>
      <c r="H607">
        <v>282</v>
      </c>
      <c r="J607" t="s">
        <v>22</v>
      </c>
      <c r="K607" t="b">
        <v>1</v>
      </c>
      <c r="L607">
        <f t="shared" si="9"/>
        <v>184</v>
      </c>
      <c r="M607">
        <f t="shared" si="9"/>
        <v>671</v>
      </c>
      <c r="N607" t="b">
        <v>0</v>
      </c>
      <c r="O607">
        <v>1</v>
      </c>
      <c r="P607" t="s">
        <v>1703</v>
      </c>
      <c r="Q607">
        <v>2</v>
      </c>
      <c r="R607" t="b">
        <v>1</v>
      </c>
    </row>
    <row r="608" spans="1:18">
      <c r="A608" t="s">
        <v>1224</v>
      </c>
      <c r="B608" t="s">
        <v>1704</v>
      </c>
      <c r="C608" t="s">
        <v>1705</v>
      </c>
      <c r="E608">
        <v>134</v>
      </c>
      <c r="F608">
        <v>976</v>
      </c>
      <c r="G608">
        <v>50</v>
      </c>
      <c r="H608">
        <v>357</v>
      </c>
      <c r="J608" t="s">
        <v>22</v>
      </c>
      <c r="K608" t="b">
        <v>1</v>
      </c>
      <c r="L608">
        <f t="shared" si="9"/>
        <v>184</v>
      </c>
      <c r="M608">
        <f t="shared" si="9"/>
        <v>1333</v>
      </c>
      <c r="N608" t="b">
        <v>0</v>
      </c>
      <c r="O608">
        <v>1</v>
      </c>
      <c r="P608" t="s">
        <v>1706</v>
      </c>
      <c r="Q608">
        <v>2</v>
      </c>
      <c r="R608" t="b">
        <v>1</v>
      </c>
    </row>
    <row r="609" spans="1:18" hidden="1">
      <c r="A609" t="s">
        <v>1269</v>
      </c>
      <c r="B609" t="s">
        <v>1707</v>
      </c>
      <c r="C609" t="s">
        <v>1708</v>
      </c>
      <c r="D609" t="s">
        <v>435</v>
      </c>
      <c r="E609">
        <v>182</v>
      </c>
      <c r="F609">
        <v>3354</v>
      </c>
      <c r="G609">
        <v>0</v>
      </c>
      <c r="H609">
        <v>0</v>
      </c>
      <c r="J609" t="s">
        <v>93</v>
      </c>
      <c r="K609" t="b">
        <v>0</v>
      </c>
      <c r="L609">
        <f t="shared" si="9"/>
        <v>182</v>
      </c>
      <c r="M609">
        <f t="shared" si="9"/>
        <v>3354</v>
      </c>
      <c r="N609" t="b">
        <v>0</v>
      </c>
      <c r="O609">
        <v>0</v>
      </c>
      <c r="Q609">
        <v>0</v>
      </c>
      <c r="R609" t="b">
        <v>0</v>
      </c>
    </row>
    <row r="610" spans="1:18">
      <c r="A610" t="s">
        <v>438</v>
      </c>
      <c r="B610" t="s">
        <v>1709</v>
      </c>
      <c r="C610" t="s">
        <v>1710</v>
      </c>
      <c r="E610">
        <v>149</v>
      </c>
      <c r="F610">
        <v>5349</v>
      </c>
      <c r="G610">
        <v>32</v>
      </c>
      <c r="H610">
        <v>478</v>
      </c>
      <c r="J610" t="s">
        <v>22</v>
      </c>
      <c r="K610" t="b">
        <v>1</v>
      </c>
      <c r="L610">
        <f t="shared" si="9"/>
        <v>181</v>
      </c>
      <c r="M610">
        <f t="shared" si="9"/>
        <v>5827</v>
      </c>
      <c r="N610" t="b">
        <v>0</v>
      </c>
      <c r="O610">
        <v>1</v>
      </c>
      <c r="P610" t="s">
        <v>1711</v>
      </c>
      <c r="Q610">
        <v>2</v>
      </c>
      <c r="R610" t="b">
        <v>1</v>
      </c>
    </row>
    <row r="611" spans="1:18" hidden="1">
      <c r="A611" t="s">
        <v>1712</v>
      </c>
      <c r="B611" t="s">
        <v>1713</v>
      </c>
      <c r="C611" s="8" t="s">
        <v>1714</v>
      </c>
      <c r="D611" t="s">
        <v>93</v>
      </c>
      <c r="E611">
        <v>129</v>
      </c>
      <c r="F611">
        <v>2148</v>
      </c>
      <c r="G611">
        <v>52</v>
      </c>
      <c r="H611">
        <v>242</v>
      </c>
      <c r="J611" t="s">
        <v>93</v>
      </c>
      <c r="K611" t="b">
        <v>0</v>
      </c>
      <c r="L611">
        <f t="shared" si="9"/>
        <v>181</v>
      </c>
      <c r="M611">
        <f t="shared" si="9"/>
        <v>2390</v>
      </c>
      <c r="N611" t="b">
        <v>0</v>
      </c>
      <c r="O611">
        <v>0</v>
      </c>
      <c r="Q611">
        <v>0</v>
      </c>
      <c r="R611" t="b">
        <v>0</v>
      </c>
    </row>
    <row r="612" spans="1:18">
      <c r="A612" t="s">
        <v>1143</v>
      </c>
      <c r="B612" t="s">
        <v>1715</v>
      </c>
      <c r="C612" t="s">
        <v>1716</v>
      </c>
      <c r="E612">
        <v>0</v>
      </c>
      <c r="F612">
        <v>0</v>
      </c>
      <c r="G612">
        <v>181</v>
      </c>
      <c r="H612">
        <v>933</v>
      </c>
      <c r="J612" t="s">
        <v>22</v>
      </c>
      <c r="K612" t="b">
        <v>1</v>
      </c>
      <c r="L612">
        <f t="shared" si="9"/>
        <v>181</v>
      </c>
      <c r="M612">
        <f t="shared" si="9"/>
        <v>933</v>
      </c>
      <c r="N612" t="b">
        <v>0</v>
      </c>
      <c r="O612">
        <v>1</v>
      </c>
      <c r="P612" t="s">
        <v>1717</v>
      </c>
      <c r="Q612">
        <v>2</v>
      </c>
      <c r="R612" t="b">
        <v>1</v>
      </c>
    </row>
    <row r="613" spans="1:18">
      <c r="A613" t="s">
        <v>30</v>
      </c>
      <c r="B613" t="s">
        <v>1718</v>
      </c>
      <c r="C613" t="s">
        <v>1719</v>
      </c>
      <c r="E613">
        <v>135</v>
      </c>
      <c r="F613">
        <v>725</v>
      </c>
      <c r="G613">
        <v>46</v>
      </c>
      <c r="H613">
        <v>301</v>
      </c>
      <c r="J613" t="s">
        <v>22</v>
      </c>
      <c r="K613" t="b">
        <v>1</v>
      </c>
      <c r="L613">
        <f t="shared" si="9"/>
        <v>181</v>
      </c>
      <c r="M613">
        <f t="shared" si="9"/>
        <v>1026</v>
      </c>
      <c r="N613" t="b">
        <v>0</v>
      </c>
      <c r="O613">
        <v>1</v>
      </c>
      <c r="P613" t="s">
        <v>1720</v>
      </c>
      <c r="Q613">
        <v>2</v>
      </c>
      <c r="R613" t="b">
        <v>1</v>
      </c>
    </row>
    <row r="614" spans="1:18">
      <c r="A614" t="s">
        <v>545</v>
      </c>
      <c r="B614" t="s">
        <v>1721</v>
      </c>
      <c r="C614" t="s">
        <v>1722</v>
      </c>
      <c r="E614">
        <v>123</v>
      </c>
      <c r="F614">
        <v>1838</v>
      </c>
      <c r="G614">
        <v>58</v>
      </c>
      <c r="H614">
        <v>419</v>
      </c>
      <c r="J614" t="s">
        <v>22</v>
      </c>
      <c r="K614" t="b">
        <v>1</v>
      </c>
      <c r="L614">
        <f t="shared" si="9"/>
        <v>181</v>
      </c>
      <c r="M614">
        <f t="shared" si="9"/>
        <v>2257</v>
      </c>
      <c r="N614" t="b">
        <v>0</v>
      </c>
      <c r="O614">
        <v>1</v>
      </c>
      <c r="P614" t="s">
        <v>1723</v>
      </c>
      <c r="Q614">
        <v>2</v>
      </c>
      <c r="R614" t="b">
        <v>1</v>
      </c>
    </row>
    <row r="615" spans="1:18" hidden="1">
      <c r="A615" t="s">
        <v>1424</v>
      </c>
      <c r="B615" t="s">
        <v>1724</v>
      </c>
      <c r="C615" t="s">
        <v>1725</v>
      </c>
      <c r="E615">
        <v>113</v>
      </c>
      <c r="F615">
        <v>1407</v>
      </c>
      <c r="G615">
        <v>67</v>
      </c>
      <c r="H615">
        <v>520</v>
      </c>
      <c r="J615" t="s">
        <v>93</v>
      </c>
      <c r="K615" t="b">
        <v>0</v>
      </c>
      <c r="L615">
        <f t="shared" si="9"/>
        <v>180</v>
      </c>
      <c r="M615">
        <f t="shared" si="9"/>
        <v>1927</v>
      </c>
      <c r="N615" t="b">
        <v>0</v>
      </c>
      <c r="O615">
        <v>0</v>
      </c>
      <c r="Q615">
        <v>0</v>
      </c>
      <c r="R615" t="b">
        <v>0</v>
      </c>
    </row>
    <row r="616" spans="1:18" hidden="1">
      <c r="A616" t="s">
        <v>1424</v>
      </c>
      <c r="B616" t="s">
        <v>1726</v>
      </c>
      <c r="C616" t="s">
        <v>1727</v>
      </c>
      <c r="E616">
        <v>113</v>
      </c>
      <c r="F616">
        <v>1407</v>
      </c>
      <c r="G616">
        <v>67</v>
      </c>
      <c r="H616">
        <v>520</v>
      </c>
      <c r="J616" t="s">
        <v>93</v>
      </c>
      <c r="K616" t="b">
        <v>0</v>
      </c>
      <c r="L616">
        <f t="shared" si="9"/>
        <v>180</v>
      </c>
      <c r="M616">
        <f t="shared" si="9"/>
        <v>1927</v>
      </c>
      <c r="N616" t="b">
        <v>0</v>
      </c>
      <c r="O616">
        <v>0</v>
      </c>
      <c r="Q616">
        <v>0</v>
      </c>
      <c r="R616" t="b">
        <v>0</v>
      </c>
    </row>
    <row r="617" spans="1:18">
      <c r="A617" t="s">
        <v>192</v>
      </c>
      <c r="B617" t="s">
        <v>1728</v>
      </c>
      <c r="C617" t="s">
        <v>1729</v>
      </c>
      <c r="E617">
        <v>176</v>
      </c>
      <c r="F617">
        <v>3</v>
      </c>
      <c r="G617">
        <v>4</v>
      </c>
      <c r="H617">
        <v>4</v>
      </c>
      <c r="J617" t="s">
        <v>22</v>
      </c>
      <c r="K617" t="b">
        <v>1</v>
      </c>
      <c r="L617">
        <f t="shared" si="9"/>
        <v>180</v>
      </c>
      <c r="M617">
        <f t="shared" si="9"/>
        <v>7</v>
      </c>
      <c r="N617" t="b">
        <v>0</v>
      </c>
      <c r="O617">
        <v>1</v>
      </c>
      <c r="P617" t="s">
        <v>1730</v>
      </c>
      <c r="Q617">
        <v>2</v>
      </c>
      <c r="R617" t="b">
        <v>1</v>
      </c>
    </row>
    <row r="618" spans="1:18">
      <c r="A618" t="s">
        <v>1731</v>
      </c>
      <c r="B618" t="s">
        <v>1732</v>
      </c>
      <c r="C618" t="s">
        <v>1733</v>
      </c>
      <c r="E618">
        <v>122</v>
      </c>
      <c r="F618">
        <v>1054</v>
      </c>
      <c r="G618">
        <v>57</v>
      </c>
      <c r="H618">
        <v>229</v>
      </c>
      <c r="J618" t="s">
        <v>22</v>
      </c>
      <c r="K618" t="b">
        <v>1</v>
      </c>
      <c r="L618">
        <f t="shared" si="9"/>
        <v>179</v>
      </c>
      <c r="M618">
        <f t="shared" si="9"/>
        <v>1283</v>
      </c>
      <c r="N618" t="b">
        <v>0</v>
      </c>
      <c r="O618">
        <v>1</v>
      </c>
      <c r="P618" t="s">
        <v>33</v>
      </c>
      <c r="Q618">
        <v>2</v>
      </c>
      <c r="R618" t="b">
        <v>1</v>
      </c>
    </row>
    <row r="619" spans="1:18" hidden="1">
      <c r="A619" t="s">
        <v>37</v>
      </c>
      <c r="B619" t="s">
        <v>1734</v>
      </c>
      <c r="C619" t="s">
        <v>1735</v>
      </c>
      <c r="D619" s="7" t="s">
        <v>1736</v>
      </c>
      <c r="E619">
        <v>102</v>
      </c>
      <c r="F619">
        <v>4091</v>
      </c>
      <c r="G619">
        <v>77</v>
      </c>
      <c r="H619">
        <v>2168</v>
      </c>
      <c r="I619" t="s">
        <v>1676</v>
      </c>
      <c r="J619" t="s">
        <v>93</v>
      </c>
      <c r="K619" t="b">
        <v>1</v>
      </c>
      <c r="L619">
        <f t="shared" si="9"/>
        <v>179</v>
      </c>
      <c r="M619">
        <f t="shared" si="9"/>
        <v>6259</v>
      </c>
      <c r="N619" t="b">
        <v>0</v>
      </c>
      <c r="O619">
        <v>0</v>
      </c>
      <c r="Q619">
        <v>0</v>
      </c>
      <c r="R619" t="b">
        <v>0</v>
      </c>
    </row>
    <row r="620" spans="1:18" hidden="1">
      <c r="A620" t="s">
        <v>37</v>
      </c>
      <c r="B620" t="s">
        <v>1737</v>
      </c>
      <c r="C620" t="s">
        <v>1738</v>
      </c>
      <c r="D620" s="7" t="s">
        <v>1736</v>
      </c>
      <c r="E620">
        <v>102</v>
      </c>
      <c r="F620">
        <v>4091</v>
      </c>
      <c r="G620">
        <v>77</v>
      </c>
      <c r="H620">
        <v>2168</v>
      </c>
      <c r="I620" t="s">
        <v>1676</v>
      </c>
      <c r="J620" t="s">
        <v>93</v>
      </c>
      <c r="K620" t="b">
        <v>1</v>
      </c>
      <c r="L620">
        <f t="shared" si="9"/>
        <v>179</v>
      </c>
      <c r="M620">
        <f t="shared" si="9"/>
        <v>6259</v>
      </c>
      <c r="N620" t="b">
        <v>0</v>
      </c>
      <c r="O620">
        <v>0</v>
      </c>
      <c r="Q620">
        <v>0</v>
      </c>
      <c r="R620" t="b">
        <v>0</v>
      </c>
    </row>
    <row r="621" spans="1:18">
      <c r="A621" t="s">
        <v>1739</v>
      </c>
      <c r="B621" t="s">
        <v>1740</v>
      </c>
      <c r="C621" t="s">
        <v>1741</v>
      </c>
      <c r="E621">
        <v>109</v>
      </c>
      <c r="F621">
        <v>1808</v>
      </c>
      <c r="G621">
        <v>70</v>
      </c>
      <c r="H621">
        <v>647</v>
      </c>
      <c r="J621" t="s">
        <v>22</v>
      </c>
      <c r="K621" t="b">
        <v>1</v>
      </c>
      <c r="L621">
        <f t="shared" si="9"/>
        <v>179</v>
      </c>
      <c r="M621">
        <f t="shared" si="9"/>
        <v>2455</v>
      </c>
      <c r="N621" t="b">
        <v>0</v>
      </c>
      <c r="O621">
        <v>1</v>
      </c>
      <c r="P621" t="s">
        <v>1742</v>
      </c>
      <c r="Q621">
        <v>2</v>
      </c>
      <c r="R621" t="b">
        <v>1</v>
      </c>
    </row>
    <row r="622" spans="1:18">
      <c r="A622" t="s">
        <v>1731</v>
      </c>
      <c r="B622" t="s">
        <v>1743</v>
      </c>
      <c r="C622" t="s">
        <v>1744</v>
      </c>
      <c r="E622">
        <v>121</v>
      </c>
      <c r="F622">
        <v>1051</v>
      </c>
      <c r="G622">
        <v>57</v>
      </c>
      <c r="H622">
        <v>229</v>
      </c>
      <c r="J622" t="s">
        <v>22</v>
      </c>
      <c r="K622" t="b">
        <v>1</v>
      </c>
      <c r="L622">
        <f t="shared" si="9"/>
        <v>178</v>
      </c>
      <c r="M622">
        <f t="shared" si="9"/>
        <v>1280</v>
      </c>
      <c r="N622" t="b">
        <v>0</v>
      </c>
      <c r="O622">
        <v>1</v>
      </c>
      <c r="P622" t="s">
        <v>144</v>
      </c>
      <c r="Q622">
        <v>2</v>
      </c>
      <c r="R622" t="b">
        <v>1</v>
      </c>
    </row>
    <row r="623" spans="1:18">
      <c r="A623" t="s">
        <v>1224</v>
      </c>
      <c r="B623" t="s">
        <v>1745</v>
      </c>
      <c r="C623" t="s">
        <v>1746</v>
      </c>
      <c r="E623">
        <v>130</v>
      </c>
      <c r="F623">
        <v>1521</v>
      </c>
      <c r="G623">
        <v>47</v>
      </c>
      <c r="H623">
        <v>1238</v>
      </c>
      <c r="J623" t="s">
        <v>22</v>
      </c>
      <c r="K623" t="b">
        <v>1</v>
      </c>
      <c r="L623">
        <f t="shared" si="9"/>
        <v>177</v>
      </c>
      <c r="M623">
        <f t="shared" si="9"/>
        <v>2759</v>
      </c>
      <c r="N623" t="b">
        <v>0</v>
      </c>
      <c r="O623">
        <v>1</v>
      </c>
      <c r="P623" t="s">
        <v>1747</v>
      </c>
      <c r="Q623">
        <v>2</v>
      </c>
      <c r="R623" t="b">
        <v>1</v>
      </c>
    </row>
    <row r="624" spans="1:18" hidden="1">
      <c r="A624" t="s">
        <v>192</v>
      </c>
      <c r="B624" t="s">
        <v>1748</v>
      </c>
      <c r="C624" t="s">
        <v>1749</v>
      </c>
      <c r="E624">
        <v>176</v>
      </c>
      <c r="F624">
        <v>0</v>
      </c>
      <c r="G624">
        <v>0</v>
      </c>
      <c r="H624">
        <v>0</v>
      </c>
      <c r="J624" t="s">
        <v>93</v>
      </c>
      <c r="K624" t="b">
        <v>1</v>
      </c>
      <c r="L624">
        <f t="shared" si="9"/>
        <v>176</v>
      </c>
      <c r="M624">
        <v>750</v>
      </c>
      <c r="N624" t="b">
        <v>0</v>
      </c>
      <c r="O624">
        <v>0</v>
      </c>
      <c r="Q624">
        <v>0</v>
      </c>
      <c r="R624" t="b">
        <v>0</v>
      </c>
    </row>
    <row r="625" spans="1:18" hidden="1">
      <c r="A625" t="s">
        <v>1712</v>
      </c>
      <c r="B625" t="s">
        <v>1750</v>
      </c>
      <c r="C625" s="5" t="s">
        <v>1751</v>
      </c>
      <c r="D625" t="s">
        <v>93</v>
      </c>
      <c r="E625">
        <v>124</v>
      </c>
      <c r="F625">
        <v>2044</v>
      </c>
      <c r="G625">
        <v>51</v>
      </c>
      <c r="H625">
        <v>236</v>
      </c>
      <c r="J625" t="s">
        <v>93</v>
      </c>
      <c r="K625" t="b">
        <v>0</v>
      </c>
      <c r="L625">
        <f t="shared" si="9"/>
        <v>175</v>
      </c>
      <c r="M625">
        <f t="shared" si="9"/>
        <v>2280</v>
      </c>
      <c r="N625" t="b">
        <v>0</v>
      </c>
      <c r="O625">
        <v>0</v>
      </c>
      <c r="Q625">
        <v>0</v>
      </c>
      <c r="R625" t="b">
        <v>0</v>
      </c>
    </row>
    <row r="626" spans="1:18">
      <c r="A626" t="s">
        <v>498</v>
      </c>
      <c r="B626" t="s">
        <v>1752</v>
      </c>
      <c r="C626" t="s">
        <v>1753</v>
      </c>
      <c r="E626">
        <v>112</v>
      </c>
      <c r="F626">
        <v>2178</v>
      </c>
      <c r="G626">
        <v>62</v>
      </c>
      <c r="H626">
        <v>258</v>
      </c>
      <c r="J626" t="s">
        <v>22</v>
      </c>
      <c r="K626" t="b">
        <v>1</v>
      </c>
      <c r="L626">
        <f t="shared" si="9"/>
        <v>174</v>
      </c>
      <c r="M626">
        <f t="shared" si="9"/>
        <v>2436</v>
      </c>
      <c r="N626" t="b">
        <v>0</v>
      </c>
      <c r="O626">
        <v>1</v>
      </c>
      <c r="P626" t="s">
        <v>1754</v>
      </c>
      <c r="Q626">
        <v>2</v>
      </c>
      <c r="R626" t="b">
        <v>1</v>
      </c>
    </row>
    <row r="627" spans="1:18">
      <c r="A627" t="s">
        <v>498</v>
      </c>
      <c r="B627" t="s">
        <v>1755</v>
      </c>
      <c r="C627" t="s">
        <v>1756</v>
      </c>
      <c r="E627">
        <v>112</v>
      </c>
      <c r="F627">
        <v>2178</v>
      </c>
      <c r="G627">
        <v>62</v>
      </c>
      <c r="H627">
        <v>258</v>
      </c>
      <c r="J627" t="s">
        <v>22</v>
      </c>
      <c r="K627" t="b">
        <v>1</v>
      </c>
      <c r="L627">
        <f t="shared" si="9"/>
        <v>174</v>
      </c>
      <c r="M627">
        <f t="shared" si="9"/>
        <v>2436</v>
      </c>
      <c r="N627" t="b">
        <v>0</v>
      </c>
      <c r="O627">
        <v>1</v>
      </c>
      <c r="P627" t="s">
        <v>1757</v>
      </c>
      <c r="Q627">
        <v>2</v>
      </c>
      <c r="R627" t="b">
        <v>1</v>
      </c>
    </row>
    <row r="628" spans="1:18">
      <c r="A628" t="s">
        <v>498</v>
      </c>
      <c r="B628" t="s">
        <v>1758</v>
      </c>
      <c r="C628" t="s">
        <v>1759</v>
      </c>
      <c r="E628">
        <v>112</v>
      </c>
      <c r="F628">
        <v>2178</v>
      </c>
      <c r="G628">
        <v>62</v>
      </c>
      <c r="H628">
        <v>258</v>
      </c>
      <c r="J628" t="s">
        <v>22</v>
      </c>
      <c r="K628" t="b">
        <v>1</v>
      </c>
      <c r="L628">
        <f t="shared" si="9"/>
        <v>174</v>
      </c>
      <c r="M628">
        <f t="shared" si="9"/>
        <v>2436</v>
      </c>
      <c r="N628" t="b">
        <v>0</v>
      </c>
      <c r="O628">
        <v>1</v>
      </c>
      <c r="P628" t="s">
        <v>1760</v>
      </c>
      <c r="Q628">
        <v>2</v>
      </c>
      <c r="R628" t="b">
        <v>1</v>
      </c>
    </row>
    <row r="629" spans="1:18">
      <c r="A629" t="s">
        <v>498</v>
      </c>
      <c r="B629" t="s">
        <v>1761</v>
      </c>
      <c r="C629" t="s">
        <v>1762</v>
      </c>
      <c r="E629">
        <v>112</v>
      </c>
      <c r="F629">
        <v>2178</v>
      </c>
      <c r="G629">
        <v>62</v>
      </c>
      <c r="H629">
        <v>258</v>
      </c>
      <c r="J629" t="s">
        <v>22</v>
      </c>
      <c r="K629" t="b">
        <v>1</v>
      </c>
      <c r="L629">
        <f t="shared" si="9"/>
        <v>174</v>
      </c>
      <c r="M629">
        <f t="shared" si="9"/>
        <v>2436</v>
      </c>
      <c r="N629" t="b">
        <v>0</v>
      </c>
      <c r="O629">
        <v>1</v>
      </c>
      <c r="P629" t="s">
        <v>1763</v>
      </c>
      <c r="Q629">
        <v>2</v>
      </c>
      <c r="R629" t="b">
        <v>1</v>
      </c>
    </row>
    <row r="630" spans="1:18" hidden="1">
      <c r="A630" t="s">
        <v>1191</v>
      </c>
      <c r="B630" t="s">
        <v>1764</v>
      </c>
      <c r="C630" t="s">
        <v>1765</v>
      </c>
      <c r="E630">
        <v>113</v>
      </c>
      <c r="F630">
        <v>506</v>
      </c>
      <c r="G630">
        <v>59</v>
      </c>
      <c r="H630">
        <v>242</v>
      </c>
      <c r="J630" t="s">
        <v>93</v>
      </c>
      <c r="K630" t="b">
        <v>1</v>
      </c>
      <c r="L630">
        <f t="shared" si="9"/>
        <v>172</v>
      </c>
      <c r="M630">
        <f t="shared" si="9"/>
        <v>748</v>
      </c>
      <c r="N630" t="b">
        <v>0</v>
      </c>
      <c r="O630">
        <v>0</v>
      </c>
      <c r="Q630">
        <v>0</v>
      </c>
      <c r="R630" t="b">
        <v>0</v>
      </c>
    </row>
    <row r="631" spans="1:18" hidden="1">
      <c r="A631" t="s">
        <v>790</v>
      </c>
      <c r="B631" t="s">
        <v>1766</v>
      </c>
      <c r="C631" s="8" t="s">
        <v>1767</v>
      </c>
      <c r="D631" t="s">
        <v>93</v>
      </c>
      <c r="E631">
        <v>145</v>
      </c>
      <c r="F631">
        <v>2262</v>
      </c>
      <c r="G631">
        <v>27</v>
      </c>
      <c r="H631">
        <v>60</v>
      </c>
      <c r="I631" t="s">
        <v>874</v>
      </c>
      <c r="J631" t="s">
        <v>93</v>
      </c>
      <c r="K631" t="b">
        <v>0</v>
      </c>
      <c r="L631">
        <f t="shared" si="9"/>
        <v>172</v>
      </c>
      <c r="M631">
        <f t="shared" si="9"/>
        <v>2322</v>
      </c>
      <c r="N631" t="b">
        <v>0</v>
      </c>
      <c r="O631">
        <v>0</v>
      </c>
      <c r="Q631">
        <v>0</v>
      </c>
      <c r="R631" t="b">
        <v>0</v>
      </c>
    </row>
    <row r="632" spans="1:18" hidden="1">
      <c r="A632" t="s">
        <v>1712</v>
      </c>
      <c r="B632" t="s">
        <v>1768</v>
      </c>
      <c r="C632" s="8" t="s">
        <v>1769</v>
      </c>
      <c r="D632" t="s">
        <v>93</v>
      </c>
      <c r="E632">
        <v>121</v>
      </c>
      <c r="F632">
        <v>2025</v>
      </c>
      <c r="G632">
        <v>51</v>
      </c>
      <c r="H632">
        <v>234</v>
      </c>
      <c r="J632" t="s">
        <v>93</v>
      </c>
      <c r="K632" t="b">
        <v>0</v>
      </c>
      <c r="L632">
        <f t="shared" si="9"/>
        <v>172</v>
      </c>
      <c r="M632">
        <f t="shared" si="9"/>
        <v>2259</v>
      </c>
      <c r="N632" t="b">
        <v>0</v>
      </c>
      <c r="O632">
        <v>0</v>
      </c>
      <c r="Q632">
        <v>0</v>
      </c>
      <c r="R632" t="b">
        <v>0</v>
      </c>
    </row>
    <row r="633" spans="1:18" hidden="1">
      <c r="A633" t="s">
        <v>87</v>
      </c>
      <c r="B633" t="s">
        <v>1770</v>
      </c>
      <c r="C633" t="s">
        <v>1771</v>
      </c>
      <c r="D633" t="s">
        <v>519</v>
      </c>
      <c r="E633">
        <v>98</v>
      </c>
      <c r="F633">
        <v>210</v>
      </c>
      <c r="G633">
        <v>73</v>
      </c>
      <c r="H633">
        <v>412</v>
      </c>
      <c r="I633" t="s">
        <v>1772</v>
      </c>
      <c r="J633" t="s">
        <v>93</v>
      </c>
      <c r="K633" t="b">
        <v>1</v>
      </c>
      <c r="L633">
        <f t="shared" si="9"/>
        <v>171</v>
      </c>
      <c r="M633">
        <f t="shared" si="9"/>
        <v>622</v>
      </c>
      <c r="N633" t="b">
        <v>0</v>
      </c>
      <c r="O633">
        <v>0</v>
      </c>
      <c r="Q633">
        <v>0</v>
      </c>
      <c r="R633" t="b">
        <v>0</v>
      </c>
    </row>
    <row r="634" spans="1:18">
      <c r="A634" t="s">
        <v>24</v>
      </c>
      <c r="B634" t="s">
        <v>1773</v>
      </c>
      <c r="C634" t="s">
        <v>1774</v>
      </c>
      <c r="E634">
        <v>133</v>
      </c>
      <c r="F634">
        <v>581</v>
      </c>
      <c r="G634">
        <v>37</v>
      </c>
      <c r="H634">
        <v>352</v>
      </c>
      <c r="J634" t="s">
        <v>22</v>
      </c>
      <c r="K634" t="b">
        <v>1</v>
      </c>
      <c r="L634">
        <f t="shared" si="9"/>
        <v>170</v>
      </c>
      <c r="M634">
        <f t="shared" si="9"/>
        <v>933</v>
      </c>
      <c r="N634" t="b">
        <v>0</v>
      </c>
      <c r="O634">
        <v>1</v>
      </c>
      <c r="P634" t="s">
        <v>1775</v>
      </c>
      <c r="Q634">
        <v>2</v>
      </c>
      <c r="R634" t="b">
        <v>1</v>
      </c>
    </row>
    <row r="635" spans="1:18">
      <c r="A635" t="s">
        <v>30</v>
      </c>
      <c r="B635" t="s">
        <v>1776</v>
      </c>
      <c r="C635" t="s">
        <v>1777</v>
      </c>
      <c r="E635">
        <v>118</v>
      </c>
      <c r="F635">
        <v>491</v>
      </c>
      <c r="G635">
        <v>51</v>
      </c>
      <c r="H635">
        <v>270</v>
      </c>
      <c r="J635" t="s">
        <v>22</v>
      </c>
      <c r="K635" t="b">
        <v>1</v>
      </c>
      <c r="L635">
        <f t="shared" si="9"/>
        <v>169</v>
      </c>
      <c r="M635">
        <f t="shared" si="9"/>
        <v>761</v>
      </c>
      <c r="N635" t="b">
        <v>0</v>
      </c>
      <c r="O635">
        <v>1</v>
      </c>
      <c r="P635" t="s">
        <v>1778</v>
      </c>
      <c r="Q635">
        <v>8</v>
      </c>
      <c r="R635" t="b">
        <v>1</v>
      </c>
    </row>
    <row r="636" spans="1:18" hidden="1">
      <c r="A636" t="s">
        <v>37</v>
      </c>
      <c r="B636" t="s">
        <v>1779</v>
      </c>
      <c r="C636" t="s">
        <v>1780</v>
      </c>
      <c r="D636" t="s">
        <v>519</v>
      </c>
      <c r="E636">
        <v>99</v>
      </c>
      <c r="F636">
        <v>3267</v>
      </c>
      <c r="G636">
        <v>69</v>
      </c>
      <c r="H636">
        <v>1480</v>
      </c>
      <c r="I636" t="s">
        <v>1781</v>
      </c>
      <c r="J636" t="s">
        <v>93</v>
      </c>
      <c r="K636" t="b">
        <v>1</v>
      </c>
      <c r="L636">
        <f t="shared" si="9"/>
        <v>168</v>
      </c>
      <c r="M636">
        <f t="shared" si="9"/>
        <v>4747</v>
      </c>
      <c r="N636" t="b">
        <v>0</v>
      </c>
      <c r="O636">
        <v>0</v>
      </c>
      <c r="Q636">
        <v>0</v>
      </c>
      <c r="R636" t="b">
        <v>0</v>
      </c>
    </row>
    <row r="637" spans="1:18">
      <c r="A637" t="s">
        <v>1782</v>
      </c>
      <c r="B637" t="s">
        <v>1783</v>
      </c>
      <c r="C637" t="s">
        <v>1784</v>
      </c>
      <c r="E637">
        <v>100</v>
      </c>
      <c r="F637">
        <v>193</v>
      </c>
      <c r="G637">
        <v>68</v>
      </c>
      <c r="H637">
        <v>165</v>
      </c>
      <c r="J637" t="s">
        <v>22</v>
      </c>
      <c r="K637" t="b">
        <v>1</v>
      </c>
      <c r="L637">
        <f t="shared" si="9"/>
        <v>168</v>
      </c>
      <c r="M637">
        <f t="shared" si="9"/>
        <v>358</v>
      </c>
      <c r="N637" t="b">
        <v>0</v>
      </c>
      <c r="O637">
        <v>1</v>
      </c>
      <c r="P637" t="s">
        <v>1785</v>
      </c>
      <c r="Q637">
        <v>2</v>
      </c>
      <c r="R637" t="b">
        <v>1</v>
      </c>
    </row>
    <row r="638" spans="1:18">
      <c r="A638" t="s">
        <v>1782</v>
      </c>
      <c r="B638" t="s">
        <v>1786</v>
      </c>
      <c r="C638" t="s">
        <v>1787</v>
      </c>
      <c r="E638">
        <v>100</v>
      </c>
      <c r="F638">
        <v>193</v>
      </c>
      <c r="G638">
        <v>68</v>
      </c>
      <c r="H638">
        <v>165</v>
      </c>
      <c r="J638" t="s">
        <v>22</v>
      </c>
      <c r="K638" t="b">
        <v>1</v>
      </c>
      <c r="L638">
        <f t="shared" si="9"/>
        <v>168</v>
      </c>
      <c r="M638">
        <f t="shared" si="9"/>
        <v>358</v>
      </c>
      <c r="N638" t="b">
        <v>0</v>
      </c>
      <c r="O638">
        <v>1</v>
      </c>
      <c r="P638" t="s">
        <v>33</v>
      </c>
      <c r="Q638">
        <v>2</v>
      </c>
      <c r="R638" t="b">
        <v>1</v>
      </c>
    </row>
    <row r="639" spans="1:18">
      <c r="A639" t="s">
        <v>1782</v>
      </c>
      <c r="B639" t="s">
        <v>1788</v>
      </c>
      <c r="C639" t="s">
        <v>1789</v>
      </c>
      <c r="E639">
        <v>100</v>
      </c>
      <c r="F639">
        <v>193</v>
      </c>
      <c r="G639">
        <v>68</v>
      </c>
      <c r="H639">
        <v>165</v>
      </c>
      <c r="J639" t="s">
        <v>22</v>
      </c>
      <c r="K639" t="b">
        <v>1</v>
      </c>
      <c r="L639">
        <f t="shared" si="9"/>
        <v>168</v>
      </c>
      <c r="M639">
        <f t="shared" si="9"/>
        <v>358</v>
      </c>
      <c r="N639" t="b">
        <v>0</v>
      </c>
      <c r="O639">
        <v>0</v>
      </c>
      <c r="Q639">
        <v>0</v>
      </c>
      <c r="R639" t="b">
        <v>0</v>
      </c>
    </row>
    <row r="640" spans="1:18">
      <c r="A640" t="s">
        <v>1782</v>
      </c>
      <c r="B640" t="s">
        <v>1790</v>
      </c>
      <c r="C640" t="s">
        <v>1791</v>
      </c>
      <c r="E640">
        <v>100</v>
      </c>
      <c r="F640">
        <v>193</v>
      </c>
      <c r="G640">
        <v>68</v>
      </c>
      <c r="H640">
        <v>165</v>
      </c>
      <c r="J640" t="s">
        <v>22</v>
      </c>
      <c r="K640" t="b">
        <v>1</v>
      </c>
      <c r="L640">
        <f t="shared" si="9"/>
        <v>168</v>
      </c>
      <c r="M640">
        <f t="shared" si="9"/>
        <v>358</v>
      </c>
      <c r="N640" t="b">
        <v>0</v>
      </c>
      <c r="O640">
        <v>0</v>
      </c>
      <c r="Q640">
        <v>0</v>
      </c>
      <c r="R640" t="b">
        <v>0</v>
      </c>
    </row>
    <row r="641" spans="1:18">
      <c r="A641" t="s">
        <v>1782</v>
      </c>
      <c r="B641" t="s">
        <v>1792</v>
      </c>
      <c r="C641" t="s">
        <v>1793</v>
      </c>
      <c r="E641">
        <v>100</v>
      </c>
      <c r="F641">
        <v>193</v>
      </c>
      <c r="G641">
        <v>68</v>
      </c>
      <c r="H641">
        <v>165</v>
      </c>
      <c r="J641" t="s">
        <v>22</v>
      </c>
      <c r="K641" t="b">
        <v>1</v>
      </c>
      <c r="L641">
        <f t="shared" si="9"/>
        <v>168</v>
      </c>
      <c r="M641">
        <f t="shared" si="9"/>
        <v>358</v>
      </c>
      <c r="N641" t="b">
        <v>0</v>
      </c>
      <c r="O641">
        <v>1</v>
      </c>
      <c r="P641" t="s">
        <v>1794</v>
      </c>
      <c r="Q641">
        <v>2</v>
      </c>
      <c r="R641" t="b">
        <v>1</v>
      </c>
    </row>
    <row r="642" spans="1:18">
      <c r="A642" t="s">
        <v>24</v>
      </c>
      <c r="B642" t="s">
        <v>1795</v>
      </c>
      <c r="C642" t="s">
        <v>1796</v>
      </c>
      <c r="E642">
        <v>119</v>
      </c>
      <c r="F642">
        <v>3251</v>
      </c>
      <c r="G642">
        <v>48</v>
      </c>
      <c r="H642">
        <v>534</v>
      </c>
      <c r="J642" t="s">
        <v>22</v>
      </c>
      <c r="K642" t="b">
        <v>1</v>
      </c>
      <c r="L642">
        <f t="shared" si="9"/>
        <v>167</v>
      </c>
      <c r="M642">
        <f t="shared" si="9"/>
        <v>3785</v>
      </c>
      <c r="N642" t="b">
        <v>0</v>
      </c>
      <c r="O642">
        <v>1</v>
      </c>
      <c r="P642" t="s">
        <v>1797</v>
      </c>
      <c r="Q642">
        <v>2</v>
      </c>
      <c r="R642" t="b">
        <v>1</v>
      </c>
    </row>
    <row r="643" spans="1:18">
      <c r="A643" t="s">
        <v>1224</v>
      </c>
      <c r="B643" t="s">
        <v>1798</v>
      </c>
      <c r="C643" t="s">
        <v>1799</v>
      </c>
      <c r="E643">
        <v>109</v>
      </c>
      <c r="F643">
        <v>3197</v>
      </c>
      <c r="G643">
        <v>57</v>
      </c>
      <c r="H643">
        <v>1594</v>
      </c>
      <c r="J643" t="s">
        <v>22</v>
      </c>
      <c r="K643" t="b">
        <v>1</v>
      </c>
      <c r="L643">
        <f t="shared" ref="L643:M706" si="10">E643+G643</f>
        <v>166</v>
      </c>
      <c r="M643">
        <f t="shared" si="10"/>
        <v>4791</v>
      </c>
      <c r="N643" t="b">
        <v>0</v>
      </c>
      <c r="O643">
        <v>1</v>
      </c>
      <c r="P643" t="s">
        <v>1800</v>
      </c>
      <c r="Q643">
        <v>2</v>
      </c>
      <c r="R643" t="b">
        <v>1</v>
      </c>
    </row>
    <row r="644" spans="1:18">
      <c r="A644" t="s">
        <v>24</v>
      </c>
      <c r="B644" t="s">
        <v>1801</v>
      </c>
      <c r="C644" t="s">
        <v>1802</v>
      </c>
      <c r="E644">
        <v>101</v>
      </c>
      <c r="F644">
        <v>1459</v>
      </c>
      <c r="G644">
        <v>65</v>
      </c>
      <c r="H644">
        <v>259</v>
      </c>
      <c r="J644" t="s">
        <v>22</v>
      </c>
      <c r="K644" t="b">
        <v>1</v>
      </c>
      <c r="L644">
        <f t="shared" si="10"/>
        <v>166</v>
      </c>
      <c r="M644">
        <f t="shared" si="10"/>
        <v>1718</v>
      </c>
      <c r="N644" t="b">
        <v>0</v>
      </c>
      <c r="O644">
        <v>1</v>
      </c>
      <c r="P644" t="s">
        <v>1803</v>
      </c>
      <c r="Q644">
        <v>2</v>
      </c>
      <c r="R644" t="b">
        <v>1</v>
      </c>
    </row>
    <row r="645" spans="1:18" hidden="1">
      <c r="A645" t="s">
        <v>46</v>
      </c>
      <c r="B645" t="s">
        <v>1804</v>
      </c>
      <c r="C645" t="s">
        <v>1805</v>
      </c>
      <c r="E645">
        <v>104</v>
      </c>
      <c r="F645">
        <v>609</v>
      </c>
      <c r="G645">
        <v>62</v>
      </c>
      <c r="H645">
        <v>352</v>
      </c>
      <c r="J645" t="s">
        <v>93</v>
      </c>
      <c r="K645" t="b">
        <v>1</v>
      </c>
      <c r="L645">
        <f t="shared" si="10"/>
        <v>166</v>
      </c>
      <c r="M645">
        <f t="shared" si="10"/>
        <v>961</v>
      </c>
      <c r="N645" t="b">
        <v>0</v>
      </c>
      <c r="O645">
        <v>0</v>
      </c>
      <c r="Q645">
        <v>0</v>
      </c>
      <c r="R645" t="b">
        <v>0</v>
      </c>
    </row>
    <row r="646" spans="1:18">
      <c r="A646" t="s">
        <v>573</v>
      </c>
      <c r="B646" t="s">
        <v>1806</v>
      </c>
      <c r="C646" t="s">
        <v>1807</v>
      </c>
      <c r="E646">
        <v>111</v>
      </c>
      <c r="F646">
        <v>1227</v>
      </c>
      <c r="G646">
        <v>54</v>
      </c>
      <c r="H646">
        <v>351</v>
      </c>
      <c r="J646" t="s">
        <v>22</v>
      </c>
      <c r="K646" t="b">
        <v>1</v>
      </c>
      <c r="L646">
        <f t="shared" si="10"/>
        <v>165</v>
      </c>
      <c r="M646">
        <f t="shared" si="10"/>
        <v>1578</v>
      </c>
      <c r="N646" t="b">
        <v>0</v>
      </c>
      <c r="O646">
        <v>1</v>
      </c>
      <c r="P646" t="s">
        <v>1808</v>
      </c>
      <c r="Q646">
        <v>2</v>
      </c>
      <c r="R646" t="b">
        <v>1</v>
      </c>
    </row>
    <row r="647" spans="1:18" hidden="1">
      <c r="A647" t="s">
        <v>1712</v>
      </c>
      <c r="B647" t="s">
        <v>1809</v>
      </c>
      <c r="C647" t="s">
        <v>1810</v>
      </c>
      <c r="E647">
        <v>114</v>
      </c>
      <c r="F647">
        <v>2128</v>
      </c>
      <c r="G647">
        <v>51</v>
      </c>
      <c r="H647">
        <v>234</v>
      </c>
      <c r="J647" t="s">
        <v>93</v>
      </c>
      <c r="K647" t="b">
        <v>0</v>
      </c>
      <c r="L647">
        <f t="shared" si="10"/>
        <v>165</v>
      </c>
      <c r="M647">
        <f t="shared" si="10"/>
        <v>2362</v>
      </c>
      <c r="N647" t="b">
        <v>0</v>
      </c>
      <c r="O647">
        <v>0</v>
      </c>
      <c r="Q647">
        <v>0</v>
      </c>
      <c r="R647" t="b">
        <v>0</v>
      </c>
    </row>
    <row r="648" spans="1:18">
      <c r="A648" t="s">
        <v>24</v>
      </c>
      <c r="B648" t="s">
        <v>1811</v>
      </c>
      <c r="C648" t="s">
        <v>1812</v>
      </c>
      <c r="E648">
        <v>111</v>
      </c>
      <c r="F648">
        <v>1227</v>
      </c>
      <c r="G648">
        <v>54</v>
      </c>
      <c r="H648">
        <v>351</v>
      </c>
      <c r="J648" t="s">
        <v>22</v>
      </c>
      <c r="K648" t="b">
        <v>1</v>
      </c>
      <c r="L648">
        <f t="shared" si="10"/>
        <v>165</v>
      </c>
      <c r="M648">
        <f t="shared" si="10"/>
        <v>1578</v>
      </c>
      <c r="N648" t="b">
        <v>0</v>
      </c>
      <c r="O648">
        <v>1</v>
      </c>
      <c r="P648" t="s">
        <v>1813</v>
      </c>
      <c r="Q648">
        <v>2</v>
      </c>
      <c r="R648" t="b">
        <v>1</v>
      </c>
    </row>
    <row r="649" spans="1:18">
      <c r="A649" t="s">
        <v>372</v>
      </c>
      <c r="B649" t="s">
        <v>1814</v>
      </c>
      <c r="C649" t="s">
        <v>1815</v>
      </c>
      <c r="E649">
        <v>115</v>
      </c>
      <c r="F649">
        <v>1959</v>
      </c>
      <c r="G649">
        <v>49</v>
      </c>
      <c r="H649">
        <v>782</v>
      </c>
      <c r="J649" t="s">
        <v>22</v>
      </c>
      <c r="K649" t="b">
        <v>1</v>
      </c>
      <c r="L649">
        <f t="shared" si="10"/>
        <v>164</v>
      </c>
      <c r="M649">
        <f t="shared" si="10"/>
        <v>2741</v>
      </c>
      <c r="N649" t="b">
        <v>0</v>
      </c>
      <c r="O649">
        <v>1</v>
      </c>
      <c r="P649" t="s">
        <v>1816</v>
      </c>
      <c r="Q649">
        <v>2</v>
      </c>
      <c r="R649" t="b">
        <v>1</v>
      </c>
    </row>
    <row r="650" spans="1:18" hidden="1">
      <c r="A650" t="s">
        <v>133</v>
      </c>
      <c r="B650" t="s">
        <v>1817</v>
      </c>
      <c r="C650" t="s">
        <v>1818</v>
      </c>
      <c r="D650" t="s">
        <v>649</v>
      </c>
      <c r="E650">
        <v>114</v>
      </c>
      <c r="F650">
        <v>1213</v>
      </c>
      <c r="G650">
        <v>50</v>
      </c>
      <c r="H650">
        <v>971</v>
      </c>
      <c r="J650" t="s">
        <v>93</v>
      </c>
      <c r="K650" t="b">
        <v>1</v>
      </c>
      <c r="L650">
        <f t="shared" si="10"/>
        <v>164</v>
      </c>
      <c r="M650">
        <f t="shared" si="10"/>
        <v>2184</v>
      </c>
      <c r="N650" t="b">
        <v>0</v>
      </c>
      <c r="O650">
        <v>0</v>
      </c>
      <c r="Q650">
        <v>0</v>
      </c>
      <c r="R650" t="b">
        <v>0</v>
      </c>
    </row>
    <row r="651" spans="1:18" hidden="1">
      <c r="A651" t="s">
        <v>438</v>
      </c>
      <c r="B651" t="s">
        <v>1819</v>
      </c>
      <c r="C651" s="2" t="s">
        <v>1820</v>
      </c>
      <c r="D651" s="2" t="s">
        <v>92</v>
      </c>
      <c r="E651">
        <v>132</v>
      </c>
      <c r="F651">
        <v>5349</v>
      </c>
      <c r="G651">
        <v>31</v>
      </c>
      <c r="H651">
        <v>477</v>
      </c>
      <c r="J651" t="s">
        <v>93</v>
      </c>
      <c r="K651" t="b">
        <v>1</v>
      </c>
      <c r="L651">
        <f t="shared" si="10"/>
        <v>163</v>
      </c>
      <c r="M651">
        <f t="shared" si="10"/>
        <v>5826</v>
      </c>
      <c r="N651" t="b">
        <v>0</v>
      </c>
      <c r="O651">
        <v>0</v>
      </c>
      <c r="Q651">
        <v>0</v>
      </c>
      <c r="R651" t="b">
        <v>0</v>
      </c>
    </row>
    <row r="652" spans="1:18">
      <c r="A652" t="s">
        <v>1418</v>
      </c>
      <c r="B652" t="s">
        <v>1821</v>
      </c>
      <c r="C652" t="s">
        <v>1822</v>
      </c>
      <c r="E652">
        <v>116</v>
      </c>
      <c r="F652">
        <v>2067</v>
      </c>
      <c r="G652">
        <v>47</v>
      </c>
      <c r="H652">
        <v>419</v>
      </c>
      <c r="J652" t="s">
        <v>22</v>
      </c>
      <c r="K652" t="b">
        <v>1</v>
      </c>
      <c r="L652">
        <f t="shared" si="10"/>
        <v>163</v>
      </c>
      <c r="M652">
        <f t="shared" si="10"/>
        <v>2486</v>
      </c>
      <c r="N652" t="b">
        <v>0</v>
      </c>
      <c r="O652">
        <v>1</v>
      </c>
      <c r="P652" t="s">
        <v>1823</v>
      </c>
      <c r="Q652">
        <v>2</v>
      </c>
      <c r="R652" t="b">
        <v>1</v>
      </c>
    </row>
    <row r="653" spans="1:18" hidden="1">
      <c r="A653" t="s">
        <v>1207</v>
      </c>
      <c r="B653" t="s">
        <v>1824</v>
      </c>
      <c r="C653" t="s">
        <v>1825</v>
      </c>
      <c r="E653">
        <v>102</v>
      </c>
      <c r="F653">
        <v>799</v>
      </c>
      <c r="G653">
        <v>61</v>
      </c>
      <c r="H653">
        <v>698</v>
      </c>
      <c r="J653" t="s">
        <v>93</v>
      </c>
      <c r="K653" t="b">
        <v>0</v>
      </c>
      <c r="L653">
        <f t="shared" si="10"/>
        <v>163</v>
      </c>
      <c r="M653">
        <f t="shared" si="10"/>
        <v>1497</v>
      </c>
      <c r="N653" t="b">
        <v>0</v>
      </c>
      <c r="O653">
        <v>0</v>
      </c>
      <c r="Q653">
        <v>0</v>
      </c>
      <c r="R653" t="b">
        <v>0</v>
      </c>
    </row>
    <row r="654" spans="1:18" hidden="1">
      <c r="A654" t="s">
        <v>1712</v>
      </c>
      <c r="B654" t="s">
        <v>1826</v>
      </c>
      <c r="C654" s="5" t="s">
        <v>1827</v>
      </c>
      <c r="E654">
        <v>112</v>
      </c>
      <c r="F654">
        <v>1792</v>
      </c>
      <c r="G654">
        <v>48</v>
      </c>
      <c r="H654">
        <v>191</v>
      </c>
      <c r="J654" t="s">
        <v>93</v>
      </c>
      <c r="K654" t="b">
        <v>0</v>
      </c>
      <c r="L654">
        <f t="shared" si="10"/>
        <v>160</v>
      </c>
      <c r="M654">
        <f t="shared" si="10"/>
        <v>1983</v>
      </c>
      <c r="N654" t="b">
        <v>0</v>
      </c>
      <c r="O654">
        <v>0</v>
      </c>
      <c r="Q654">
        <v>0</v>
      </c>
      <c r="R654" t="b">
        <v>0</v>
      </c>
    </row>
    <row r="655" spans="1:18" hidden="1">
      <c r="A655" t="s">
        <v>37</v>
      </c>
      <c r="B655" t="s">
        <v>1828</v>
      </c>
      <c r="C655" t="s">
        <v>1829</v>
      </c>
      <c r="E655">
        <v>94</v>
      </c>
      <c r="F655">
        <v>392</v>
      </c>
      <c r="G655">
        <v>66</v>
      </c>
      <c r="H655">
        <v>423</v>
      </c>
      <c r="J655" t="s">
        <v>93</v>
      </c>
      <c r="K655" t="b">
        <v>1</v>
      </c>
      <c r="L655">
        <f t="shared" si="10"/>
        <v>160</v>
      </c>
      <c r="M655">
        <f t="shared" si="10"/>
        <v>815</v>
      </c>
      <c r="N655" t="b">
        <v>0</v>
      </c>
      <c r="O655">
        <v>0</v>
      </c>
      <c r="Q655">
        <v>0</v>
      </c>
      <c r="R655" t="b">
        <v>0</v>
      </c>
    </row>
    <row r="656" spans="1:18" hidden="1">
      <c r="A656" t="s">
        <v>790</v>
      </c>
      <c r="B656" t="s">
        <v>1830</v>
      </c>
      <c r="C656" t="s">
        <v>1831</v>
      </c>
      <c r="D656" t="s">
        <v>93</v>
      </c>
      <c r="E656">
        <v>130</v>
      </c>
      <c r="F656">
        <v>2689</v>
      </c>
      <c r="G656">
        <v>28</v>
      </c>
      <c r="H656">
        <v>84</v>
      </c>
      <c r="I656" t="s">
        <v>874</v>
      </c>
      <c r="J656" t="s">
        <v>93</v>
      </c>
      <c r="K656" t="b">
        <v>0</v>
      </c>
      <c r="L656">
        <f t="shared" si="10"/>
        <v>158</v>
      </c>
      <c r="M656">
        <f t="shared" si="10"/>
        <v>2773</v>
      </c>
      <c r="N656" t="b">
        <v>0</v>
      </c>
      <c r="O656">
        <v>0</v>
      </c>
      <c r="Q656">
        <v>0</v>
      </c>
      <c r="R656" t="b">
        <v>0</v>
      </c>
    </row>
    <row r="657" spans="1:18">
      <c r="A657" t="s">
        <v>24</v>
      </c>
      <c r="B657" t="s">
        <v>1832</v>
      </c>
      <c r="C657" t="s">
        <v>1833</v>
      </c>
      <c r="E657">
        <v>93</v>
      </c>
      <c r="F657">
        <v>3121</v>
      </c>
      <c r="G657">
        <v>65</v>
      </c>
      <c r="H657">
        <v>345</v>
      </c>
      <c r="J657" t="s">
        <v>22</v>
      </c>
      <c r="K657" t="b">
        <v>1</v>
      </c>
      <c r="L657">
        <f t="shared" si="10"/>
        <v>158</v>
      </c>
      <c r="M657">
        <f t="shared" si="10"/>
        <v>3466</v>
      </c>
      <c r="N657" t="b">
        <v>0</v>
      </c>
      <c r="O657">
        <v>0</v>
      </c>
      <c r="Q657">
        <v>0</v>
      </c>
      <c r="R657" t="b">
        <v>0</v>
      </c>
    </row>
    <row r="658" spans="1:18">
      <c r="A658" t="s">
        <v>30</v>
      </c>
      <c r="B658" t="s">
        <v>1834</v>
      </c>
      <c r="C658" t="s">
        <v>1835</v>
      </c>
      <c r="E658">
        <v>60</v>
      </c>
      <c r="F658">
        <v>892</v>
      </c>
      <c r="G658">
        <v>98</v>
      </c>
      <c r="H658">
        <v>1433</v>
      </c>
      <c r="J658" t="s">
        <v>22</v>
      </c>
      <c r="K658" t="b">
        <v>1</v>
      </c>
      <c r="L658">
        <f t="shared" si="10"/>
        <v>158</v>
      </c>
      <c r="M658">
        <f t="shared" si="10"/>
        <v>2325</v>
      </c>
      <c r="N658" t="b">
        <v>0</v>
      </c>
      <c r="O658">
        <v>1</v>
      </c>
      <c r="P658" t="s">
        <v>1836</v>
      </c>
      <c r="Q658">
        <v>2</v>
      </c>
      <c r="R658" t="b">
        <v>1</v>
      </c>
    </row>
    <row r="659" spans="1:18">
      <c r="A659" t="s">
        <v>192</v>
      </c>
      <c r="B659" t="s">
        <v>1837</v>
      </c>
      <c r="C659" t="s">
        <v>1838</v>
      </c>
      <c r="E659">
        <v>124</v>
      </c>
      <c r="F659">
        <v>19</v>
      </c>
      <c r="G659">
        <v>34</v>
      </c>
      <c r="H659">
        <v>35</v>
      </c>
      <c r="J659" t="s">
        <v>22</v>
      </c>
      <c r="K659" t="b">
        <v>1</v>
      </c>
      <c r="L659">
        <f t="shared" si="10"/>
        <v>158</v>
      </c>
      <c r="M659">
        <f t="shared" si="10"/>
        <v>54</v>
      </c>
      <c r="N659" t="b">
        <v>0</v>
      </c>
      <c r="O659">
        <v>1</v>
      </c>
      <c r="P659" t="s">
        <v>1839</v>
      </c>
      <c r="Q659">
        <v>2</v>
      </c>
      <c r="R659" t="b">
        <v>1</v>
      </c>
    </row>
    <row r="660" spans="1:18" hidden="1">
      <c r="A660" t="s">
        <v>1139</v>
      </c>
      <c r="B660" t="s">
        <v>1840</v>
      </c>
      <c r="C660" s="5" t="s">
        <v>1841</v>
      </c>
      <c r="E660">
        <v>89</v>
      </c>
      <c r="F660">
        <v>1991</v>
      </c>
      <c r="G660">
        <v>68</v>
      </c>
      <c r="H660">
        <v>478</v>
      </c>
      <c r="J660" t="s">
        <v>93</v>
      </c>
      <c r="K660" t="b">
        <v>0</v>
      </c>
      <c r="L660">
        <f t="shared" si="10"/>
        <v>157</v>
      </c>
      <c r="M660">
        <f t="shared" si="10"/>
        <v>2469</v>
      </c>
      <c r="N660" t="b">
        <v>0</v>
      </c>
      <c r="O660">
        <v>0</v>
      </c>
      <c r="Q660">
        <v>0</v>
      </c>
      <c r="R660" t="b">
        <v>0</v>
      </c>
    </row>
    <row r="661" spans="1:18" hidden="1">
      <c r="A661" t="s">
        <v>248</v>
      </c>
      <c r="B661" t="s">
        <v>1842</v>
      </c>
      <c r="C661" t="s">
        <v>1843</v>
      </c>
      <c r="D661" t="s">
        <v>93</v>
      </c>
      <c r="E661">
        <v>106</v>
      </c>
      <c r="F661">
        <v>2124</v>
      </c>
      <c r="G661">
        <v>51</v>
      </c>
      <c r="H661">
        <v>786</v>
      </c>
      <c r="I661" t="s">
        <v>1278</v>
      </c>
      <c r="J661" t="s">
        <v>93</v>
      </c>
      <c r="K661" t="b">
        <v>1</v>
      </c>
      <c r="L661">
        <f t="shared" si="10"/>
        <v>157</v>
      </c>
      <c r="M661">
        <f t="shared" si="10"/>
        <v>2910</v>
      </c>
      <c r="N661" t="b">
        <v>0</v>
      </c>
      <c r="O661">
        <v>0</v>
      </c>
      <c r="Q661">
        <v>0</v>
      </c>
      <c r="R661" t="b">
        <v>0</v>
      </c>
    </row>
    <row r="662" spans="1:18">
      <c r="A662" t="s">
        <v>192</v>
      </c>
      <c r="B662" t="s">
        <v>1844</v>
      </c>
      <c r="C662" t="s">
        <v>1845</v>
      </c>
      <c r="E662">
        <v>133</v>
      </c>
      <c r="F662">
        <v>12</v>
      </c>
      <c r="G662">
        <v>24</v>
      </c>
      <c r="H662">
        <v>24</v>
      </c>
      <c r="J662" t="s">
        <v>22</v>
      </c>
      <c r="K662" t="b">
        <v>1</v>
      </c>
      <c r="L662">
        <f t="shared" si="10"/>
        <v>157</v>
      </c>
      <c r="M662">
        <f t="shared" si="10"/>
        <v>36</v>
      </c>
      <c r="N662" t="b">
        <v>0</v>
      </c>
      <c r="O662">
        <v>1</v>
      </c>
      <c r="P662" t="s">
        <v>1846</v>
      </c>
      <c r="Q662">
        <v>2</v>
      </c>
      <c r="R662" t="b">
        <v>1</v>
      </c>
    </row>
    <row r="663" spans="1:18" hidden="1">
      <c r="A663" t="s">
        <v>1847</v>
      </c>
      <c r="B663" t="s">
        <v>1848</v>
      </c>
      <c r="C663" t="s">
        <v>1849</v>
      </c>
      <c r="D663" t="s">
        <v>519</v>
      </c>
      <c r="E663">
        <v>108</v>
      </c>
      <c r="F663">
        <v>1781</v>
      </c>
      <c r="G663">
        <v>48</v>
      </c>
      <c r="H663">
        <v>718</v>
      </c>
      <c r="I663" t="s">
        <v>1850</v>
      </c>
      <c r="J663" t="s">
        <v>93</v>
      </c>
      <c r="K663" t="b">
        <v>0</v>
      </c>
      <c r="L663">
        <f t="shared" si="10"/>
        <v>156</v>
      </c>
      <c r="M663">
        <f t="shared" si="10"/>
        <v>2499</v>
      </c>
      <c r="N663" t="b">
        <v>0</v>
      </c>
      <c r="O663">
        <v>0</v>
      </c>
      <c r="Q663">
        <v>0</v>
      </c>
      <c r="R663" t="b">
        <v>0</v>
      </c>
    </row>
    <row r="664" spans="1:18" hidden="1">
      <c r="A664" t="s">
        <v>1847</v>
      </c>
      <c r="B664" t="s">
        <v>1851</v>
      </c>
      <c r="C664" t="s">
        <v>1852</v>
      </c>
      <c r="D664" t="s">
        <v>519</v>
      </c>
      <c r="E664">
        <v>108</v>
      </c>
      <c r="F664">
        <v>1781</v>
      </c>
      <c r="G664">
        <v>48</v>
      </c>
      <c r="H664">
        <v>718</v>
      </c>
      <c r="I664" t="s">
        <v>1850</v>
      </c>
      <c r="J664" t="s">
        <v>93</v>
      </c>
      <c r="K664" t="b">
        <v>0</v>
      </c>
      <c r="L664">
        <f t="shared" si="10"/>
        <v>156</v>
      </c>
      <c r="M664">
        <f t="shared" si="10"/>
        <v>2499</v>
      </c>
      <c r="N664" t="b">
        <v>0</v>
      </c>
      <c r="O664">
        <v>0</v>
      </c>
      <c r="Q664">
        <v>0</v>
      </c>
      <c r="R664" t="b">
        <v>0</v>
      </c>
    </row>
    <row r="665" spans="1:18">
      <c r="A665" t="s">
        <v>1191</v>
      </c>
      <c r="B665" t="s">
        <v>1853</v>
      </c>
      <c r="C665" t="s">
        <v>1854</v>
      </c>
      <c r="E665">
        <v>106</v>
      </c>
      <c r="F665">
        <v>319</v>
      </c>
      <c r="G665">
        <v>49</v>
      </c>
      <c r="H665">
        <v>165</v>
      </c>
      <c r="J665" t="s">
        <v>22</v>
      </c>
      <c r="K665" t="b">
        <v>1</v>
      </c>
      <c r="L665">
        <f t="shared" si="10"/>
        <v>155</v>
      </c>
      <c r="M665">
        <f t="shared" si="10"/>
        <v>484</v>
      </c>
      <c r="N665" t="b">
        <v>0</v>
      </c>
      <c r="O665">
        <v>1</v>
      </c>
      <c r="P665" t="s">
        <v>1855</v>
      </c>
      <c r="Q665">
        <v>2</v>
      </c>
      <c r="R665" t="b">
        <v>1</v>
      </c>
    </row>
    <row r="666" spans="1:18" hidden="1">
      <c r="A666" t="s">
        <v>1847</v>
      </c>
      <c r="B666" t="s">
        <v>1856</v>
      </c>
      <c r="C666" t="s">
        <v>1857</v>
      </c>
      <c r="D666" t="s">
        <v>519</v>
      </c>
      <c r="E666">
        <v>107</v>
      </c>
      <c r="F666">
        <v>1781</v>
      </c>
      <c r="G666">
        <v>48</v>
      </c>
      <c r="H666">
        <v>718</v>
      </c>
      <c r="I666" t="s">
        <v>1850</v>
      </c>
      <c r="J666" t="s">
        <v>93</v>
      </c>
      <c r="K666" t="b">
        <v>0</v>
      </c>
      <c r="L666">
        <f t="shared" si="10"/>
        <v>155</v>
      </c>
      <c r="M666">
        <f t="shared" si="10"/>
        <v>2499</v>
      </c>
      <c r="N666" t="b">
        <v>0</v>
      </c>
      <c r="O666">
        <v>0</v>
      </c>
      <c r="Q666">
        <v>0</v>
      </c>
      <c r="R666" t="b">
        <v>0</v>
      </c>
    </row>
    <row r="667" spans="1:18">
      <c r="A667" t="s">
        <v>1782</v>
      </c>
      <c r="B667" t="s">
        <v>1858</v>
      </c>
      <c r="C667" t="s">
        <v>1859</v>
      </c>
      <c r="E667">
        <v>92</v>
      </c>
      <c r="F667">
        <v>180</v>
      </c>
      <c r="G667">
        <v>63</v>
      </c>
      <c r="H667">
        <v>155</v>
      </c>
      <c r="J667" t="s">
        <v>22</v>
      </c>
      <c r="K667" t="b">
        <v>1</v>
      </c>
      <c r="L667">
        <f t="shared" si="10"/>
        <v>155</v>
      </c>
      <c r="M667">
        <f t="shared" si="10"/>
        <v>335</v>
      </c>
      <c r="N667" t="b">
        <v>0</v>
      </c>
      <c r="O667">
        <v>1</v>
      </c>
      <c r="P667" t="s">
        <v>1860</v>
      </c>
      <c r="Q667">
        <v>2</v>
      </c>
      <c r="R667" t="b">
        <v>1</v>
      </c>
    </row>
    <row r="668" spans="1:18">
      <c r="A668" t="s">
        <v>24</v>
      </c>
      <c r="B668" t="s">
        <v>1861</v>
      </c>
      <c r="C668" t="s">
        <v>1862</v>
      </c>
      <c r="E668">
        <v>89</v>
      </c>
      <c r="F668">
        <v>1991</v>
      </c>
      <c r="G668">
        <v>65</v>
      </c>
      <c r="H668">
        <v>475</v>
      </c>
      <c r="J668" t="s">
        <v>22</v>
      </c>
      <c r="K668" t="b">
        <v>1</v>
      </c>
      <c r="L668">
        <f t="shared" si="10"/>
        <v>154</v>
      </c>
      <c r="M668">
        <f t="shared" si="10"/>
        <v>2466</v>
      </c>
      <c r="N668" t="b">
        <v>0</v>
      </c>
      <c r="O668">
        <v>1</v>
      </c>
      <c r="P668" t="s">
        <v>1863</v>
      </c>
      <c r="Q668">
        <v>2</v>
      </c>
      <c r="R668" t="b">
        <v>1</v>
      </c>
    </row>
    <row r="669" spans="1:18">
      <c r="A669" t="s">
        <v>573</v>
      </c>
      <c r="B669" t="s">
        <v>1864</v>
      </c>
      <c r="C669" t="s">
        <v>1865</v>
      </c>
      <c r="E669">
        <v>98</v>
      </c>
      <c r="F669">
        <v>910</v>
      </c>
      <c r="G669">
        <v>55</v>
      </c>
      <c r="H669">
        <v>394</v>
      </c>
      <c r="J669" t="s">
        <v>22</v>
      </c>
      <c r="K669" t="b">
        <v>1</v>
      </c>
      <c r="L669">
        <f t="shared" si="10"/>
        <v>153</v>
      </c>
      <c r="M669">
        <f t="shared" si="10"/>
        <v>1304</v>
      </c>
      <c r="N669" t="b">
        <v>0</v>
      </c>
      <c r="O669">
        <v>1</v>
      </c>
      <c r="P669" t="s">
        <v>1866</v>
      </c>
      <c r="Q669">
        <v>2</v>
      </c>
      <c r="R669" t="b">
        <v>1</v>
      </c>
    </row>
    <row r="670" spans="1:18">
      <c r="A670" t="s">
        <v>857</v>
      </c>
      <c r="B670" t="s">
        <v>1867</v>
      </c>
      <c r="C670" t="s">
        <v>1868</v>
      </c>
      <c r="E670">
        <v>91</v>
      </c>
      <c r="F670">
        <v>334</v>
      </c>
      <c r="G670">
        <v>62</v>
      </c>
      <c r="H670">
        <v>157</v>
      </c>
      <c r="J670" t="s">
        <v>22</v>
      </c>
      <c r="K670" t="b">
        <v>1</v>
      </c>
      <c r="L670">
        <f t="shared" si="10"/>
        <v>153</v>
      </c>
      <c r="M670">
        <f t="shared" si="10"/>
        <v>491</v>
      </c>
      <c r="N670" t="b">
        <v>0</v>
      </c>
      <c r="O670">
        <v>1</v>
      </c>
      <c r="P670" t="s">
        <v>1869</v>
      </c>
      <c r="Q670">
        <v>2</v>
      </c>
      <c r="R670" t="b">
        <v>1</v>
      </c>
    </row>
    <row r="671" spans="1:18">
      <c r="A671" t="s">
        <v>857</v>
      </c>
      <c r="B671" t="s">
        <v>1870</v>
      </c>
      <c r="C671" t="s">
        <v>1871</v>
      </c>
      <c r="E671">
        <v>91</v>
      </c>
      <c r="F671">
        <v>334</v>
      </c>
      <c r="G671">
        <v>62</v>
      </c>
      <c r="H671">
        <v>157</v>
      </c>
      <c r="J671" t="s">
        <v>22</v>
      </c>
      <c r="K671" t="b">
        <v>1</v>
      </c>
      <c r="L671">
        <f t="shared" si="10"/>
        <v>153</v>
      </c>
      <c r="M671">
        <f t="shared" si="10"/>
        <v>491</v>
      </c>
      <c r="N671" t="b">
        <v>0</v>
      </c>
      <c r="O671">
        <v>1</v>
      </c>
      <c r="P671" t="s">
        <v>1872</v>
      </c>
      <c r="Q671">
        <v>2</v>
      </c>
      <c r="R671" t="b">
        <v>1</v>
      </c>
    </row>
    <row r="672" spans="1:18">
      <c r="A672" t="s">
        <v>24</v>
      </c>
      <c r="B672" t="s">
        <v>1873</v>
      </c>
      <c r="C672" t="s">
        <v>1874</v>
      </c>
      <c r="E672">
        <v>98</v>
      </c>
      <c r="F672">
        <v>910</v>
      </c>
      <c r="G672">
        <v>55</v>
      </c>
      <c r="H672">
        <v>394</v>
      </c>
      <c r="J672" t="s">
        <v>22</v>
      </c>
      <c r="K672" t="b">
        <v>1</v>
      </c>
      <c r="L672">
        <f t="shared" si="10"/>
        <v>153</v>
      </c>
      <c r="M672">
        <f t="shared" si="10"/>
        <v>1304</v>
      </c>
      <c r="N672" t="b">
        <v>0</v>
      </c>
      <c r="O672">
        <v>1</v>
      </c>
      <c r="P672" t="s">
        <v>1875</v>
      </c>
      <c r="Q672">
        <v>2</v>
      </c>
      <c r="R672" t="b">
        <v>1</v>
      </c>
    </row>
    <row r="673" spans="1:18" hidden="1">
      <c r="A673" t="s">
        <v>59</v>
      </c>
      <c r="B673" t="s">
        <v>1876</v>
      </c>
      <c r="C673" t="s">
        <v>1877</v>
      </c>
      <c r="D673" t="s">
        <v>93</v>
      </c>
      <c r="E673">
        <v>106</v>
      </c>
      <c r="F673">
        <v>1450</v>
      </c>
      <c r="G673">
        <v>47</v>
      </c>
      <c r="H673">
        <v>687</v>
      </c>
      <c r="I673" t="s">
        <v>1278</v>
      </c>
      <c r="J673" t="s">
        <v>93</v>
      </c>
      <c r="K673" t="b">
        <v>1</v>
      </c>
      <c r="L673">
        <f t="shared" si="10"/>
        <v>153</v>
      </c>
      <c r="M673">
        <f t="shared" si="10"/>
        <v>2137</v>
      </c>
      <c r="N673" t="b">
        <v>0</v>
      </c>
      <c r="O673">
        <v>0</v>
      </c>
      <c r="Q673">
        <v>0</v>
      </c>
      <c r="R673" t="b">
        <v>0</v>
      </c>
    </row>
    <row r="674" spans="1:18">
      <c r="A674" t="s">
        <v>1191</v>
      </c>
      <c r="B674" t="s">
        <v>1878</v>
      </c>
      <c r="C674" t="s">
        <v>1879</v>
      </c>
      <c r="E674">
        <v>108</v>
      </c>
      <c r="F674">
        <v>1844</v>
      </c>
      <c r="G674">
        <v>43</v>
      </c>
      <c r="H674">
        <v>250</v>
      </c>
      <c r="J674" t="s">
        <v>22</v>
      </c>
      <c r="K674" t="b">
        <v>1</v>
      </c>
      <c r="L674">
        <f t="shared" si="10"/>
        <v>151</v>
      </c>
      <c r="M674">
        <f t="shared" si="10"/>
        <v>2094</v>
      </c>
      <c r="N674" t="b">
        <v>0</v>
      </c>
      <c r="O674">
        <v>1</v>
      </c>
      <c r="P674" t="s">
        <v>1880</v>
      </c>
      <c r="Q674">
        <v>2</v>
      </c>
      <c r="R674" t="b">
        <v>1</v>
      </c>
    </row>
    <row r="675" spans="1:18">
      <c r="A675" t="s">
        <v>59</v>
      </c>
      <c r="B675" t="s">
        <v>1881</v>
      </c>
      <c r="C675" t="s">
        <v>1882</v>
      </c>
      <c r="E675">
        <v>88</v>
      </c>
      <c r="F675">
        <v>174</v>
      </c>
      <c r="G675">
        <v>63</v>
      </c>
      <c r="H675">
        <v>157</v>
      </c>
      <c r="J675" t="s">
        <v>22</v>
      </c>
      <c r="K675" t="b">
        <v>1</v>
      </c>
      <c r="L675">
        <f t="shared" si="10"/>
        <v>151</v>
      </c>
      <c r="M675">
        <f t="shared" si="10"/>
        <v>331</v>
      </c>
      <c r="N675" t="b">
        <v>0</v>
      </c>
      <c r="O675">
        <v>1</v>
      </c>
      <c r="P675" t="s">
        <v>1883</v>
      </c>
      <c r="Q675">
        <v>2</v>
      </c>
      <c r="R675" t="b">
        <v>1</v>
      </c>
    </row>
    <row r="676" spans="1:18">
      <c r="A676" t="s">
        <v>205</v>
      </c>
      <c r="B676" t="s">
        <v>1884</v>
      </c>
      <c r="C676" t="s">
        <v>1885</v>
      </c>
      <c r="E676">
        <v>96</v>
      </c>
      <c r="F676">
        <v>1413</v>
      </c>
      <c r="G676">
        <v>54</v>
      </c>
      <c r="H676">
        <v>503</v>
      </c>
      <c r="J676" t="s">
        <v>22</v>
      </c>
      <c r="K676" t="b">
        <v>1</v>
      </c>
      <c r="L676">
        <f t="shared" si="10"/>
        <v>150</v>
      </c>
      <c r="M676">
        <f t="shared" si="10"/>
        <v>1916</v>
      </c>
      <c r="N676" t="b">
        <v>0</v>
      </c>
      <c r="O676">
        <v>1</v>
      </c>
      <c r="P676" t="s">
        <v>1886</v>
      </c>
      <c r="Q676">
        <v>2</v>
      </c>
      <c r="R676" t="b">
        <v>1</v>
      </c>
    </row>
    <row r="677" spans="1:18">
      <c r="A677" t="s">
        <v>573</v>
      </c>
      <c r="B677" t="s">
        <v>1887</v>
      </c>
      <c r="C677" t="s">
        <v>1888</v>
      </c>
      <c r="E677">
        <v>123</v>
      </c>
      <c r="F677">
        <v>93</v>
      </c>
      <c r="G677">
        <v>25</v>
      </c>
      <c r="H677">
        <v>27</v>
      </c>
      <c r="J677" t="s">
        <v>22</v>
      </c>
      <c r="K677" t="b">
        <v>1</v>
      </c>
      <c r="L677">
        <f t="shared" si="10"/>
        <v>148</v>
      </c>
      <c r="M677">
        <f t="shared" si="10"/>
        <v>120</v>
      </c>
      <c r="N677" t="b">
        <v>0</v>
      </c>
      <c r="O677">
        <v>1</v>
      </c>
      <c r="P677" t="s">
        <v>1889</v>
      </c>
      <c r="Q677">
        <v>2</v>
      </c>
      <c r="R677" t="b">
        <v>1</v>
      </c>
    </row>
    <row r="678" spans="1:18" hidden="1">
      <c r="A678" t="s">
        <v>1207</v>
      </c>
      <c r="B678" t="s">
        <v>1890</v>
      </c>
      <c r="C678" t="s">
        <v>1891</v>
      </c>
      <c r="E678">
        <v>93</v>
      </c>
      <c r="F678">
        <v>1077</v>
      </c>
      <c r="G678">
        <v>55</v>
      </c>
      <c r="H678">
        <v>266</v>
      </c>
      <c r="J678" t="s">
        <v>93</v>
      </c>
      <c r="K678" t="b">
        <v>0</v>
      </c>
      <c r="L678">
        <f t="shared" si="10"/>
        <v>148</v>
      </c>
      <c r="M678">
        <f t="shared" si="10"/>
        <v>1343</v>
      </c>
      <c r="N678" t="b">
        <v>0</v>
      </c>
      <c r="O678">
        <v>0</v>
      </c>
      <c r="Q678">
        <v>0</v>
      </c>
      <c r="R678" t="b">
        <v>0</v>
      </c>
    </row>
    <row r="679" spans="1:18">
      <c r="A679" t="s">
        <v>1191</v>
      </c>
      <c r="B679" t="s">
        <v>1892</v>
      </c>
      <c r="C679" t="s">
        <v>1893</v>
      </c>
      <c r="E679">
        <v>101</v>
      </c>
      <c r="F679">
        <v>1854</v>
      </c>
      <c r="G679">
        <v>43</v>
      </c>
      <c r="H679">
        <v>257</v>
      </c>
      <c r="J679" t="s">
        <v>22</v>
      </c>
      <c r="K679" t="b">
        <v>1</v>
      </c>
      <c r="L679">
        <f t="shared" si="10"/>
        <v>144</v>
      </c>
      <c r="M679">
        <f t="shared" si="10"/>
        <v>2111</v>
      </c>
      <c r="N679" t="b">
        <v>0</v>
      </c>
      <c r="O679">
        <v>1</v>
      </c>
      <c r="P679" t="s">
        <v>1894</v>
      </c>
      <c r="Q679">
        <v>2</v>
      </c>
      <c r="R679" t="b">
        <v>1</v>
      </c>
    </row>
    <row r="680" spans="1:18" hidden="1">
      <c r="A680" t="s">
        <v>37</v>
      </c>
      <c r="B680" t="s">
        <v>1895</v>
      </c>
      <c r="C680" t="s">
        <v>1896</v>
      </c>
      <c r="D680" t="s">
        <v>1736</v>
      </c>
      <c r="E680">
        <v>84</v>
      </c>
      <c r="F680">
        <v>1430</v>
      </c>
      <c r="G680">
        <v>60</v>
      </c>
      <c r="H680">
        <v>1580</v>
      </c>
      <c r="I680" t="s">
        <v>1676</v>
      </c>
      <c r="J680" t="s">
        <v>93</v>
      </c>
      <c r="K680" t="b">
        <v>1</v>
      </c>
      <c r="L680">
        <f t="shared" si="10"/>
        <v>144</v>
      </c>
      <c r="M680">
        <f t="shared" si="10"/>
        <v>3010</v>
      </c>
      <c r="N680" t="b">
        <v>0</v>
      </c>
      <c r="O680">
        <v>0</v>
      </c>
      <c r="Q680">
        <v>0</v>
      </c>
      <c r="R680" t="b">
        <v>0</v>
      </c>
    </row>
    <row r="681" spans="1:18" hidden="1">
      <c r="A681" t="s">
        <v>37</v>
      </c>
      <c r="B681" t="s">
        <v>1897</v>
      </c>
      <c r="C681" t="s">
        <v>1898</v>
      </c>
      <c r="D681" t="s">
        <v>1736</v>
      </c>
      <c r="E681">
        <v>84</v>
      </c>
      <c r="F681">
        <v>1430</v>
      </c>
      <c r="G681">
        <v>60</v>
      </c>
      <c r="H681">
        <v>1580</v>
      </c>
      <c r="I681" t="s">
        <v>1676</v>
      </c>
      <c r="J681" t="s">
        <v>93</v>
      </c>
      <c r="K681" t="b">
        <v>1</v>
      </c>
      <c r="L681">
        <f t="shared" si="10"/>
        <v>144</v>
      </c>
      <c r="M681">
        <f t="shared" si="10"/>
        <v>3010</v>
      </c>
      <c r="N681" t="b">
        <v>0</v>
      </c>
      <c r="O681">
        <v>0</v>
      </c>
      <c r="Q681">
        <v>0</v>
      </c>
      <c r="R681" t="b">
        <v>0</v>
      </c>
    </row>
    <row r="682" spans="1:18" hidden="1">
      <c r="A682" t="s">
        <v>1847</v>
      </c>
      <c r="B682" t="s">
        <v>1899</v>
      </c>
      <c r="C682" t="s">
        <v>1900</v>
      </c>
      <c r="D682" t="s">
        <v>519</v>
      </c>
      <c r="E682">
        <v>99</v>
      </c>
      <c r="F682">
        <v>1532</v>
      </c>
      <c r="G682">
        <v>42</v>
      </c>
      <c r="H682">
        <v>699</v>
      </c>
      <c r="I682" t="s">
        <v>1901</v>
      </c>
      <c r="J682" t="s">
        <v>93</v>
      </c>
      <c r="K682" t="b">
        <v>0</v>
      </c>
      <c r="L682">
        <f t="shared" si="10"/>
        <v>141</v>
      </c>
      <c r="M682">
        <f t="shared" si="10"/>
        <v>2231</v>
      </c>
      <c r="N682" t="b">
        <v>0</v>
      </c>
      <c r="O682">
        <v>0</v>
      </c>
      <c r="Q682">
        <v>0</v>
      </c>
      <c r="R682" t="b">
        <v>0</v>
      </c>
    </row>
    <row r="683" spans="1:18">
      <c r="A683" t="s">
        <v>24</v>
      </c>
      <c r="B683" t="s">
        <v>1902</v>
      </c>
      <c r="C683" t="s">
        <v>1903</v>
      </c>
      <c r="E683">
        <v>86</v>
      </c>
      <c r="F683">
        <v>2100</v>
      </c>
      <c r="G683">
        <v>55</v>
      </c>
      <c r="H683">
        <v>468</v>
      </c>
      <c r="J683" t="s">
        <v>22</v>
      </c>
      <c r="K683" t="b">
        <v>1</v>
      </c>
      <c r="L683">
        <f t="shared" si="10"/>
        <v>141</v>
      </c>
      <c r="M683">
        <f t="shared" si="10"/>
        <v>2568</v>
      </c>
      <c r="N683" t="b">
        <v>0</v>
      </c>
      <c r="O683">
        <v>1</v>
      </c>
      <c r="P683" t="s">
        <v>1886</v>
      </c>
      <c r="Q683">
        <v>2</v>
      </c>
      <c r="R683" t="b">
        <v>1</v>
      </c>
    </row>
    <row r="684" spans="1:18">
      <c r="A684" t="s">
        <v>192</v>
      </c>
      <c r="B684" t="s">
        <v>1904</v>
      </c>
      <c r="C684" t="s">
        <v>1905</v>
      </c>
      <c r="E684">
        <v>110</v>
      </c>
      <c r="F684">
        <v>9</v>
      </c>
      <c r="G684">
        <v>31</v>
      </c>
      <c r="H684">
        <v>34</v>
      </c>
      <c r="J684" t="s">
        <v>22</v>
      </c>
      <c r="K684" t="b">
        <v>1</v>
      </c>
      <c r="L684">
        <f t="shared" si="10"/>
        <v>141</v>
      </c>
      <c r="M684">
        <f t="shared" si="10"/>
        <v>43</v>
      </c>
      <c r="N684" t="b">
        <v>0</v>
      </c>
      <c r="O684">
        <v>1</v>
      </c>
      <c r="P684" t="s">
        <v>1906</v>
      </c>
      <c r="Q684">
        <v>2</v>
      </c>
      <c r="R684" t="b">
        <v>1</v>
      </c>
    </row>
    <row r="685" spans="1:18">
      <c r="A685" t="s">
        <v>1191</v>
      </c>
      <c r="B685" t="s">
        <v>1907</v>
      </c>
      <c r="C685" t="s">
        <v>1908</v>
      </c>
      <c r="E685">
        <v>97</v>
      </c>
      <c r="F685">
        <v>1872</v>
      </c>
      <c r="G685">
        <v>42</v>
      </c>
      <c r="H685">
        <v>237</v>
      </c>
      <c r="J685" t="s">
        <v>22</v>
      </c>
      <c r="K685" t="b">
        <v>1</v>
      </c>
      <c r="L685">
        <f t="shared" si="10"/>
        <v>139</v>
      </c>
      <c r="M685">
        <f t="shared" si="10"/>
        <v>2109</v>
      </c>
      <c r="N685" t="b">
        <v>0</v>
      </c>
      <c r="O685">
        <v>1</v>
      </c>
      <c r="P685" t="s">
        <v>1909</v>
      </c>
      <c r="Q685">
        <v>2</v>
      </c>
      <c r="R685" t="b">
        <v>1</v>
      </c>
    </row>
    <row r="686" spans="1:18" hidden="1">
      <c r="A686" t="s">
        <v>1207</v>
      </c>
      <c r="B686" t="s">
        <v>1910</v>
      </c>
      <c r="C686" t="s">
        <v>1911</v>
      </c>
      <c r="E686">
        <v>96</v>
      </c>
      <c r="F686">
        <v>930</v>
      </c>
      <c r="G686">
        <v>43</v>
      </c>
      <c r="H686">
        <v>402</v>
      </c>
      <c r="J686" t="s">
        <v>93</v>
      </c>
      <c r="K686" t="b">
        <v>0</v>
      </c>
      <c r="L686">
        <f t="shared" si="10"/>
        <v>139</v>
      </c>
      <c r="M686">
        <f t="shared" si="10"/>
        <v>1332</v>
      </c>
      <c r="N686" t="b">
        <v>0</v>
      </c>
      <c r="O686">
        <v>0</v>
      </c>
      <c r="Q686">
        <v>0</v>
      </c>
      <c r="R686" t="b">
        <v>0</v>
      </c>
    </row>
    <row r="687" spans="1:18" hidden="1">
      <c r="A687" t="s">
        <v>37</v>
      </c>
      <c r="B687" t="s">
        <v>1912</v>
      </c>
      <c r="C687" t="s">
        <v>1913</v>
      </c>
      <c r="D687" t="s">
        <v>519</v>
      </c>
      <c r="E687">
        <v>105</v>
      </c>
      <c r="F687">
        <v>4880</v>
      </c>
      <c r="G687">
        <v>33</v>
      </c>
      <c r="H687">
        <v>220</v>
      </c>
      <c r="I687" t="s">
        <v>1676</v>
      </c>
      <c r="J687" t="s">
        <v>93</v>
      </c>
      <c r="K687" t="b">
        <v>1</v>
      </c>
      <c r="L687">
        <f t="shared" si="10"/>
        <v>138</v>
      </c>
      <c r="M687">
        <f t="shared" si="10"/>
        <v>5100</v>
      </c>
      <c r="N687" t="b">
        <v>0</v>
      </c>
      <c r="O687">
        <v>0</v>
      </c>
      <c r="Q687">
        <v>0</v>
      </c>
      <c r="R687" t="b">
        <v>0</v>
      </c>
    </row>
    <row r="688" spans="1:18">
      <c r="A688" t="s">
        <v>1143</v>
      </c>
      <c r="B688" t="s">
        <v>1914</v>
      </c>
      <c r="C688" t="s">
        <v>1915</v>
      </c>
      <c r="E688">
        <v>0</v>
      </c>
      <c r="F688">
        <v>0</v>
      </c>
      <c r="G688">
        <v>138</v>
      </c>
      <c r="H688">
        <v>631</v>
      </c>
      <c r="J688" t="s">
        <v>22</v>
      </c>
      <c r="K688" t="b">
        <v>1</v>
      </c>
      <c r="L688">
        <f t="shared" si="10"/>
        <v>138</v>
      </c>
      <c r="M688">
        <f t="shared" si="10"/>
        <v>631</v>
      </c>
      <c r="N688" t="b">
        <v>0</v>
      </c>
      <c r="O688">
        <v>1</v>
      </c>
      <c r="P688" t="s">
        <v>1916</v>
      </c>
      <c r="Q688">
        <v>2</v>
      </c>
      <c r="R688" t="b">
        <v>1</v>
      </c>
    </row>
    <row r="689" spans="1:18">
      <c r="A689" t="s">
        <v>192</v>
      </c>
      <c r="B689" t="s">
        <v>1917</v>
      </c>
      <c r="C689" t="s">
        <v>1918</v>
      </c>
      <c r="E689">
        <v>97</v>
      </c>
      <c r="F689">
        <v>1280</v>
      </c>
      <c r="G689">
        <v>41</v>
      </c>
      <c r="H689">
        <v>1155</v>
      </c>
      <c r="J689" t="s">
        <v>22</v>
      </c>
      <c r="K689" t="b">
        <v>1</v>
      </c>
      <c r="L689">
        <f t="shared" si="10"/>
        <v>138</v>
      </c>
      <c r="M689">
        <f t="shared" si="10"/>
        <v>2435</v>
      </c>
      <c r="N689" t="b">
        <v>0</v>
      </c>
      <c r="O689">
        <v>1</v>
      </c>
      <c r="P689" t="s">
        <v>1919</v>
      </c>
      <c r="Q689">
        <v>2</v>
      </c>
      <c r="R689" t="b">
        <v>1</v>
      </c>
    </row>
    <row r="690" spans="1:18">
      <c r="A690" t="s">
        <v>87</v>
      </c>
      <c r="B690" t="s">
        <v>1920</v>
      </c>
      <c r="C690" t="s">
        <v>1921</v>
      </c>
      <c r="E690">
        <v>101</v>
      </c>
      <c r="F690">
        <v>1925</v>
      </c>
      <c r="G690">
        <v>37</v>
      </c>
      <c r="H690">
        <v>189</v>
      </c>
      <c r="J690" t="s">
        <v>22</v>
      </c>
      <c r="K690" t="b">
        <v>1</v>
      </c>
      <c r="L690">
        <f t="shared" si="10"/>
        <v>138</v>
      </c>
      <c r="M690">
        <f t="shared" si="10"/>
        <v>2114</v>
      </c>
      <c r="N690" t="b">
        <v>0</v>
      </c>
      <c r="O690">
        <v>1</v>
      </c>
      <c r="P690" t="s">
        <v>1922</v>
      </c>
      <c r="Q690">
        <v>2</v>
      </c>
      <c r="R690" t="b">
        <v>1</v>
      </c>
    </row>
    <row r="691" spans="1:18">
      <c r="A691" t="s">
        <v>24</v>
      </c>
      <c r="B691" t="s">
        <v>1923</v>
      </c>
      <c r="C691" t="s">
        <v>1924</v>
      </c>
      <c r="E691">
        <v>96</v>
      </c>
      <c r="F691">
        <v>1280</v>
      </c>
      <c r="G691">
        <v>41</v>
      </c>
      <c r="H691">
        <v>1155</v>
      </c>
      <c r="J691" t="s">
        <v>22</v>
      </c>
      <c r="K691" t="b">
        <v>1</v>
      </c>
      <c r="L691">
        <f t="shared" si="10"/>
        <v>137</v>
      </c>
      <c r="M691">
        <f t="shared" si="10"/>
        <v>2435</v>
      </c>
      <c r="N691" t="b">
        <v>0</v>
      </c>
      <c r="O691">
        <v>1</v>
      </c>
      <c r="P691" t="s">
        <v>1925</v>
      </c>
      <c r="Q691">
        <v>2</v>
      </c>
      <c r="R691" t="b">
        <v>1</v>
      </c>
    </row>
    <row r="692" spans="1:18">
      <c r="A692" t="s">
        <v>59</v>
      </c>
      <c r="B692" t="s">
        <v>1926</v>
      </c>
      <c r="C692" t="s">
        <v>1927</v>
      </c>
      <c r="E692">
        <v>137</v>
      </c>
      <c r="F692">
        <v>501</v>
      </c>
      <c r="G692">
        <v>0</v>
      </c>
      <c r="H692">
        <v>0</v>
      </c>
      <c r="J692" t="s">
        <v>22</v>
      </c>
      <c r="K692" t="b">
        <v>1</v>
      </c>
      <c r="L692">
        <f t="shared" si="10"/>
        <v>137</v>
      </c>
      <c r="M692">
        <f t="shared" si="10"/>
        <v>501</v>
      </c>
      <c r="N692" t="b">
        <v>0</v>
      </c>
      <c r="O692">
        <v>1</v>
      </c>
      <c r="P692" t="s">
        <v>1928</v>
      </c>
      <c r="Q692">
        <v>1</v>
      </c>
      <c r="R692" t="b">
        <v>1</v>
      </c>
    </row>
    <row r="693" spans="1:18">
      <c r="A693" t="s">
        <v>1929</v>
      </c>
      <c r="B693" t="s">
        <v>1930</v>
      </c>
      <c r="C693" t="s">
        <v>1931</v>
      </c>
      <c r="E693">
        <v>85</v>
      </c>
      <c r="F693">
        <v>563</v>
      </c>
      <c r="G693">
        <v>51</v>
      </c>
      <c r="H693">
        <v>783</v>
      </c>
      <c r="J693" t="s">
        <v>22</v>
      </c>
      <c r="K693" t="b">
        <v>1</v>
      </c>
      <c r="L693">
        <f t="shared" si="10"/>
        <v>136</v>
      </c>
      <c r="M693">
        <f t="shared" si="10"/>
        <v>1346</v>
      </c>
      <c r="N693" t="b">
        <v>0</v>
      </c>
      <c r="O693">
        <v>1</v>
      </c>
      <c r="P693" t="s">
        <v>1932</v>
      </c>
      <c r="Q693">
        <v>2</v>
      </c>
      <c r="R693" t="b">
        <v>1</v>
      </c>
    </row>
    <row r="694" spans="1:18">
      <c r="A694" t="s">
        <v>1929</v>
      </c>
      <c r="B694" t="s">
        <v>1933</v>
      </c>
      <c r="C694" t="s">
        <v>1934</v>
      </c>
      <c r="E694">
        <v>85</v>
      </c>
      <c r="F694">
        <v>564</v>
      </c>
      <c r="G694">
        <v>51</v>
      </c>
      <c r="H694">
        <v>783</v>
      </c>
      <c r="J694" t="s">
        <v>22</v>
      </c>
      <c r="K694" t="b">
        <v>1</v>
      </c>
      <c r="L694">
        <f t="shared" si="10"/>
        <v>136</v>
      </c>
      <c r="M694">
        <f t="shared" si="10"/>
        <v>1347</v>
      </c>
      <c r="N694" t="b">
        <v>0</v>
      </c>
      <c r="O694">
        <v>1</v>
      </c>
      <c r="P694" t="s">
        <v>33</v>
      </c>
      <c r="Q694">
        <v>2</v>
      </c>
      <c r="R694" t="b">
        <v>1</v>
      </c>
    </row>
    <row r="695" spans="1:18">
      <c r="A695" t="s">
        <v>87</v>
      </c>
      <c r="B695" t="s">
        <v>1935</v>
      </c>
      <c r="C695" t="s">
        <v>1936</v>
      </c>
      <c r="E695">
        <v>0</v>
      </c>
      <c r="F695">
        <v>0</v>
      </c>
      <c r="G695">
        <v>136</v>
      </c>
      <c r="H695">
        <v>2740</v>
      </c>
      <c r="J695" t="s">
        <v>22</v>
      </c>
      <c r="K695" t="b">
        <v>1</v>
      </c>
      <c r="L695">
        <f t="shared" si="10"/>
        <v>136</v>
      </c>
      <c r="M695">
        <f t="shared" si="10"/>
        <v>2740</v>
      </c>
      <c r="N695" t="b">
        <v>0</v>
      </c>
      <c r="O695">
        <v>1</v>
      </c>
      <c r="P695" t="s">
        <v>1937</v>
      </c>
      <c r="Q695">
        <v>2</v>
      </c>
      <c r="R695" t="b">
        <v>1</v>
      </c>
    </row>
    <row r="696" spans="1:18">
      <c r="A696" t="s">
        <v>1224</v>
      </c>
      <c r="B696" t="s">
        <v>1938</v>
      </c>
      <c r="C696" t="s">
        <v>1939</v>
      </c>
      <c r="E696">
        <v>106</v>
      </c>
      <c r="F696">
        <v>682</v>
      </c>
      <c r="G696">
        <v>30</v>
      </c>
      <c r="H696">
        <v>148</v>
      </c>
      <c r="J696" t="s">
        <v>22</v>
      </c>
      <c r="K696" t="b">
        <v>1</v>
      </c>
      <c r="L696">
        <f t="shared" si="10"/>
        <v>136</v>
      </c>
      <c r="M696">
        <f t="shared" si="10"/>
        <v>830</v>
      </c>
      <c r="N696" t="b">
        <v>0</v>
      </c>
      <c r="O696">
        <v>1</v>
      </c>
      <c r="P696" t="s">
        <v>1940</v>
      </c>
      <c r="Q696">
        <v>2</v>
      </c>
      <c r="R696" t="b">
        <v>1</v>
      </c>
    </row>
    <row r="697" spans="1:18">
      <c r="A697" t="s">
        <v>1224</v>
      </c>
      <c r="B697" t="s">
        <v>1941</v>
      </c>
      <c r="C697" t="s">
        <v>1942</v>
      </c>
      <c r="E697">
        <v>104</v>
      </c>
      <c r="F697">
        <v>598</v>
      </c>
      <c r="G697">
        <v>32</v>
      </c>
      <c r="H697">
        <v>187</v>
      </c>
      <c r="J697" t="s">
        <v>22</v>
      </c>
      <c r="K697" t="b">
        <v>1</v>
      </c>
      <c r="L697">
        <f t="shared" si="10"/>
        <v>136</v>
      </c>
      <c r="M697">
        <f t="shared" si="10"/>
        <v>785</v>
      </c>
      <c r="N697" t="b">
        <v>0</v>
      </c>
      <c r="O697">
        <v>1</v>
      </c>
      <c r="P697" t="s">
        <v>1943</v>
      </c>
      <c r="Q697">
        <v>2</v>
      </c>
      <c r="R697" t="b">
        <v>1</v>
      </c>
    </row>
    <row r="698" spans="1:18">
      <c r="A698" t="s">
        <v>24</v>
      </c>
      <c r="B698" t="s">
        <v>1944</v>
      </c>
      <c r="C698" t="s">
        <v>1945</v>
      </c>
      <c r="E698">
        <v>95</v>
      </c>
      <c r="F698">
        <v>841</v>
      </c>
      <c r="G698">
        <v>41</v>
      </c>
      <c r="H698">
        <v>956</v>
      </c>
      <c r="J698" t="s">
        <v>22</v>
      </c>
      <c r="K698" t="b">
        <v>1</v>
      </c>
      <c r="L698">
        <f t="shared" si="10"/>
        <v>136</v>
      </c>
      <c r="M698">
        <f t="shared" si="10"/>
        <v>1797</v>
      </c>
      <c r="N698" t="b">
        <v>0</v>
      </c>
      <c r="O698">
        <v>1</v>
      </c>
      <c r="P698" t="s">
        <v>1946</v>
      </c>
      <c r="Q698">
        <v>2</v>
      </c>
      <c r="R698" t="b">
        <v>1</v>
      </c>
    </row>
    <row r="699" spans="1:18">
      <c r="A699" t="s">
        <v>1224</v>
      </c>
      <c r="B699" t="s">
        <v>1947</v>
      </c>
      <c r="C699" t="s">
        <v>1948</v>
      </c>
      <c r="E699">
        <v>106</v>
      </c>
      <c r="F699">
        <v>681</v>
      </c>
      <c r="G699">
        <v>29</v>
      </c>
      <c r="H699">
        <v>151</v>
      </c>
      <c r="J699" t="s">
        <v>22</v>
      </c>
      <c r="K699" t="b">
        <v>1</v>
      </c>
      <c r="L699">
        <f t="shared" si="10"/>
        <v>135</v>
      </c>
      <c r="M699">
        <f t="shared" si="10"/>
        <v>832</v>
      </c>
      <c r="N699" t="b">
        <v>0</v>
      </c>
      <c r="O699">
        <v>1</v>
      </c>
      <c r="P699" t="s">
        <v>1949</v>
      </c>
      <c r="Q699">
        <v>2</v>
      </c>
      <c r="R699" t="b">
        <v>1</v>
      </c>
    </row>
    <row r="700" spans="1:18">
      <c r="A700" t="s">
        <v>205</v>
      </c>
      <c r="B700" t="s">
        <v>1950</v>
      </c>
      <c r="C700" t="s">
        <v>1951</v>
      </c>
      <c r="E700">
        <v>84</v>
      </c>
      <c r="F700">
        <v>320</v>
      </c>
      <c r="G700">
        <v>51</v>
      </c>
      <c r="H700">
        <v>192</v>
      </c>
      <c r="J700" t="s">
        <v>22</v>
      </c>
      <c r="K700" t="b">
        <v>1</v>
      </c>
      <c r="L700">
        <f t="shared" si="10"/>
        <v>135</v>
      </c>
      <c r="M700">
        <f t="shared" si="10"/>
        <v>512</v>
      </c>
      <c r="N700" t="b">
        <v>0</v>
      </c>
      <c r="O700">
        <v>1</v>
      </c>
      <c r="P700" t="s">
        <v>71</v>
      </c>
      <c r="Q700">
        <v>2</v>
      </c>
      <c r="R700" t="b">
        <v>1</v>
      </c>
    </row>
    <row r="701" spans="1:18">
      <c r="A701" t="s">
        <v>1462</v>
      </c>
      <c r="B701" t="s">
        <v>1952</v>
      </c>
      <c r="C701" t="s">
        <v>1953</v>
      </c>
      <c r="E701">
        <v>84</v>
      </c>
      <c r="F701">
        <v>276</v>
      </c>
      <c r="G701">
        <v>51</v>
      </c>
      <c r="H701">
        <v>153</v>
      </c>
      <c r="J701" t="s">
        <v>22</v>
      </c>
      <c r="K701" t="b">
        <v>1</v>
      </c>
      <c r="L701">
        <f t="shared" si="10"/>
        <v>135</v>
      </c>
      <c r="M701">
        <f t="shared" si="10"/>
        <v>429</v>
      </c>
      <c r="N701" t="b">
        <v>0</v>
      </c>
      <c r="O701">
        <v>1</v>
      </c>
      <c r="P701" t="s">
        <v>1954</v>
      </c>
      <c r="Q701">
        <v>2</v>
      </c>
      <c r="R701" t="b">
        <v>1</v>
      </c>
    </row>
    <row r="702" spans="1:18">
      <c r="A702" t="s">
        <v>19</v>
      </c>
      <c r="B702" t="s">
        <v>1955</v>
      </c>
      <c r="C702" t="s">
        <v>1956</v>
      </c>
      <c r="E702">
        <v>88</v>
      </c>
      <c r="F702">
        <v>654</v>
      </c>
      <c r="G702">
        <v>46</v>
      </c>
      <c r="H702">
        <v>532</v>
      </c>
      <c r="J702" t="s">
        <v>22</v>
      </c>
      <c r="K702" t="b">
        <v>1</v>
      </c>
      <c r="L702">
        <f t="shared" si="10"/>
        <v>134</v>
      </c>
      <c r="M702">
        <f t="shared" si="10"/>
        <v>1186</v>
      </c>
      <c r="N702" t="b">
        <v>0</v>
      </c>
      <c r="O702">
        <v>1</v>
      </c>
      <c r="P702" t="s">
        <v>1957</v>
      </c>
      <c r="Q702">
        <v>2</v>
      </c>
      <c r="R702" t="b">
        <v>1</v>
      </c>
    </row>
    <row r="703" spans="1:18">
      <c r="A703" t="s">
        <v>1191</v>
      </c>
      <c r="B703" t="s">
        <v>1958</v>
      </c>
      <c r="C703" t="s">
        <v>1959</v>
      </c>
      <c r="E703">
        <v>92</v>
      </c>
      <c r="F703">
        <v>1846</v>
      </c>
      <c r="G703">
        <v>41</v>
      </c>
      <c r="H703">
        <v>250</v>
      </c>
      <c r="J703" t="s">
        <v>22</v>
      </c>
      <c r="K703" t="b">
        <v>1</v>
      </c>
      <c r="L703">
        <f t="shared" si="10"/>
        <v>133</v>
      </c>
      <c r="M703">
        <f t="shared" si="10"/>
        <v>2096</v>
      </c>
      <c r="N703" t="b">
        <v>0</v>
      </c>
      <c r="O703">
        <v>1</v>
      </c>
      <c r="P703" t="s">
        <v>1960</v>
      </c>
      <c r="Q703">
        <v>2</v>
      </c>
      <c r="R703" t="b">
        <v>1</v>
      </c>
    </row>
    <row r="704" spans="1:18">
      <c r="A704" t="s">
        <v>115</v>
      </c>
      <c r="B704" t="s">
        <v>1961</v>
      </c>
      <c r="C704" t="s">
        <v>1962</v>
      </c>
      <c r="E704">
        <v>89</v>
      </c>
      <c r="F704">
        <v>140</v>
      </c>
      <c r="G704">
        <v>44</v>
      </c>
      <c r="H704">
        <v>155</v>
      </c>
      <c r="J704" t="s">
        <v>22</v>
      </c>
      <c r="K704" t="b">
        <v>1</v>
      </c>
      <c r="L704">
        <f t="shared" si="10"/>
        <v>133</v>
      </c>
      <c r="M704">
        <f t="shared" si="10"/>
        <v>295</v>
      </c>
      <c r="N704" t="b">
        <v>0</v>
      </c>
      <c r="O704">
        <v>1</v>
      </c>
      <c r="P704" t="s">
        <v>1963</v>
      </c>
      <c r="Q704">
        <v>2</v>
      </c>
      <c r="R704" t="b">
        <v>1</v>
      </c>
    </row>
    <row r="705" spans="1:18">
      <c r="A705" t="s">
        <v>30</v>
      </c>
      <c r="B705" t="s">
        <v>1964</v>
      </c>
      <c r="C705" t="s">
        <v>1965</v>
      </c>
      <c r="E705">
        <v>108</v>
      </c>
      <c r="F705">
        <v>2296</v>
      </c>
      <c r="G705">
        <v>25</v>
      </c>
      <c r="H705">
        <v>214</v>
      </c>
      <c r="J705" t="s">
        <v>22</v>
      </c>
      <c r="K705" t="b">
        <v>1</v>
      </c>
      <c r="L705">
        <f t="shared" si="10"/>
        <v>133</v>
      </c>
      <c r="M705">
        <f t="shared" si="10"/>
        <v>2510</v>
      </c>
      <c r="N705" t="b">
        <v>0</v>
      </c>
      <c r="O705">
        <v>1</v>
      </c>
      <c r="P705" t="s">
        <v>1966</v>
      </c>
      <c r="Q705">
        <v>2</v>
      </c>
      <c r="R705" t="b">
        <v>1</v>
      </c>
    </row>
    <row r="706" spans="1:18" hidden="1">
      <c r="A706" t="s">
        <v>1967</v>
      </c>
      <c r="B706" t="s">
        <v>1968</v>
      </c>
      <c r="C706" s="2" t="s">
        <v>1969</v>
      </c>
      <c r="D706" s="7" t="s">
        <v>93</v>
      </c>
      <c r="E706">
        <v>98</v>
      </c>
      <c r="F706">
        <v>424</v>
      </c>
      <c r="G706">
        <v>34</v>
      </c>
      <c r="H706">
        <v>83</v>
      </c>
      <c r="I706" t="s">
        <v>1970</v>
      </c>
      <c r="J706" t="s">
        <v>93</v>
      </c>
      <c r="K706" t="b">
        <v>1</v>
      </c>
      <c r="L706">
        <f t="shared" si="10"/>
        <v>132</v>
      </c>
      <c r="M706">
        <f t="shared" si="10"/>
        <v>507</v>
      </c>
      <c r="N706" t="b">
        <v>0</v>
      </c>
      <c r="O706">
        <v>0</v>
      </c>
      <c r="Q706">
        <v>0</v>
      </c>
      <c r="R706" t="b">
        <v>0</v>
      </c>
    </row>
    <row r="707" spans="1:18">
      <c r="A707" t="s">
        <v>1967</v>
      </c>
      <c r="B707" t="s">
        <v>1971</v>
      </c>
      <c r="C707" t="s">
        <v>1972</v>
      </c>
      <c r="E707">
        <v>98</v>
      </c>
      <c r="F707">
        <v>424</v>
      </c>
      <c r="G707">
        <v>34</v>
      </c>
      <c r="H707">
        <v>83</v>
      </c>
      <c r="J707" t="s">
        <v>22</v>
      </c>
      <c r="K707" t="b">
        <v>1</v>
      </c>
      <c r="L707">
        <f t="shared" ref="L707:M770" si="11">E707+G707</f>
        <v>132</v>
      </c>
      <c r="M707">
        <f t="shared" si="11"/>
        <v>507</v>
      </c>
      <c r="N707" t="b">
        <v>0</v>
      </c>
      <c r="O707">
        <v>1</v>
      </c>
      <c r="P707" t="s">
        <v>1973</v>
      </c>
      <c r="Q707">
        <v>1</v>
      </c>
      <c r="R707" t="b">
        <v>1</v>
      </c>
    </row>
    <row r="708" spans="1:18">
      <c r="A708" t="s">
        <v>192</v>
      </c>
      <c r="B708" t="s">
        <v>1974</v>
      </c>
      <c r="C708" t="s">
        <v>1975</v>
      </c>
      <c r="E708">
        <v>105</v>
      </c>
      <c r="F708">
        <v>20</v>
      </c>
      <c r="G708">
        <v>27</v>
      </c>
      <c r="H708">
        <v>31</v>
      </c>
      <c r="J708" t="s">
        <v>22</v>
      </c>
      <c r="K708" t="b">
        <v>1</v>
      </c>
      <c r="L708">
        <f t="shared" si="11"/>
        <v>132</v>
      </c>
      <c r="M708">
        <f t="shared" si="11"/>
        <v>51</v>
      </c>
      <c r="N708" t="b">
        <v>0</v>
      </c>
      <c r="O708">
        <v>1</v>
      </c>
      <c r="P708" t="s">
        <v>1976</v>
      </c>
      <c r="Q708">
        <v>2</v>
      </c>
      <c r="R708" t="b">
        <v>1</v>
      </c>
    </row>
    <row r="709" spans="1:18" hidden="1">
      <c r="A709" t="s">
        <v>1227</v>
      </c>
      <c r="B709" t="s">
        <v>1977</v>
      </c>
      <c r="C709" t="s">
        <v>1978</v>
      </c>
      <c r="D709" t="s">
        <v>435</v>
      </c>
      <c r="E709">
        <v>0</v>
      </c>
      <c r="F709">
        <v>0</v>
      </c>
      <c r="G709">
        <v>131</v>
      </c>
      <c r="H709">
        <v>1610</v>
      </c>
      <c r="J709" t="s">
        <v>93</v>
      </c>
      <c r="K709" t="b">
        <v>0</v>
      </c>
      <c r="L709">
        <f t="shared" si="11"/>
        <v>131</v>
      </c>
      <c r="M709">
        <f t="shared" si="11"/>
        <v>1610</v>
      </c>
      <c r="N709" t="b">
        <v>0</v>
      </c>
      <c r="O709">
        <v>0</v>
      </c>
      <c r="Q709">
        <v>0</v>
      </c>
      <c r="R709" t="b">
        <v>0</v>
      </c>
    </row>
    <row r="710" spans="1:18" hidden="1">
      <c r="A710" t="s">
        <v>1227</v>
      </c>
      <c r="B710" t="s">
        <v>1979</v>
      </c>
      <c r="C710" t="s">
        <v>1980</v>
      </c>
      <c r="D710" t="s">
        <v>435</v>
      </c>
      <c r="E710">
        <v>0</v>
      </c>
      <c r="F710">
        <v>0</v>
      </c>
      <c r="G710">
        <v>131</v>
      </c>
      <c r="H710">
        <v>1610</v>
      </c>
      <c r="J710" t="s">
        <v>93</v>
      </c>
      <c r="K710" t="b">
        <v>0</v>
      </c>
      <c r="L710">
        <f t="shared" si="11"/>
        <v>131</v>
      </c>
      <c r="M710">
        <f t="shared" si="11"/>
        <v>1610</v>
      </c>
      <c r="N710" t="b">
        <v>0</v>
      </c>
      <c r="O710">
        <v>0</v>
      </c>
      <c r="Q710">
        <v>0</v>
      </c>
      <c r="R710" t="b">
        <v>0</v>
      </c>
    </row>
    <row r="711" spans="1:18">
      <c r="A711" t="s">
        <v>24</v>
      </c>
      <c r="B711" t="s">
        <v>1981</v>
      </c>
      <c r="C711" t="s">
        <v>1982</v>
      </c>
      <c r="E711">
        <v>71</v>
      </c>
      <c r="F711">
        <v>700</v>
      </c>
      <c r="G711">
        <v>60</v>
      </c>
      <c r="H711">
        <v>540</v>
      </c>
      <c r="J711" t="s">
        <v>22</v>
      </c>
      <c r="K711" t="b">
        <v>1</v>
      </c>
      <c r="L711">
        <f t="shared" si="11"/>
        <v>131</v>
      </c>
      <c r="M711">
        <f t="shared" si="11"/>
        <v>1240</v>
      </c>
      <c r="N711" t="b">
        <v>0</v>
      </c>
      <c r="O711">
        <v>1</v>
      </c>
      <c r="P711" t="s">
        <v>1983</v>
      </c>
      <c r="Q711">
        <v>2</v>
      </c>
      <c r="R711" t="b">
        <v>1</v>
      </c>
    </row>
    <row r="712" spans="1:18">
      <c r="A712" t="s">
        <v>1984</v>
      </c>
      <c r="B712" t="s">
        <v>1985</v>
      </c>
      <c r="C712" t="s">
        <v>1986</v>
      </c>
      <c r="E712">
        <v>96</v>
      </c>
      <c r="F712">
        <v>1030</v>
      </c>
      <c r="G712">
        <v>35</v>
      </c>
      <c r="H712">
        <v>260</v>
      </c>
      <c r="J712" t="s">
        <v>22</v>
      </c>
      <c r="K712" t="b">
        <v>1</v>
      </c>
      <c r="L712">
        <f t="shared" si="11"/>
        <v>131</v>
      </c>
      <c r="M712">
        <f t="shared" si="11"/>
        <v>1290</v>
      </c>
      <c r="N712" t="b">
        <v>0</v>
      </c>
      <c r="O712">
        <v>1</v>
      </c>
      <c r="P712" t="s">
        <v>33</v>
      </c>
      <c r="Q712">
        <v>2</v>
      </c>
      <c r="R712" t="b">
        <v>1</v>
      </c>
    </row>
    <row r="713" spans="1:18">
      <c r="A713" t="s">
        <v>1987</v>
      </c>
      <c r="B713" t="s">
        <v>1988</v>
      </c>
      <c r="C713" t="s">
        <v>1989</v>
      </c>
      <c r="E713">
        <v>92</v>
      </c>
      <c r="F713">
        <v>1717</v>
      </c>
      <c r="G713">
        <v>38</v>
      </c>
      <c r="H713">
        <v>167</v>
      </c>
      <c r="J713" t="s">
        <v>22</v>
      </c>
      <c r="K713" t="b">
        <v>1</v>
      </c>
      <c r="L713">
        <f t="shared" si="11"/>
        <v>130</v>
      </c>
      <c r="M713">
        <f t="shared" si="11"/>
        <v>1884</v>
      </c>
      <c r="N713" t="b">
        <v>0</v>
      </c>
      <c r="O713">
        <v>1</v>
      </c>
      <c r="P713" t="s">
        <v>33</v>
      </c>
      <c r="Q713">
        <v>2</v>
      </c>
      <c r="R713" t="b">
        <v>1</v>
      </c>
    </row>
    <row r="714" spans="1:18">
      <c r="A714" t="s">
        <v>205</v>
      </c>
      <c r="B714" t="s">
        <v>1990</v>
      </c>
      <c r="C714" t="s">
        <v>1991</v>
      </c>
      <c r="E714">
        <v>84</v>
      </c>
      <c r="F714">
        <v>1394</v>
      </c>
      <c r="G714">
        <v>46</v>
      </c>
      <c r="H714">
        <v>203</v>
      </c>
      <c r="J714" t="s">
        <v>22</v>
      </c>
      <c r="K714" t="b">
        <v>1</v>
      </c>
      <c r="L714">
        <f t="shared" si="11"/>
        <v>130</v>
      </c>
      <c r="M714">
        <f t="shared" si="11"/>
        <v>1597</v>
      </c>
      <c r="N714" t="b">
        <v>0</v>
      </c>
      <c r="O714">
        <v>1</v>
      </c>
      <c r="P714" t="s">
        <v>1992</v>
      </c>
      <c r="Q714">
        <v>2</v>
      </c>
      <c r="R714" t="b">
        <v>1</v>
      </c>
    </row>
    <row r="715" spans="1:18">
      <c r="A715" t="s">
        <v>573</v>
      </c>
      <c r="B715" t="s">
        <v>1993</v>
      </c>
      <c r="C715" t="s">
        <v>1994</v>
      </c>
      <c r="E715">
        <v>100</v>
      </c>
      <c r="F715">
        <v>1752</v>
      </c>
      <c r="G715">
        <v>26</v>
      </c>
      <c r="H715">
        <v>115</v>
      </c>
      <c r="J715" t="s">
        <v>22</v>
      </c>
      <c r="K715" t="b">
        <v>1</v>
      </c>
      <c r="L715">
        <f t="shared" si="11"/>
        <v>126</v>
      </c>
      <c r="M715">
        <f t="shared" si="11"/>
        <v>1867</v>
      </c>
      <c r="N715" t="b">
        <v>0</v>
      </c>
      <c r="O715">
        <v>1</v>
      </c>
      <c r="P715" t="s">
        <v>1995</v>
      </c>
      <c r="Q715">
        <v>2</v>
      </c>
      <c r="R715" t="b">
        <v>1</v>
      </c>
    </row>
    <row r="716" spans="1:18" hidden="1">
      <c r="A716" t="s">
        <v>235</v>
      </c>
      <c r="B716" t="s">
        <v>1996</v>
      </c>
      <c r="C716" t="s">
        <v>1997</v>
      </c>
      <c r="D716" t="s">
        <v>519</v>
      </c>
      <c r="E716">
        <v>102</v>
      </c>
      <c r="F716">
        <v>1773</v>
      </c>
      <c r="G716">
        <v>24</v>
      </c>
      <c r="H716">
        <v>1174</v>
      </c>
      <c r="I716" t="s">
        <v>1676</v>
      </c>
      <c r="J716" t="s">
        <v>93</v>
      </c>
      <c r="K716" t="b">
        <v>1</v>
      </c>
      <c r="L716">
        <f t="shared" si="11"/>
        <v>126</v>
      </c>
      <c r="M716">
        <f t="shared" si="11"/>
        <v>2947</v>
      </c>
      <c r="N716" t="b">
        <v>0</v>
      </c>
      <c r="O716">
        <v>0</v>
      </c>
      <c r="Q716">
        <v>0</v>
      </c>
      <c r="R716" t="b">
        <v>0</v>
      </c>
    </row>
    <row r="717" spans="1:18">
      <c r="A717" t="s">
        <v>274</v>
      </c>
      <c r="B717" t="s">
        <v>1998</v>
      </c>
      <c r="C717" t="s">
        <v>1999</v>
      </c>
      <c r="E717">
        <v>116</v>
      </c>
      <c r="F717">
        <v>88</v>
      </c>
      <c r="G717">
        <v>9</v>
      </c>
      <c r="H717">
        <v>11</v>
      </c>
      <c r="J717" t="s">
        <v>22</v>
      </c>
      <c r="K717" t="b">
        <v>1</v>
      </c>
      <c r="L717">
        <f t="shared" si="11"/>
        <v>125</v>
      </c>
      <c r="M717">
        <f t="shared" si="11"/>
        <v>99</v>
      </c>
      <c r="N717" t="b">
        <v>0</v>
      </c>
      <c r="O717">
        <v>1</v>
      </c>
      <c r="P717" t="s">
        <v>2000</v>
      </c>
      <c r="Q717">
        <v>1</v>
      </c>
      <c r="R717" t="b">
        <v>1</v>
      </c>
    </row>
    <row r="718" spans="1:18">
      <c r="A718" t="s">
        <v>2001</v>
      </c>
      <c r="B718" t="s">
        <v>2002</v>
      </c>
      <c r="C718" t="s">
        <v>2003</v>
      </c>
      <c r="E718">
        <v>76</v>
      </c>
      <c r="F718">
        <v>1554</v>
      </c>
      <c r="G718">
        <v>49</v>
      </c>
      <c r="H718">
        <v>451</v>
      </c>
      <c r="J718" t="s">
        <v>22</v>
      </c>
      <c r="K718" t="b">
        <v>1</v>
      </c>
      <c r="L718">
        <f t="shared" si="11"/>
        <v>125</v>
      </c>
      <c r="M718">
        <f t="shared" si="11"/>
        <v>2005</v>
      </c>
      <c r="N718" t="b">
        <v>0</v>
      </c>
      <c r="O718">
        <v>1</v>
      </c>
      <c r="P718" t="s">
        <v>2004</v>
      </c>
      <c r="Q718">
        <v>2</v>
      </c>
      <c r="R718" t="b">
        <v>1</v>
      </c>
    </row>
    <row r="719" spans="1:18">
      <c r="A719" t="s">
        <v>2001</v>
      </c>
      <c r="B719" t="s">
        <v>2005</v>
      </c>
      <c r="C719" t="s">
        <v>2006</v>
      </c>
      <c r="E719">
        <v>76</v>
      </c>
      <c r="F719">
        <v>1554</v>
      </c>
      <c r="G719">
        <v>49</v>
      </c>
      <c r="H719">
        <v>451</v>
      </c>
      <c r="J719" t="s">
        <v>22</v>
      </c>
      <c r="K719" t="b">
        <v>1</v>
      </c>
      <c r="L719">
        <f t="shared" si="11"/>
        <v>125</v>
      </c>
      <c r="M719">
        <f t="shared" si="11"/>
        <v>2005</v>
      </c>
      <c r="N719" t="b">
        <v>0</v>
      </c>
      <c r="O719">
        <v>1</v>
      </c>
      <c r="P719" t="s">
        <v>33</v>
      </c>
      <c r="Q719">
        <v>2</v>
      </c>
      <c r="R719" t="b">
        <v>1</v>
      </c>
    </row>
    <row r="720" spans="1:18">
      <c r="A720" t="s">
        <v>261</v>
      </c>
      <c r="B720" t="s">
        <v>2007</v>
      </c>
      <c r="C720" t="s">
        <v>2008</v>
      </c>
      <c r="E720">
        <v>116</v>
      </c>
      <c r="F720">
        <v>88</v>
      </c>
      <c r="G720">
        <v>8</v>
      </c>
      <c r="H720">
        <v>10</v>
      </c>
      <c r="J720" t="s">
        <v>22</v>
      </c>
      <c r="K720" t="b">
        <v>1</v>
      </c>
      <c r="L720">
        <f t="shared" si="11"/>
        <v>124</v>
      </c>
      <c r="M720">
        <f t="shared" si="11"/>
        <v>98</v>
      </c>
      <c r="N720" t="b">
        <v>0</v>
      </c>
      <c r="O720">
        <v>1</v>
      </c>
      <c r="P720" t="s">
        <v>2000</v>
      </c>
      <c r="Q720">
        <v>1</v>
      </c>
      <c r="R720" t="b">
        <v>1</v>
      </c>
    </row>
    <row r="721" spans="1:18">
      <c r="A721" t="s">
        <v>235</v>
      </c>
      <c r="B721" t="s">
        <v>2009</v>
      </c>
      <c r="C721" t="s">
        <v>2010</v>
      </c>
      <c r="E721">
        <v>105</v>
      </c>
      <c r="F721">
        <v>2109</v>
      </c>
      <c r="G721">
        <v>19</v>
      </c>
      <c r="H721">
        <v>480</v>
      </c>
      <c r="J721" t="s">
        <v>22</v>
      </c>
      <c r="K721" t="b">
        <v>1</v>
      </c>
      <c r="L721">
        <f t="shared" si="11"/>
        <v>124</v>
      </c>
      <c r="M721">
        <f t="shared" si="11"/>
        <v>2589</v>
      </c>
      <c r="N721" t="b">
        <v>0</v>
      </c>
      <c r="O721">
        <v>1</v>
      </c>
      <c r="P721" t="s">
        <v>2011</v>
      </c>
      <c r="Q721">
        <v>2</v>
      </c>
      <c r="R721" t="b">
        <v>1</v>
      </c>
    </row>
    <row r="722" spans="1:18" hidden="1">
      <c r="A722" t="s">
        <v>361</v>
      </c>
      <c r="B722" t="s">
        <v>2012</v>
      </c>
      <c r="C722" t="s">
        <v>2013</v>
      </c>
      <c r="D722" t="s">
        <v>519</v>
      </c>
      <c r="E722">
        <v>85</v>
      </c>
      <c r="F722">
        <v>1599</v>
      </c>
      <c r="G722">
        <v>39</v>
      </c>
      <c r="H722">
        <v>616</v>
      </c>
      <c r="I722" t="s">
        <v>520</v>
      </c>
      <c r="J722" t="s">
        <v>93</v>
      </c>
      <c r="K722" t="b">
        <v>0</v>
      </c>
      <c r="L722">
        <f t="shared" si="11"/>
        <v>124</v>
      </c>
      <c r="M722">
        <f t="shared" si="11"/>
        <v>2215</v>
      </c>
      <c r="N722" t="b">
        <v>0</v>
      </c>
      <c r="O722">
        <v>0</v>
      </c>
      <c r="Q722">
        <v>0</v>
      </c>
      <c r="R722" t="b">
        <v>0</v>
      </c>
    </row>
    <row r="723" spans="1:18">
      <c r="A723" t="s">
        <v>2001</v>
      </c>
      <c r="B723" t="s">
        <v>2014</v>
      </c>
      <c r="C723" t="s">
        <v>2015</v>
      </c>
      <c r="E723">
        <v>75</v>
      </c>
      <c r="F723">
        <v>1554</v>
      </c>
      <c r="G723">
        <v>49</v>
      </c>
      <c r="H723">
        <v>451</v>
      </c>
      <c r="J723" t="s">
        <v>22</v>
      </c>
      <c r="K723" t="b">
        <v>1</v>
      </c>
      <c r="L723">
        <f t="shared" si="11"/>
        <v>124</v>
      </c>
      <c r="M723">
        <f t="shared" si="11"/>
        <v>2005</v>
      </c>
      <c r="N723" t="b">
        <v>0</v>
      </c>
      <c r="O723">
        <v>1</v>
      </c>
      <c r="P723" t="s">
        <v>2016</v>
      </c>
      <c r="Q723">
        <v>2</v>
      </c>
      <c r="R723" t="b">
        <v>1</v>
      </c>
    </row>
    <row r="724" spans="1:18">
      <c r="A724" t="s">
        <v>24</v>
      </c>
      <c r="B724" t="s">
        <v>2017</v>
      </c>
      <c r="C724" t="s">
        <v>2018</v>
      </c>
      <c r="E724">
        <v>100</v>
      </c>
      <c r="F724">
        <v>1752</v>
      </c>
      <c r="G724">
        <v>24</v>
      </c>
      <c r="H724">
        <v>113</v>
      </c>
      <c r="J724" t="s">
        <v>22</v>
      </c>
      <c r="K724" t="b">
        <v>1</v>
      </c>
      <c r="L724">
        <f t="shared" si="11"/>
        <v>124</v>
      </c>
      <c r="M724">
        <f t="shared" si="11"/>
        <v>1865</v>
      </c>
      <c r="N724" t="b">
        <v>0</v>
      </c>
      <c r="O724">
        <v>1</v>
      </c>
      <c r="P724" t="s">
        <v>2019</v>
      </c>
      <c r="Q724">
        <v>2</v>
      </c>
      <c r="R724" t="b">
        <v>1</v>
      </c>
    </row>
    <row r="725" spans="1:18" hidden="1">
      <c r="A725" t="s">
        <v>46</v>
      </c>
      <c r="B725" t="s">
        <v>2020</v>
      </c>
      <c r="C725" t="s">
        <v>2021</v>
      </c>
      <c r="D725" t="s">
        <v>93</v>
      </c>
      <c r="E725">
        <v>55</v>
      </c>
      <c r="F725">
        <v>607</v>
      </c>
      <c r="G725">
        <v>68</v>
      </c>
      <c r="H725">
        <v>710</v>
      </c>
      <c r="I725" t="s">
        <v>1278</v>
      </c>
      <c r="J725" t="s">
        <v>93</v>
      </c>
      <c r="K725" t="b">
        <v>1</v>
      </c>
      <c r="L725">
        <f t="shared" si="11"/>
        <v>123</v>
      </c>
      <c r="M725">
        <f t="shared" si="11"/>
        <v>1317</v>
      </c>
      <c r="N725" t="b">
        <v>0</v>
      </c>
      <c r="O725">
        <v>0</v>
      </c>
      <c r="Q725">
        <v>0</v>
      </c>
      <c r="R725" t="b">
        <v>0</v>
      </c>
    </row>
    <row r="726" spans="1:18" hidden="1">
      <c r="A726" t="s">
        <v>87</v>
      </c>
      <c r="B726" t="s">
        <v>2022</v>
      </c>
      <c r="C726" t="s">
        <v>2023</v>
      </c>
      <c r="D726" t="s">
        <v>595</v>
      </c>
      <c r="E726">
        <v>100</v>
      </c>
      <c r="F726">
        <v>4396</v>
      </c>
      <c r="G726">
        <v>23</v>
      </c>
      <c r="H726">
        <v>208</v>
      </c>
      <c r="I726" t="s">
        <v>1676</v>
      </c>
      <c r="J726" t="s">
        <v>93</v>
      </c>
      <c r="K726" t="b">
        <v>1</v>
      </c>
      <c r="L726">
        <f t="shared" si="11"/>
        <v>123</v>
      </c>
      <c r="M726">
        <f t="shared" si="11"/>
        <v>4604</v>
      </c>
      <c r="N726" t="b">
        <v>0</v>
      </c>
      <c r="O726">
        <v>0</v>
      </c>
      <c r="Q726">
        <v>0</v>
      </c>
      <c r="R726" t="b">
        <v>0</v>
      </c>
    </row>
    <row r="727" spans="1:18">
      <c r="A727" t="s">
        <v>1987</v>
      </c>
      <c r="B727" t="s">
        <v>2024</v>
      </c>
      <c r="C727" t="s">
        <v>2025</v>
      </c>
      <c r="E727">
        <v>86</v>
      </c>
      <c r="F727">
        <v>1680</v>
      </c>
      <c r="G727">
        <v>36</v>
      </c>
      <c r="H727">
        <v>161</v>
      </c>
      <c r="J727" t="s">
        <v>22</v>
      </c>
      <c r="K727" t="b">
        <v>1</v>
      </c>
      <c r="L727">
        <f t="shared" si="11"/>
        <v>122</v>
      </c>
      <c r="M727">
        <f t="shared" si="11"/>
        <v>1841</v>
      </c>
      <c r="N727" t="b">
        <v>0</v>
      </c>
      <c r="O727">
        <v>1</v>
      </c>
      <c r="P727" t="s">
        <v>2026</v>
      </c>
      <c r="Q727">
        <v>2</v>
      </c>
      <c r="R727" t="b">
        <v>1</v>
      </c>
    </row>
    <row r="728" spans="1:18">
      <c r="A728" t="s">
        <v>2001</v>
      </c>
      <c r="B728" t="s">
        <v>2027</v>
      </c>
      <c r="C728" t="s">
        <v>2028</v>
      </c>
      <c r="E728">
        <v>74</v>
      </c>
      <c r="F728">
        <v>1554</v>
      </c>
      <c r="G728">
        <v>48</v>
      </c>
      <c r="H728">
        <v>450</v>
      </c>
      <c r="J728" t="s">
        <v>22</v>
      </c>
      <c r="K728" t="b">
        <v>1</v>
      </c>
      <c r="L728">
        <f t="shared" si="11"/>
        <v>122</v>
      </c>
      <c r="M728">
        <f t="shared" si="11"/>
        <v>2004</v>
      </c>
      <c r="N728" t="b">
        <v>0</v>
      </c>
      <c r="O728">
        <v>1</v>
      </c>
      <c r="P728" t="s">
        <v>201</v>
      </c>
      <c r="Q728">
        <v>2</v>
      </c>
      <c r="R728" t="b">
        <v>1</v>
      </c>
    </row>
    <row r="729" spans="1:18" hidden="1">
      <c r="A729" t="s">
        <v>37</v>
      </c>
      <c r="B729" t="s">
        <v>2029</v>
      </c>
      <c r="C729" t="s">
        <v>2030</v>
      </c>
      <c r="E729">
        <v>83</v>
      </c>
      <c r="F729">
        <v>70</v>
      </c>
      <c r="G729">
        <v>39</v>
      </c>
      <c r="H729">
        <v>98</v>
      </c>
      <c r="J729" t="s">
        <v>93</v>
      </c>
      <c r="K729" t="b">
        <v>1</v>
      </c>
      <c r="L729">
        <f t="shared" si="11"/>
        <v>122</v>
      </c>
      <c r="M729">
        <f t="shared" si="11"/>
        <v>168</v>
      </c>
      <c r="N729" t="b">
        <v>0</v>
      </c>
      <c r="O729">
        <v>0</v>
      </c>
      <c r="Q729">
        <v>0</v>
      </c>
      <c r="R729" t="b">
        <v>0</v>
      </c>
    </row>
    <row r="730" spans="1:18">
      <c r="A730" t="s">
        <v>378</v>
      </c>
      <c r="B730" t="s">
        <v>2031</v>
      </c>
      <c r="C730" t="s">
        <v>2032</v>
      </c>
      <c r="E730">
        <v>70</v>
      </c>
      <c r="F730">
        <v>601</v>
      </c>
      <c r="G730">
        <v>52</v>
      </c>
      <c r="H730">
        <v>328</v>
      </c>
      <c r="J730" t="s">
        <v>22</v>
      </c>
      <c r="K730" t="b">
        <v>1</v>
      </c>
      <c r="L730">
        <f t="shared" si="11"/>
        <v>122</v>
      </c>
      <c r="M730">
        <f t="shared" si="11"/>
        <v>929</v>
      </c>
      <c r="N730" t="b">
        <v>0</v>
      </c>
      <c r="O730">
        <v>1</v>
      </c>
      <c r="P730" t="s">
        <v>2033</v>
      </c>
      <c r="Q730">
        <v>2</v>
      </c>
      <c r="R730" t="b">
        <v>1</v>
      </c>
    </row>
    <row r="731" spans="1:18">
      <c r="A731" t="s">
        <v>19</v>
      </c>
      <c r="B731" t="s">
        <v>2034</v>
      </c>
      <c r="C731" t="s">
        <v>2035</v>
      </c>
      <c r="E731">
        <v>85</v>
      </c>
      <c r="F731">
        <v>1599</v>
      </c>
      <c r="G731">
        <v>37</v>
      </c>
      <c r="H731">
        <v>614</v>
      </c>
      <c r="J731" t="s">
        <v>22</v>
      </c>
      <c r="K731" t="b">
        <v>1</v>
      </c>
      <c r="L731">
        <f t="shared" si="11"/>
        <v>122</v>
      </c>
      <c r="M731">
        <f t="shared" si="11"/>
        <v>2213</v>
      </c>
      <c r="N731" t="b">
        <v>0</v>
      </c>
      <c r="O731">
        <v>1</v>
      </c>
      <c r="P731" t="s">
        <v>2036</v>
      </c>
      <c r="Q731">
        <v>2</v>
      </c>
      <c r="R731" t="b">
        <v>1</v>
      </c>
    </row>
    <row r="732" spans="1:18">
      <c r="A732" t="s">
        <v>205</v>
      </c>
      <c r="B732" t="s">
        <v>2037</v>
      </c>
      <c r="C732" t="s">
        <v>2038</v>
      </c>
      <c r="E732">
        <v>88</v>
      </c>
      <c r="F732">
        <v>366</v>
      </c>
      <c r="G732">
        <v>33</v>
      </c>
      <c r="H732">
        <v>1147</v>
      </c>
      <c r="J732" t="s">
        <v>22</v>
      </c>
      <c r="K732" t="b">
        <v>1</v>
      </c>
      <c r="L732">
        <f t="shared" si="11"/>
        <v>121</v>
      </c>
      <c r="M732">
        <f t="shared" si="11"/>
        <v>1513</v>
      </c>
      <c r="N732" t="b">
        <v>0</v>
      </c>
      <c r="O732">
        <v>1</v>
      </c>
      <c r="P732" t="s">
        <v>1132</v>
      </c>
      <c r="Q732">
        <v>2</v>
      </c>
      <c r="R732" t="b">
        <v>1</v>
      </c>
    </row>
    <row r="733" spans="1:18" hidden="1">
      <c r="A733" t="s">
        <v>37</v>
      </c>
      <c r="B733" t="s">
        <v>2039</v>
      </c>
      <c r="C733" t="s">
        <v>2040</v>
      </c>
      <c r="D733" t="s">
        <v>93</v>
      </c>
      <c r="E733">
        <v>83</v>
      </c>
      <c r="F733">
        <v>804</v>
      </c>
      <c r="G733">
        <v>38</v>
      </c>
      <c r="H733">
        <v>698</v>
      </c>
      <c r="I733" t="s">
        <v>1278</v>
      </c>
      <c r="J733" t="s">
        <v>93</v>
      </c>
      <c r="K733" t="b">
        <v>1</v>
      </c>
      <c r="L733">
        <f t="shared" si="11"/>
        <v>121</v>
      </c>
      <c r="M733">
        <f t="shared" si="11"/>
        <v>1502</v>
      </c>
      <c r="N733" t="b">
        <v>0</v>
      </c>
      <c r="O733">
        <v>0</v>
      </c>
      <c r="Q733">
        <v>0</v>
      </c>
      <c r="R733" t="b">
        <v>0</v>
      </c>
    </row>
    <row r="734" spans="1:18">
      <c r="A734" t="s">
        <v>1143</v>
      </c>
      <c r="B734" t="s">
        <v>2041</v>
      </c>
      <c r="C734" t="s">
        <v>2042</v>
      </c>
      <c r="E734">
        <v>0</v>
      </c>
      <c r="F734">
        <v>0</v>
      </c>
      <c r="G734">
        <v>121</v>
      </c>
      <c r="H734">
        <v>332</v>
      </c>
      <c r="J734" t="s">
        <v>22</v>
      </c>
      <c r="K734" t="b">
        <v>1</v>
      </c>
      <c r="L734">
        <f t="shared" si="11"/>
        <v>121</v>
      </c>
      <c r="M734">
        <f t="shared" si="11"/>
        <v>332</v>
      </c>
      <c r="N734" t="b">
        <v>0</v>
      </c>
      <c r="O734">
        <v>1</v>
      </c>
      <c r="P734" t="s">
        <v>2043</v>
      </c>
      <c r="Q734">
        <v>2</v>
      </c>
      <c r="R734" t="b">
        <v>1</v>
      </c>
    </row>
    <row r="735" spans="1:18">
      <c r="A735" t="s">
        <v>352</v>
      </c>
      <c r="B735" t="s">
        <v>2044</v>
      </c>
      <c r="C735" t="s">
        <v>2045</v>
      </c>
      <c r="E735">
        <v>74</v>
      </c>
      <c r="F735">
        <v>536</v>
      </c>
      <c r="G735">
        <v>47</v>
      </c>
      <c r="H735">
        <v>776</v>
      </c>
      <c r="J735" t="s">
        <v>22</v>
      </c>
      <c r="K735" t="b">
        <v>1</v>
      </c>
      <c r="L735">
        <f t="shared" si="11"/>
        <v>121</v>
      </c>
      <c r="M735">
        <f t="shared" si="11"/>
        <v>1312</v>
      </c>
      <c r="N735" t="b">
        <v>0</v>
      </c>
      <c r="O735">
        <v>1</v>
      </c>
      <c r="P735" t="s">
        <v>2046</v>
      </c>
      <c r="Q735">
        <v>1</v>
      </c>
      <c r="R735" t="b">
        <v>1</v>
      </c>
    </row>
    <row r="736" spans="1:18" hidden="1">
      <c r="A736" t="s">
        <v>1847</v>
      </c>
      <c r="B736" t="s">
        <v>2047</v>
      </c>
      <c r="C736" t="s">
        <v>2048</v>
      </c>
      <c r="E736">
        <v>85</v>
      </c>
      <c r="F736">
        <v>1273</v>
      </c>
      <c r="G736">
        <v>35</v>
      </c>
      <c r="H736">
        <v>656</v>
      </c>
      <c r="J736" t="s">
        <v>93</v>
      </c>
      <c r="K736" t="b">
        <v>0</v>
      </c>
      <c r="L736">
        <f t="shared" si="11"/>
        <v>120</v>
      </c>
      <c r="M736">
        <f t="shared" si="11"/>
        <v>1929</v>
      </c>
      <c r="N736" t="b">
        <v>0</v>
      </c>
      <c r="O736">
        <v>0</v>
      </c>
      <c r="Q736">
        <v>0</v>
      </c>
      <c r="R736" t="b">
        <v>0</v>
      </c>
    </row>
    <row r="737" spans="1:18">
      <c r="A737" t="s">
        <v>1987</v>
      </c>
      <c r="B737" t="s">
        <v>2049</v>
      </c>
      <c r="C737" t="s">
        <v>2050</v>
      </c>
      <c r="E737">
        <v>84</v>
      </c>
      <c r="F737">
        <v>1680</v>
      </c>
      <c r="G737">
        <v>36</v>
      </c>
      <c r="H737">
        <v>161</v>
      </c>
      <c r="J737" t="s">
        <v>22</v>
      </c>
      <c r="K737" t="b">
        <v>1</v>
      </c>
      <c r="L737">
        <f t="shared" si="11"/>
        <v>120</v>
      </c>
      <c r="M737">
        <f t="shared" si="11"/>
        <v>1841</v>
      </c>
      <c r="N737" t="b">
        <v>0</v>
      </c>
      <c r="O737">
        <v>1</v>
      </c>
      <c r="P737" t="s">
        <v>2051</v>
      </c>
      <c r="Q737">
        <v>2</v>
      </c>
      <c r="R737" t="b">
        <v>1</v>
      </c>
    </row>
    <row r="738" spans="1:18">
      <c r="A738" t="s">
        <v>1987</v>
      </c>
      <c r="B738" t="s">
        <v>2052</v>
      </c>
      <c r="C738" t="s">
        <v>2053</v>
      </c>
      <c r="E738">
        <v>84</v>
      </c>
      <c r="F738">
        <v>1680</v>
      </c>
      <c r="G738">
        <v>36</v>
      </c>
      <c r="H738">
        <v>161</v>
      </c>
      <c r="J738" t="s">
        <v>22</v>
      </c>
      <c r="K738" t="b">
        <v>1</v>
      </c>
      <c r="L738">
        <f t="shared" si="11"/>
        <v>120</v>
      </c>
      <c r="M738">
        <f t="shared" si="11"/>
        <v>1841</v>
      </c>
      <c r="N738" t="b">
        <v>0</v>
      </c>
      <c r="O738">
        <v>1</v>
      </c>
      <c r="P738" t="s">
        <v>2054</v>
      </c>
      <c r="Q738">
        <v>2</v>
      </c>
      <c r="R738" t="b">
        <v>1</v>
      </c>
    </row>
    <row r="739" spans="1:18" hidden="1">
      <c r="A739" t="s">
        <v>1269</v>
      </c>
      <c r="B739" t="s">
        <v>2055</v>
      </c>
      <c r="C739" t="s">
        <v>2056</v>
      </c>
      <c r="E739">
        <v>0</v>
      </c>
      <c r="F739">
        <v>0</v>
      </c>
      <c r="G739">
        <v>120</v>
      </c>
      <c r="H739">
        <v>998</v>
      </c>
      <c r="J739" t="s">
        <v>93</v>
      </c>
      <c r="K739" t="b">
        <v>0</v>
      </c>
      <c r="L739">
        <f t="shared" si="11"/>
        <v>120</v>
      </c>
      <c r="M739">
        <f t="shared" si="11"/>
        <v>998</v>
      </c>
      <c r="N739" t="b">
        <v>0</v>
      </c>
      <c r="O739">
        <v>0</v>
      </c>
      <c r="Q739">
        <v>0</v>
      </c>
      <c r="R739" t="b">
        <v>0</v>
      </c>
    </row>
    <row r="740" spans="1:18">
      <c r="A740" t="s">
        <v>205</v>
      </c>
      <c r="B740" t="s">
        <v>2057</v>
      </c>
      <c r="C740" t="s">
        <v>2058</v>
      </c>
      <c r="E740">
        <v>96</v>
      </c>
      <c r="F740">
        <v>1692</v>
      </c>
      <c r="G740">
        <v>24</v>
      </c>
      <c r="H740">
        <v>107</v>
      </c>
      <c r="J740" t="s">
        <v>22</v>
      </c>
      <c r="K740" t="b">
        <v>1</v>
      </c>
      <c r="L740">
        <f t="shared" si="11"/>
        <v>120</v>
      </c>
      <c r="M740">
        <f t="shared" si="11"/>
        <v>1799</v>
      </c>
      <c r="N740" t="b">
        <v>0</v>
      </c>
      <c r="O740">
        <v>1</v>
      </c>
      <c r="P740" t="s">
        <v>2059</v>
      </c>
      <c r="Q740">
        <v>4</v>
      </c>
      <c r="R740" t="b">
        <v>1</v>
      </c>
    </row>
    <row r="741" spans="1:18" hidden="1">
      <c r="A741" t="s">
        <v>248</v>
      </c>
      <c r="B741" t="s">
        <v>2060</v>
      </c>
      <c r="C741" t="s">
        <v>2061</v>
      </c>
      <c r="E741">
        <v>78</v>
      </c>
      <c r="F741">
        <v>964</v>
      </c>
      <c r="G741">
        <v>42</v>
      </c>
      <c r="H741">
        <v>393</v>
      </c>
      <c r="J741" t="s">
        <v>93</v>
      </c>
      <c r="K741" t="b">
        <v>1</v>
      </c>
      <c r="L741">
        <f t="shared" si="11"/>
        <v>120</v>
      </c>
      <c r="M741">
        <f t="shared" si="11"/>
        <v>1357</v>
      </c>
      <c r="N741" t="b">
        <v>0</v>
      </c>
      <c r="O741">
        <v>0</v>
      </c>
      <c r="Q741">
        <v>0</v>
      </c>
      <c r="R741" t="b">
        <v>0</v>
      </c>
    </row>
    <row r="742" spans="1:18">
      <c r="A742" t="s">
        <v>1987</v>
      </c>
      <c r="B742" t="s">
        <v>2062</v>
      </c>
      <c r="C742" t="s">
        <v>2063</v>
      </c>
      <c r="E742">
        <v>83</v>
      </c>
      <c r="F742">
        <v>1662</v>
      </c>
      <c r="G742">
        <v>36</v>
      </c>
      <c r="H742">
        <v>138</v>
      </c>
      <c r="J742" t="s">
        <v>22</v>
      </c>
      <c r="K742" t="b">
        <v>1</v>
      </c>
      <c r="L742">
        <f t="shared" si="11"/>
        <v>119</v>
      </c>
      <c r="M742">
        <f t="shared" si="11"/>
        <v>1800</v>
      </c>
      <c r="N742" t="b">
        <v>0</v>
      </c>
      <c r="O742">
        <v>1</v>
      </c>
      <c r="P742" t="s">
        <v>2064</v>
      </c>
      <c r="Q742">
        <v>2</v>
      </c>
      <c r="R742" t="b">
        <v>1</v>
      </c>
    </row>
    <row r="743" spans="1:18" hidden="1">
      <c r="A743" t="s">
        <v>940</v>
      </c>
      <c r="B743" t="s">
        <v>2065</v>
      </c>
      <c r="C743" t="s">
        <v>2066</v>
      </c>
      <c r="D743" t="s">
        <v>435</v>
      </c>
      <c r="E743">
        <v>0</v>
      </c>
      <c r="F743">
        <v>0</v>
      </c>
      <c r="G743">
        <v>119</v>
      </c>
      <c r="H743">
        <v>1427</v>
      </c>
      <c r="J743" t="s">
        <v>93</v>
      </c>
      <c r="K743" t="b">
        <v>0</v>
      </c>
      <c r="L743">
        <f t="shared" si="11"/>
        <v>119</v>
      </c>
      <c r="M743">
        <f t="shared" si="11"/>
        <v>1427</v>
      </c>
      <c r="N743" t="b">
        <v>0</v>
      </c>
      <c r="O743">
        <v>0</v>
      </c>
      <c r="Q743">
        <v>0</v>
      </c>
      <c r="R743" t="b">
        <v>0</v>
      </c>
    </row>
    <row r="744" spans="1:18" hidden="1">
      <c r="A744" t="s">
        <v>940</v>
      </c>
      <c r="B744" t="s">
        <v>2067</v>
      </c>
      <c r="C744" t="s">
        <v>2068</v>
      </c>
      <c r="D744" t="s">
        <v>435</v>
      </c>
      <c r="E744">
        <v>0</v>
      </c>
      <c r="F744">
        <v>0</v>
      </c>
      <c r="G744">
        <v>119</v>
      </c>
      <c r="H744">
        <v>1427</v>
      </c>
      <c r="J744" t="s">
        <v>93</v>
      </c>
      <c r="K744" t="b">
        <v>0</v>
      </c>
      <c r="L744">
        <f t="shared" si="11"/>
        <v>119</v>
      </c>
      <c r="M744">
        <f t="shared" si="11"/>
        <v>1427</v>
      </c>
      <c r="N744" t="b">
        <v>0</v>
      </c>
      <c r="O744">
        <v>0</v>
      </c>
      <c r="Q744">
        <v>0</v>
      </c>
      <c r="R744" t="b">
        <v>0</v>
      </c>
    </row>
    <row r="745" spans="1:18">
      <c r="A745" t="s">
        <v>1191</v>
      </c>
      <c r="B745" t="s">
        <v>2069</v>
      </c>
      <c r="C745" t="s">
        <v>2070</v>
      </c>
      <c r="E745">
        <v>84</v>
      </c>
      <c r="F745">
        <v>1818</v>
      </c>
      <c r="G745">
        <v>34</v>
      </c>
      <c r="H745">
        <v>167</v>
      </c>
      <c r="J745" t="s">
        <v>22</v>
      </c>
      <c r="K745" t="b">
        <v>1</v>
      </c>
      <c r="L745">
        <f t="shared" si="11"/>
        <v>118</v>
      </c>
      <c r="M745">
        <f t="shared" si="11"/>
        <v>1985</v>
      </c>
      <c r="N745" t="b">
        <v>0</v>
      </c>
      <c r="O745">
        <v>1</v>
      </c>
      <c r="P745" t="s">
        <v>2071</v>
      </c>
      <c r="Q745">
        <v>2</v>
      </c>
      <c r="R745" t="b">
        <v>1</v>
      </c>
    </row>
    <row r="746" spans="1:18">
      <c r="A746" t="s">
        <v>1224</v>
      </c>
      <c r="B746" t="s">
        <v>2072</v>
      </c>
      <c r="C746" t="s">
        <v>2073</v>
      </c>
      <c r="E746">
        <v>78</v>
      </c>
      <c r="F746">
        <v>2521</v>
      </c>
      <c r="G746">
        <v>40</v>
      </c>
      <c r="H746">
        <v>1164</v>
      </c>
      <c r="J746" t="s">
        <v>22</v>
      </c>
      <c r="K746" t="b">
        <v>1</v>
      </c>
      <c r="L746">
        <f t="shared" si="11"/>
        <v>118</v>
      </c>
      <c r="M746">
        <f t="shared" si="11"/>
        <v>3685</v>
      </c>
      <c r="N746" t="b">
        <v>0</v>
      </c>
      <c r="O746">
        <v>1</v>
      </c>
      <c r="P746" t="s">
        <v>2074</v>
      </c>
      <c r="Q746">
        <v>2</v>
      </c>
      <c r="R746" t="b">
        <v>1</v>
      </c>
    </row>
    <row r="747" spans="1:18" hidden="1">
      <c r="A747" t="s">
        <v>1207</v>
      </c>
      <c r="B747" t="s">
        <v>2075</v>
      </c>
      <c r="C747" t="s">
        <v>2076</v>
      </c>
      <c r="E747">
        <v>77</v>
      </c>
      <c r="F747">
        <v>939</v>
      </c>
      <c r="G747">
        <v>40</v>
      </c>
      <c r="H747">
        <v>211</v>
      </c>
      <c r="J747" t="s">
        <v>93</v>
      </c>
      <c r="K747" t="b">
        <v>0</v>
      </c>
      <c r="L747">
        <f t="shared" si="11"/>
        <v>117</v>
      </c>
      <c r="M747">
        <f t="shared" si="11"/>
        <v>1150</v>
      </c>
      <c r="N747" t="b">
        <v>0</v>
      </c>
      <c r="O747">
        <v>0</v>
      </c>
      <c r="Q747">
        <v>0</v>
      </c>
      <c r="R747" t="b">
        <v>0</v>
      </c>
    </row>
    <row r="748" spans="1:18">
      <c r="A748" t="s">
        <v>24</v>
      </c>
      <c r="B748" t="s">
        <v>2077</v>
      </c>
      <c r="C748" t="s">
        <v>2078</v>
      </c>
      <c r="E748">
        <v>75</v>
      </c>
      <c r="F748">
        <v>466</v>
      </c>
      <c r="G748">
        <v>42</v>
      </c>
      <c r="H748">
        <v>1176</v>
      </c>
      <c r="J748" t="s">
        <v>22</v>
      </c>
      <c r="K748" t="b">
        <v>1</v>
      </c>
      <c r="L748">
        <f t="shared" si="11"/>
        <v>117</v>
      </c>
      <c r="M748">
        <f t="shared" si="11"/>
        <v>1642</v>
      </c>
      <c r="N748" t="b">
        <v>0</v>
      </c>
      <c r="O748">
        <v>1</v>
      </c>
      <c r="P748" t="s">
        <v>2079</v>
      </c>
      <c r="Q748">
        <v>2</v>
      </c>
      <c r="R748" t="b">
        <v>1</v>
      </c>
    </row>
    <row r="749" spans="1:18">
      <c r="A749" t="s">
        <v>1224</v>
      </c>
      <c r="B749" t="s">
        <v>2080</v>
      </c>
      <c r="C749" t="s">
        <v>2081</v>
      </c>
      <c r="E749">
        <v>78</v>
      </c>
      <c r="F749">
        <v>2073</v>
      </c>
      <c r="G749">
        <v>37</v>
      </c>
      <c r="H749">
        <v>1317</v>
      </c>
      <c r="J749" t="s">
        <v>22</v>
      </c>
      <c r="K749" t="b">
        <v>1</v>
      </c>
      <c r="L749">
        <f t="shared" si="11"/>
        <v>115</v>
      </c>
      <c r="M749">
        <f t="shared" si="11"/>
        <v>3390</v>
      </c>
      <c r="N749" t="b">
        <v>0</v>
      </c>
      <c r="O749">
        <v>1</v>
      </c>
      <c r="P749" t="s">
        <v>2082</v>
      </c>
      <c r="Q749">
        <v>2</v>
      </c>
      <c r="R749" t="b">
        <v>1</v>
      </c>
    </row>
    <row r="750" spans="1:18">
      <c r="A750" t="s">
        <v>87</v>
      </c>
      <c r="B750" t="s">
        <v>2083</v>
      </c>
      <c r="C750" t="s">
        <v>2084</v>
      </c>
      <c r="E750">
        <v>86</v>
      </c>
      <c r="F750">
        <v>1878</v>
      </c>
      <c r="G750">
        <v>29</v>
      </c>
      <c r="H750">
        <v>1238</v>
      </c>
      <c r="J750" t="s">
        <v>22</v>
      </c>
      <c r="K750" t="b">
        <v>1</v>
      </c>
      <c r="L750">
        <f t="shared" si="11"/>
        <v>115</v>
      </c>
      <c r="M750">
        <f t="shared" si="11"/>
        <v>3116</v>
      </c>
      <c r="N750" t="b">
        <v>0</v>
      </c>
      <c r="O750">
        <v>1</v>
      </c>
      <c r="P750" t="s">
        <v>2085</v>
      </c>
      <c r="Q750">
        <v>2</v>
      </c>
      <c r="R750" t="b">
        <v>1</v>
      </c>
    </row>
    <row r="751" spans="1:18">
      <c r="A751" t="s">
        <v>1191</v>
      </c>
      <c r="B751" t="s">
        <v>2086</v>
      </c>
      <c r="C751" t="s">
        <v>2087</v>
      </c>
      <c r="E751">
        <v>78</v>
      </c>
      <c r="F751">
        <v>214</v>
      </c>
      <c r="G751">
        <v>36</v>
      </c>
      <c r="H751">
        <v>210</v>
      </c>
      <c r="J751" t="s">
        <v>22</v>
      </c>
      <c r="K751" t="b">
        <v>1</v>
      </c>
      <c r="L751">
        <f t="shared" si="11"/>
        <v>114</v>
      </c>
      <c r="M751">
        <f t="shared" si="11"/>
        <v>424</v>
      </c>
      <c r="N751" t="b">
        <v>0</v>
      </c>
      <c r="O751">
        <v>1</v>
      </c>
      <c r="P751" t="s">
        <v>2088</v>
      </c>
      <c r="Q751">
        <v>2</v>
      </c>
      <c r="R751" t="b">
        <v>1</v>
      </c>
    </row>
    <row r="752" spans="1:18">
      <c r="A752" t="s">
        <v>1191</v>
      </c>
      <c r="B752" t="s">
        <v>2089</v>
      </c>
      <c r="C752" t="s">
        <v>2090</v>
      </c>
      <c r="E752">
        <v>78</v>
      </c>
      <c r="F752">
        <v>214</v>
      </c>
      <c r="G752">
        <v>36</v>
      </c>
      <c r="H752">
        <v>210</v>
      </c>
      <c r="J752" t="s">
        <v>22</v>
      </c>
      <c r="K752" t="b">
        <v>1</v>
      </c>
      <c r="L752">
        <f t="shared" si="11"/>
        <v>114</v>
      </c>
      <c r="M752">
        <f t="shared" si="11"/>
        <v>424</v>
      </c>
      <c r="N752" t="b">
        <v>0</v>
      </c>
      <c r="O752">
        <v>1</v>
      </c>
      <c r="P752" t="s">
        <v>2091</v>
      </c>
      <c r="Q752">
        <v>2</v>
      </c>
      <c r="R752" t="b">
        <v>1</v>
      </c>
    </row>
    <row r="753" spans="1:18">
      <c r="A753" t="s">
        <v>115</v>
      </c>
      <c r="B753" t="s">
        <v>2092</v>
      </c>
      <c r="C753" t="s">
        <v>2093</v>
      </c>
      <c r="E753">
        <v>96</v>
      </c>
      <c r="F753">
        <v>797</v>
      </c>
      <c r="G753">
        <v>18</v>
      </c>
      <c r="H753">
        <v>175</v>
      </c>
      <c r="J753" t="s">
        <v>22</v>
      </c>
      <c r="K753" t="b">
        <v>1</v>
      </c>
      <c r="L753">
        <f t="shared" si="11"/>
        <v>114</v>
      </c>
      <c r="M753">
        <f t="shared" si="11"/>
        <v>972</v>
      </c>
      <c r="N753" t="b">
        <v>0</v>
      </c>
      <c r="O753">
        <v>1</v>
      </c>
      <c r="P753" t="s">
        <v>2094</v>
      </c>
      <c r="Q753">
        <v>2</v>
      </c>
      <c r="R753" t="b">
        <v>1</v>
      </c>
    </row>
    <row r="754" spans="1:18">
      <c r="A754" t="s">
        <v>115</v>
      </c>
      <c r="B754" t="s">
        <v>2095</v>
      </c>
      <c r="C754" t="s">
        <v>2096</v>
      </c>
      <c r="E754">
        <v>96</v>
      </c>
      <c r="F754">
        <v>797</v>
      </c>
      <c r="G754">
        <v>18</v>
      </c>
      <c r="H754">
        <v>175</v>
      </c>
      <c r="J754" t="s">
        <v>22</v>
      </c>
      <c r="K754" t="b">
        <v>1</v>
      </c>
      <c r="L754">
        <f t="shared" si="11"/>
        <v>114</v>
      </c>
      <c r="M754">
        <f t="shared" si="11"/>
        <v>972</v>
      </c>
      <c r="N754" t="b">
        <v>0</v>
      </c>
      <c r="O754">
        <v>0</v>
      </c>
      <c r="Q754">
        <v>0</v>
      </c>
      <c r="R754" t="b">
        <v>0</v>
      </c>
    </row>
    <row r="755" spans="1:18">
      <c r="A755" t="s">
        <v>115</v>
      </c>
      <c r="B755" t="s">
        <v>2097</v>
      </c>
      <c r="C755" t="s">
        <v>2098</v>
      </c>
      <c r="E755">
        <v>96</v>
      </c>
      <c r="F755">
        <v>797</v>
      </c>
      <c r="G755">
        <v>18</v>
      </c>
      <c r="H755">
        <v>175</v>
      </c>
      <c r="J755" t="s">
        <v>22</v>
      </c>
      <c r="K755" t="b">
        <v>1</v>
      </c>
      <c r="L755">
        <f t="shared" si="11"/>
        <v>114</v>
      </c>
      <c r="M755">
        <f t="shared" si="11"/>
        <v>972</v>
      </c>
      <c r="N755" t="b">
        <v>0</v>
      </c>
      <c r="O755">
        <v>0</v>
      </c>
      <c r="Q755">
        <v>0</v>
      </c>
      <c r="R755" t="b">
        <v>0</v>
      </c>
    </row>
    <row r="756" spans="1:18">
      <c r="A756" t="s">
        <v>115</v>
      </c>
      <c r="B756" t="s">
        <v>2099</v>
      </c>
      <c r="C756" t="s">
        <v>2100</v>
      </c>
      <c r="E756">
        <v>96</v>
      </c>
      <c r="F756">
        <v>797</v>
      </c>
      <c r="G756">
        <v>18</v>
      </c>
      <c r="H756">
        <v>175</v>
      </c>
      <c r="J756" t="s">
        <v>22</v>
      </c>
      <c r="K756" t="b">
        <v>1</v>
      </c>
      <c r="L756">
        <f t="shared" si="11"/>
        <v>114</v>
      </c>
      <c r="M756">
        <f t="shared" si="11"/>
        <v>972</v>
      </c>
      <c r="N756" t="b">
        <v>0</v>
      </c>
      <c r="O756">
        <v>1</v>
      </c>
      <c r="P756" t="s">
        <v>2101</v>
      </c>
      <c r="Q756">
        <v>2</v>
      </c>
      <c r="R756" t="b">
        <v>1</v>
      </c>
    </row>
    <row r="757" spans="1:18">
      <c r="A757" t="s">
        <v>115</v>
      </c>
      <c r="B757" t="s">
        <v>2102</v>
      </c>
      <c r="C757" t="s">
        <v>2103</v>
      </c>
      <c r="E757">
        <v>96</v>
      </c>
      <c r="F757">
        <v>797</v>
      </c>
      <c r="G757">
        <v>18</v>
      </c>
      <c r="H757">
        <v>175</v>
      </c>
      <c r="J757" t="s">
        <v>22</v>
      </c>
      <c r="K757" t="b">
        <v>1</v>
      </c>
      <c r="L757">
        <f t="shared" si="11"/>
        <v>114</v>
      </c>
      <c r="M757">
        <f t="shared" si="11"/>
        <v>972</v>
      </c>
      <c r="N757" t="b">
        <v>0</v>
      </c>
      <c r="O757">
        <v>0</v>
      </c>
      <c r="Q757">
        <v>0</v>
      </c>
      <c r="R757" t="b">
        <v>0</v>
      </c>
    </row>
    <row r="758" spans="1:18">
      <c r="A758" t="s">
        <v>857</v>
      </c>
      <c r="B758" t="s">
        <v>2104</v>
      </c>
      <c r="C758" t="s">
        <v>2105</v>
      </c>
      <c r="E758">
        <v>70</v>
      </c>
      <c r="F758">
        <v>274</v>
      </c>
      <c r="G758">
        <v>43</v>
      </c>
      <c r="H758">
        <v>114</v>
      </c>
      <c r="J758" t="s">
        <v>22</v>
      </c>
      <c r="K758" t="b">
        <v>1</v>
      </c>
      <c r="L758">
        <f t="shared" si="11"/>
        <v>113</v>
      </c>
      <c r="M758">
        <f t="shared" si="11"/>
        <v>388</v>
      </c>
      <c r="N758" t="b">
        <v>0</v>
      </c>
      <c r="O758">
        <v>1</v>
      </c>
      <c r="P758" t="s">
        <v>2106</v>
      </c>
      <c r="Q758">
        <v>2</v>
      </c>
      <c r="R758" t="b">
        <v>1</v>
      </c>
    </row>
    <row r="759" spans="1:18">
      <c r="A759" t="s">
        <v>1418</v>
      </c>
      <c r="B759" t="s">
        <v>2107</v>
      </c>
      <c r="C759" t="s">
        <v>2108</v>
      </c>
      <c r="E759">
        <v>89</v>
      </c>
      <c r="F759">
        <v>1981</v>
      </c>
      <c r="G759">
        <v>24</v>
      </c>
      <c r="H759">
        <v>375</v>
      </c>
      <c r="J759" t="s">
        <v>22</v>
      </c>
      <c r="K759" t="b">
        <v>1</v>
      </c>
      <c r="L759">
        <f t="shared" si="11"/>
        <v>113</v>
      </c>
      <c r="M759">
        <f t="shared" si="11"/>
        <v>2356</v>
      </c>
      <c r="N759" t="b">
        <v>0</v>
      </c>
      <c r="O759">
        <v>1</v>
      </c>
      <c r="P759" t="s">
        <v>2109</v>
      </c>
      <c r="Q759">
        <v>2</v>
      </c>
      <c r="R759" t="b">
        <v>1</v>
      </c>
    </row>
    <row r="760" spans="1:18" hidden="1">
      <c r="A760" t="s">
        <v>37</v>
      </c>
      <c r="B760" t="s">
        <v>2110</v>
      </c>
      <c r="C760" t="s">
        <v>2111</v>
      </c>
      <c r="D760" t="s">
        <v>1736</v>
      </c>
      <c r="E760">
        <v>62</v>
      </c>
      <c r="F760">
        <v>1119</v>
      </c>
      <c r="G760">
        <v>51</v>
      </c>
      <c r="H760">
        <v>1499</v>
      </c>
      <c r="I760" t="s">
        <v>1676</v>
      </c>
      <c r="J760" t="s">
        <v>93</v>
      </c>
      <c r="K760" t="b">
        <v>1</v>
      </c>
      <c r="L760">
        <f t="shared" si="11"/>
        <v>113</v>
      </c>
      <c r="M760">
        <f t="shared" si="11"/>
        <v>2618</v>
      </c>
      <c r="N760" t="b">
        <v>0</v>
      </c>
      <c r="O760">
        <v>0</v>
      </c>
      <c r="Q760">
        <v>0</v>
      </c>
      <c r="R760" t="b">
        <v>0</v>
      </c>
    </row>
    <row r="761" spans="1:18" hidden="1">
      <c r="A761" t="s">
        <v>37</v>
      </c>
      <c r="B761" t="s">
        <v>2112</v>
      </c>
      <c r="C761" t="s">
        <v>2113</v>
      </c>
      <c r="D761" t="s">
        <v>1736</v>
      </c>
      <c r="E761">
        <v>62</v>
      </c>
      <c r="F761">
        <v>1119</v>
      </c>
      <c r="G761">
        <v>51</v>
      </c>
      <c r="H761">
        <v>1499</v>
      </c>
      <c r="I761" t="s">
        <v>1676</v>
      </c>
      <c r="J761" t="s">
        <v>93</v>
      </c>
      <c r="K761" t="b">
        <v>1</v>
      </c>
      <c r="L761">
        <f t="shared" si="11"/>
        <v>113</v>
      </c>
      <c r="M761">
        <f t="shared" si="11"/>
        <v>2618</v>
      </c>
      <c r="N761" t="b">
        <v>0</v>
      </c>
      <c r="O761">
        <v>0</v>
      </c>
      <c r="Q761">
        <v>0</v>
      </c>
      <c r="R761" t="b">
        <v>0</v>
      </c>
    </row>
    <row r="762" spans="1:18">
      <c r="A762" t="s">
        <v>87</v>
      </c>
      <c r="B762" t="s">
        <v>2114</v>
      </c>
      <c r="C762" t="s">
        <v>2115</v>
      </c>
      <c r="E762">
        <v>93</v>
      </c>
      <c r="F762">
        <v>3319</v>
      </c>
      <c r="G762">
        <v>20</v>
      </c>
      <c r="H762">
        <v>174</v>
      </c>
      <c r="J762" t="s">
        <v>22</v>
      </c>
      <c r="K762" t="b">
        <v>1</v>
      </c>
      <c r="L762">
        <f t="shared" si="11"/>
        <v>113</v>
      </c>
      <c r="M762">
        <f t="shared" si="11"/>
        <v>3493</v>
      </c>
      <c r="N762" t="b">
        <v>0</v>
      </c>
      <c r="O762">
        <v>1</v>
      </c>
      <c r="P762" t="s">
        <v>2116</v>
      </c>
      <c r="Q762">
        <v>2</v>
      </c>
      <c r="R762" t="b">
        <v>1</v>
      </c>
    </row>
    <row r="763" spans="1:18" hidden="1">
      <c r="A763" t="s">
        <v>59</v>
      </c>
      <c r="B763" t="s">
        <v>2117</v>
      </c>
      <c r="C763" t="s">
        <v>2118</v>
      </c>
      <c r="E763">
        <v>47</v>
      </c>
      <c r="F763">
        <v>244</v>
      </c>
      <c r="G763">
        <v>65</v>
      </c>
      <c r="H763">
        <v>333</v>
      </c>
      <c r="J763" t="s">
        <v>93</v>
      </c>
      <c r="K763" t="b">
        <v>1</v>
      </c>
      <c r="L763">
        <f t="shared" si="11"/>
        <v>112</v>
      </c>
      <c r="M763">
        <f t="shared" si="11"/>
        <v>577</v>
      </c>
      <c r="N763" t="b">
        <v>0</v>
      </c>
      <c r="O763">
        <v>0</v>
      </c>
      <c r="Q763">
        <v>0</v>
      </c>
      <c r="R763" t="b">
        <v>0</v>
      </c>
    </row>
    <row r="764" spans="1:18" hidden="1">
      <c r="A764" t="s">
        <v>378</v>
      </c>
      <c r="B764" t="s">
        <v>2119</v>
      </c>
      <c r="C764" t="s">
        <v>2120</v>
      </c>
      <c r="E764">
        <v>73</v>
      </c>
      <c r="F764">
        <v>927</v>
      </c>
      <c r="G764">
        <v>37</v>
      </c>
      <c r="H764">
        <v>528</v>
      </c>
      <c r="J764" t="s">
        <v>93</v>
      </c>
      <c r="K764" t="b">
        <v>1</v>
      </c>
      <c r="L764">
        <f t="shared" si="11"/>
        <v>110</v>
      </c>
      <c r="M764">
        <f t="shared" si="11"/>
        <v>1455</v>
      </c>
      <c r="N764" t="b">
        <v>0</v>
      </c>
      <c r="O764">
        <v>0</v>
      </c>
      <c r="Q764">
        <v>0</v>
      </c>
      <c r="R764" t="b">
        <v>0</v>
      </c>
    </row>
    <row r="765" spans="1:18" hidden="1">
      <c r="A765" t="s">
        <v>133</v>
      </c>
      <c r="B765" t="s">
        <v>2121</v>
      </c>
      <c r="C765" t="s">
        <v>2122</v>
      </c>
      <c r="E765">
        <v>93</v>
      </c>
      <c r="F765">
        <v>1183</v>
      </c>
      <c r="G765">
        <v>17</v>
      </c>
      <c r="H765">
        <v>496</v>
      </c>
      <c r="J765" t="s">
        <v>999</v>
      </c>
      <c r="K765" t="b">
        <v>1</v>
      </c>
      <c r="L765">
        <f t="shared" si="11"/>
        <v>110</v>
      </c>
      <c r="M765">
        <f t="shared" si="11"/>
        <v>1679</v>
      </c>
      <c r="N765" t="b">
        <v>0</v>
      </c>
      <c r="O765">
        <v>0</v>
      </c>
      <c r="Q765">
        <v>0</v>
      </c>
      <c r="R765" t="b">
        <v>0</v>
      </c>
    </row>
    <row r="766" spans="1:18">
      <c r="A766" t="s">
        <v>545</v>
      </c>
      <c r="B766" t="s">
        <v>2123</v>
      </c>
      <c r="C766" t="s">
        <v>2124</v>
      </c>
      <c r="E766">
        <v>81</v>
      </c>
      <c r="F766">
        <v>1751</v>
      </c>
      <c r="G766">
        <v>29</v>
      </c>
      <c r="H766">
        <v>131</v>
      </c>
      <c r="J766" t="s">
        <v>22</v>
      </c>
      <c r="K766" t="b">
        <v>1</v>
      </c>
      <c r="L766">
        <f t="shared" si="11"/>
        <v>110</v>
      </c>
      <c r="M766">
        <f t="shared" si="11"/>
        <v>1882</v>
      </c>
      <c r="N766" t="b">
        <v>0</v>
      </c>
      <c r="O766">
        <v>1</v>
      </c>
      <c r="P766" t="s">
        <v>2125</v>
      </c>
      <c r="Q766">
        <v>2</v>
      </c>
      <c r="R766" t="b">
        <v>1</v>
      </c>
    </row>
    <row r="767" spans="1:18">
      <c r="A767" t="s">
        <v>545</v>
      </c>
      <c r="B767" t="s">
        <v>2126</v>
      </c>
      <c r="C767" t="s">
        <v>2127</v>
      </c>
      <c r="E767">
        <v>81</v>
      </c>
      <c r="F767">
        <v>1751</v>
      </c>
      <c r="G767">
        <v>29</v>
      </c>
      <c r="H767">
        <v>131</v>
      </c>
      <c r="J767" t="s">
        <v>22</v>
      </c>
      <c r="K767" t="b">
        <v>1</v>
      </c>
      <c r="L767">
        <f t="shared" si="11"/>
        <v>110</v>
      </c>
      <c r="M767">
        <f t="shared" si="11"/>
        <v>1882</v>
      </c>
      <c r="N767" t="b">
        <v>0</v>
      </c>
      <c r="O767">
        <v>1</v>
      </c>
      <c r="P767" t="s">
        <v>2128</v>
      </c>
      <c r="Q767">
        <v>2</v>
      </c>
      <c r="R767" t="b">
        <v>1</v>
      </c>
    </row>
    <row r="768" spans="1:18" hidden="1">
      <c r="A768" t="s">
        <v>1227</v>
      </c>
      <c r="B768" t="s">
        <v>2129</v>
      </c>
      <c r="C768" t="s">
        <v>2130</v>
      </c>
      <c r="D768" t="s">
        <v>435</v>
      </c>
      <c r="E768">
        <v>0</v>
      </c>
      <c r="F768">
        <v>0</v>
      </c>
      <c r="G768">
        <v>109</v>
      </c>
      <c r="H768">
        <v>1248</v>
      </c>
      <c r="J768" t="s">
        <v>93</v>
      </c>
      <c r="K768" t="b">
        <v>0</v>
      </c>
      <c r="L768">
        <f t="shared" si="11"/>
        <v>109</v>
      </c>
      <c r="M768">
        <f t="shared" si="11"/>
        <v>1248</v>
      </c>
      <c r="N768" t="b">
        <v>0</v>
      </c>
      <c r="O768">
        <v>0</v>
      </c>
      <c r="Q768">
        <v>0</v>
      </c>
      <c r="R768" t="b">
        <v>0</v>
      </c>
    </row>
    <row r="769" spans="1:18">
      <c r="A769" t="s">
        <v>1334</v>
      </c>
      <c r="B769" t="s">
        <v>2131</v>
      </c>
      <c r="C769" t="s">
        <v>2132</v>
      </c>
      <c r="E769">
        <v>67</v>
      </c>
      <c r="F769">
        <v>575</v>
      </c>
      <c r="G769">
        <v>42</v>
      </c>
      <c r="H769">
        <v>216</v>
      </c>
      <c r="J769" t="s">
        <v>22</v>
      </c>
      <c r="K769" t="b">
        <v>1</v>
      </c>
      <c r="L769">
        <f t="shared" si="11"/>
        <v>109</v>
      </c>
      <c r="M769">
        <f t="shared" si="11"/>
        <v>791</v>
      </c>
      <c r="N769" t="b">
        <v>0</v>
      </c>
      <c r="O769">
        <v>1</v>
      </c>
      <c r="P769" t="s">
        <v>2133</v>
      </c>
      <c r="Q769">
        <v>1</v>
      </c>
      <c r="R769" t="b">
        <v>1</v>
      </c>
    </row>
    <row r="770" spans="1:18">
      <c r="A770" t="s">
        <v>1334</v>
      </c>
      <c r="B770" t="s">
        <v>2134</v>
      </c>
      <c r="C770" t="s">
        <v>2135</v>
      </c>
      <c r="E770">
        <v>67</v>
      </c>
      <c r="F770">
        <v>575</v>
      </c>
      <c r="G770">
        <v>42</v>
      </c>
      <c r="H770">
        <v>216</v>
      </c>
      <c r="J770" t="s">
        <v>22</v>
      </c>
      <c r="K770" t="b">
        <v>1</v>
      </c>
      <c r="L770">
        <f t="shared" si="11"/>
        <v>109</v>
      </c>
      <c r="M770">
        <f t="shared" si="11"/>
        <v>791</v>
      </c>
      <c r="N770" t="b">
        <v>0</v>
      </c>
      <c r="O770">
        <v>1</v>
      </c>
      <c r="P770" t="s">
        <v>2136</v>
      </c>
      <c r="Q770">
        <v>1</v>
      </c>
      <c r="R770" t="b">
        <v>1</v>
      </c>
    </row>
    <row r="771" spans="1:18">
      <c r="A771" t="s">
        <v>24</v>
      </c>
      <c r="B771" t="s">
        <v>2137</v>
      </c>
      <c r="C771" t="s">
        <v>2138</v>
      </c>
      <c r="E771">
        <v>79</v>
      </c>
      <c r="F771">
        <v>1170</v>
      </c>
      <c r="G771">
        <v>29</v>
      </c>
      <c r="H771">
        <v>371</v>
      </c>
      <c r="J771" t="s">
        <v>22</v>
      </c>
      <c r="K771" t="b">
        <v>1</v>
      </c>
      <c r="L771">
        <f t="shared" ref="L771:M834" si="12">E771+G771</f>
        <v>108</v>
      </c>
      <c r="M771">
        <f t="shared" si="12"/>
        <v>1541</v>
      </c>
      <c r="N771" t="b">
        <v>0</v>
      </c>
      <c r="O771">
        <v>1</v>
      </c>
      <c r="P771" t="s">
        <v>2139</v>
      </c>
      <c r="Q771">
        <v>2</v>
      </c>
      <c r="R771" t="b">
        <v>1</v>
      </c>
    </row>
    <row r="772" spans="1:18" hidden="1">
      <c r="A772" t="s">
        <v>706</v>
      </c>
      <c r="B772" t="s">
        <v>2140</v>
      </c>
      <c r="C772" t="s">
        <v>2141</v>
      </c>
      <c r="E772">
        <v>66</v>
      </c>
      <c r="F772">
        <v>181</v>
      </c>
      <c r="G772">
        <v>42</v>
      </c>
      <c r="H772">
        <v>138</v>
      </c>
      <c r="J772" t="s">
        <v>93</v>
      </c>
      <c r="K772" t="b">
        <v>0</v>
      </c>
      <c r="L772">
        <f t="shared" si="12"/>
        <v>108</v>
      </c>
      <c r="M772">
        <f t="shared" si="12"/>
        <v>319</v>
      </c>
      <c r="N772" t="b">
        <v>0</v>
      </c>
      <c r="O772">
        <v>0</v>
      </c>
      <c r="Q772">
        <v>0</v>
      </c>
      <c r="R772" t="b">
        <v>0</v>
      </c>
    </row>
    <row r="773" spans="1:18" hidden="1">
      <c r="A773" t="s">
        <v>706</v>
      </c>
      <c r="B773" t="s">
        <v>2142</v>
      </c>
      <c r="C773" t="s">
        <v>2143</v>
      </c>
      <c r="E773">
        <v>66</v>
      </c>
      <c r="F773">
        <v>181</v>
      </c>
      <c r="G773">
        <v>42</v>
      </c>
      <c r="H773">
        <v>138</v>
      </c>
      <c r="J773" t="s">
        <v>93</v>
      </c>
      <c r="K773" t="b">
        <v>0</v>
      </c>
      <c r="L773">
        <f t="shared" si="12"/>
        <v>108</v>
      </c>
      <c r="M773">
        <f t="shared" si="12"/>
        <v>319</v>
      </c>
      <c r="N773" t="b">
        <v>0</v>
      </c>
      <c r="O773">
        <v>0</v>
      </c>
      <c r="Q773">
        <v>0</v>
      </c>
      <c r="R773" t="b">
        <v>0</v>
      </c>
    </row>
    <row r="774" spans="1:18">
      <c r="A774" t="s">
        <v>1739</v>
      </c>
      <c r="B774" t="s">
        <v>2144</v>
      </c>
      <c r="C774" t="s">
        <v>2145</v>
      </c>
      <c r="E774">
        <v>64</v>
      </c>
      <c r="F774">
        <v>1339</v>
      </c>
      <c r="G774">
        <v>44</v>
      </c>
      <c r="H774">
        <v>588</v>
      </c>
      <c r="J774" t="s">
        <v>22</v>
      </c>
      <c r="K774" t="b">
        <v>1</v>
      </c>
      <c r="L774">
        <f t="shared" si="12"/>
        <v>108</v>
      </c>
      <c r="M774">
        <f t="shared" si="12"/>
        <v>1927</v>
      </c>
      <c r="N774" t="b">
        <v>0</v>
      </c>
      <c r="O774">
        <v>1</v>
      </c>
      <c r="P774" t="s">
        <v>2146</v>
      </c>
      <c r="Q774">
        <v>2</v>
      </c>
      <c r="R774" t="b">
        <v>1</v>
      </c>
    </row>
    <row r="775" spans="1:18">
      <c r="A775" t="s">
        <v>1739</v>
      </c>
      <c r="B775" t="s">
        <v>2147</v>
      </c>
      <c r="C775" t="s">
        <v>2148</v>
      </c>
      <c r="E775">
        <v>64</v>
      </c>
      <c r="F775">
        <v>1339</v>
      </c>
      <c r="G775">
        <v>44</v>
      </c>
      <c r="H775">
        <v>588</v>
      </c>
      <c r="J775" t="s">
        <v>22</v>
      </c>
      <c r="K775" t="b">
        <v>1</v>
      </c>
      <c r="L775">
        <f t="shared" si="12"/>
        <v>108</v>
      </c>
      <c r="M775">
        <f t="shared" si="12"/>
        <v>1927</v>
      </c>
      <c r="N775" t="b">
        <v>0</v>
      </c>
      <c r="O775">
        <v>1</v>
      </c>
      <c r="P775" t="s">
        <v>2149</v>
      </c>
      <c r="Q775">
        <v>2</v>
      </c>
      <c r="R775" t="b">
        <v>1</v>
      </c>
    </row>
    <row r="776" spans="1:18">
      <c r="A776" t="s">
        <v>1739</v>
      </c>
      <c r="B776" t="s">
        <v>2150</v>
      </c>
      <c r="C776" t="s">
        <v>2151</v>
      </c>
      <c r="E776">
        <v>64</v>
      </c>
      <c r="F776">
        <v>1339</v>
      </c>
      <c r="G776">
        <v>44</v>
      </c>
      <c r="H776">
        <v>588</v>
      </c>
      <c r="J776" t="s">
        <v>22</v>
      </c>
      <c r="K776" t="b">
        <v>1</v>
      </c>
      <c r="L776">
        <f t="shared" si="12"/>
        <v>108</v>
      </c>
      <c r="M776">
        <f t="shared" si="12"/>
        <v>1927</v>
      </c>
      <c r="N776" t="b">
        <v>0</v>
      </c>
      <c r="O776">
        <v>1</v>
      </c>
      <c r="P776" t="s">
        <v>2152</v>
      </c>
      <c r="Q776">
        <v>2</v>
      </c>
      <c r="R776" t="b">
        <v>1</v>
      </c>
    </row>
    <row r="777" spans="1:18">
      <c r="A777" t="s">
        <v>438</v>
      </c>
      <c r="B777" t="s">
        <v>2153</v>
      </c>
      <c r="C777" t="s">
        <v>2154</v>
      </c>
      <c r="E777">
        <v>78</v>
      </c>
      <c r="F777">
        <v>1749</v>
      </c>
      <c r="G777">
        <v>29</v>
      </c>
      <c r="H777">
        <v>634</v>
      </c>
      <c r="J777" t="s">
        <v>22</v>
      </c>
      <c r="K777" t="b">
        <v>1</v>
      </c>
      <c r="L777">
        <f t="shared" si="12"/>
        <v>107</v>
      </c>
      <c r="M777">
        <f t="shared" si="12"/>
        <v>2383</v>
      </c>
      <c r="N777" t="b">
        <v>0</v>
      </c>
      <c r="O777">
        <v>1</v>
      </c>
      <c r="P777" t="s">
        <v>2155</v>
      </c>
      <c r="Q777">
        <v>2</v>
      </c>
      <c r="R777" t="b">
        <v>1</v>
      </c>
    </row>
    <row r="778" spans="1:18" hidden="1">
      <c r="A778" t="s">
        <v>1224</v>
      </c>
      <c r="B778" t="s">
        <v>2156</v>
      </c>
      <c r="C778" s="9" t="s">
        <v>2157</v>
      </c>
      <c r="D778" t="s">
        <v>93</v>
      </c>
      <c r="E778">
        <v>64</v>
      </c>
      <c r="F778">
        <v>1913</v>
      </c>
      <c r="G778">
        <v>42</v>
      </c>
      <c r="H778">
        <v>1538</v>
      </c>
      <c r="I778" t="s">
        <v>2158</v>
      </c>
      <c r="J778" t="s">
        <v>93</v>
      </c>
      <c r="K778" t="b">
        <v>1</v>
      </c>
      <c r="L778">
        <f t="shared" si="12"/>
        <v>106</v>
      </c>
      <c r="M778">
        <f t="shared" si="12"/>
        <v>3451</v>
      </c>
      <c r="N778" t="b">
        <v>0</v>
      </c>
      <c r="O778">
        <v>0</v>
      </c>
      <c r="Q778">
        <v>0</v>
      </c>
      <c r="R778" t="b">
        <v>0</v>
      </c>
    </row>
    <row r="779" spans="1:18">
      <c r="A779" t="s">
        <v>24</v>
      </c>
      <c r="B779" t="s">
        <v>2159</v>
      </c>
      <c r="C779" t="s">
        <v>2160</v>
      </c>
      <c r="E779">
        <v>69</v>
      </c>
      <c r="F779">
        <v>248</v>
      </c>
      <c r="G779">
        <v>37</v>
      </c>
      <c r="H779">
        <v>162</v>
      </c>
      <c r="J779" t="s">
        <v>22</v>
      </c>
      <c r="K779" t="b">
        <v>1</v>
      </c>
      <c r="L779">
        <f t="shared" si="12"/>
        <v>106</v>
      </c>
      <c r="M779">
        <f t="shared" si="12"/>
        <v>410</v>
      </c>
      <c r="N779" t="b">
        <v>0</v>
      </c>
      <c r="O779">
        <v>1</v>
      </c>
      <c r="P779" t="s">
        <v>2161</v>
      </c>
      <c r="Q779">
        <v>2</v>
      </c>
      <c r="R779" t="b">
        <v>1</v>
      </c>
    </row>
    <row r="780" spans="1:18">
      <c r="A780" t="s">
        <v>854</v>
      </c>
      <c r="B780" t="s">
        <v>2162</v>
      </c>
      <c r="C780" t="s">
        <v>2163</v>
      </c>
      <c r="E780">
        <v>76</v>
      </c>
      <c r="F780">
        <v>658</v>
      </c>
      <c r="G780">
        <v>30</v>
      </c>
      <c r="H780">
        <v>187</v>
      </c>
      <c r="J780" t="s">
        <v>22</v>
      </c>
      <c r="K780" t="b">
        <v>1</v>
      </c>
      <c r="L780">
        <f t="shared" si="12"/>
        <v>106</v>
      </c>
      <c r="M780">
        <f t="shared" si="12"/>
        <v>845</v>
      </c>
      <c r="N780" t="b">
        <v>0</v>
      </c>
      <c r="O780">
        <v>1</v>
      </c>
      <c r="P780" t="s">
        <v>803</v>
      </c>
      <c r="Q780">
        <v>2</v>
      </c>
      <c r="R780" t="b">
        <v>1</v>
      </c>
    </row>
    <row r="781" spans="1:18">
      <c r="A781" t="s">
        <v>352</v>
      </c>
      <c r="B781" t="s">
        <v>2164</v>
      </c>
      <c r="C781" t="s">
        <v>2165</v>
      </c>
      <c r="E781">
        <v>89</v>
      </c>
      <c r="F781">
        <v>791</v>
      </c>
      <c r="G781">
        <v>17</v>
      </c>
      <c r="H781">
        <v>144</v>
      </c>
      <c r="J781" t="s">
        <v>22</v>
      </c>
      <c r="K781" t="b">
        <v>1</v>
      </c>
      <c r="L781">
        <f t="shared" si="12"/>
        <v>106</v>
      </c>
      <c r="M781">
        <f t="shared" si="12"/>
        <v>935</v>
      </c>
      <c r="N781" t="b">
        <v>0</v>
      </c>
      <c r="O781">
        <v>1</v>
      </c>
      <c r="P781" t="s">
        <v>2166</v>
      </c>
      <c r="Q781">
        <v>1</v>
      </c>
      <c r="R781" t="b">
        <v>1</v>
      </c>
    </row>
    <row r="782" spans="1:18">
      <c r="A782" t="s">
        <v>573</v>
      </c>
      <c r="B782" t="s">
        <v>2167</v>
      </c>
      <c r="C782" t="s">
        <v>2168</v>
      </c>
      <c r="E782">
        <v>83</v>
      </c>
      <c r="F782">
        <v>790</v>
      </c>
      <c r="G782">
        <v>22</v>
      </c>
      <c r="H782">
        <v>398</v>
      </c>
      <c r="J782" t="s">
        <v>22</v>
      </c>
      <c r="K782" t="b">
        <v>1</v>
      </c>
      <c r="L782">
        <f t="shared" si="12"/>
        <v>105</v>
      </c>
      <c r="M782">
        <f t="shared" si="12"/>
        <v>1188</v>
      </c>
      <c r="N782" t="b">
        <v>0</v>
      </c>
      <c r="O782">
        <v>1</v>
      </c>
      <c r="P782" t="s">
        <v>2169</v>
      </c>
      <c r="Q782">
        <v>2</v>
      </c>
      <c r="R782" t="b">
        <v>1</v>
      </c>
    </row>
    <row r="783" spans="1:18">
      <c r="A783" t="s">
        <v>24</v>
      </c>
      <c r="B783" t="s">
        <v>2170</v>
      </c>
      <c r="C783" t="s">
        <v>2171</v>
      </c>
      <c r="E783">
        <v>95</v>
      </c>
      <c r="F783">
        <v>1057</v>
      </c>
      <c r="G783">
        <v>10</v>
      </c>
      <c r="H783">
        <v>30</v>
      </c>
      <c r="J783" t="s">
        <v>22</v>
      </c>
      <c r="K783" t="b">
        <v>1</v>
      </c>
      <c r="L783">
        <f t="shared" si="12"/>
        <v>105</v>
      </c>
      <c r="M783">
        <f t="shared" si="12"/>
        <v>1087</v>
      </c>
      <c r="N783" t="b">
        <v>0</v>
      </c>
      <c r="O783">
        <v>1</v>
      </c>
      <c r="P783" t="s">
        <v>954</v>
      </c>
      <c r="Q783">
        <v>2</v>
      </c>
      <c r="R783" t="b">
        <v>1</v>
      </c>
    </row>
    <row r="784" spans="1:18" hidden="1">
      <c r="A784" t="s">
        <v>1424</v>
      </c>
      <c r="B784" t="s">
        <v>2172</v>
      </c>
      <c r="C784" t="s">
        <v>2173</v>
      </c>
      <c r="E784">
        <v>82</v>
      </c>
      <c r="F784">
        <v>786</v>
      </c>
      <c r="G784">
        <v>23</v>
      </c>
      <c r="H784">
        <v>77</v>
      </c>
      <c r="J784" t="s">
        <v>93</v>
      </c>
      <c r="K784" t="b">
        <v>0</v>
      </c>
      <c r="L784">
        <f t="shared" si="12"/>
        <v>105</v>
      </c>
      <c r="M784">
        <f t="shared" si="12"/>
        <v>863</v>
      </c>
      <c r="N784" t="b">
        <v>0</v>
      </c>
      <c r="O784">
        <v>0</v>
      </c>
      <c r="Q784">
        <v>0</v>
      </c>
      <c r="R784" t="b">
        <v>0</v>
      </c>
    </row>
    <row r="785" spans="1:18" hidden="1">
      <c r="A785" t="s">
        <v>1424</v>
      </c>
      <c r="B785" t="s">
        <v>2174</v>
      </c>
      <c r="C785" t="s">
        <v>2175</v>
      </c>
      <c r="E785">
        <v>82</v>
      </c>
      <c r="F785">
        <v>786</v>
      </c>
      <c r="G785">
        <v>23</v>
      </c>
      <c r="H785">
        <v>77</v>
      </c>
      <c r="J785" t="s">
        <v>93</v>
      </c>
      <c r="K785" t="b">
        <v>0</v>
      </c>
      <c r="L785">
        <f t="shared" si="12"/>
        <v>105</v>
      </c>
      <c r="M785">
        <f t="shared" si="12"/>
        <v>863</v>
      </c>
      <c r="N785" t="b">
        <v>0</v>
      </c>
      <c r="O785">
        <v>0</v>
      </c>
      <c r="Q785">
        <v>0</v>
      </c>
      <c r="R785" t="b">
        <v>0</v>
      </c>
    </row>
    <row r="786" spans="1:18" hidden="1">
      <c r="A786" t="s">
        <v>1424</v>
      </c>
      <c r="B786" t="s">
        <v>2176</v>
      </c>
      <c r="C786" t="s">
        <v>2177</v>
      </c>
      <c r="E786">
        <v>82</v>
      </c>
      <c r="F786">
        <v>786</v>
      </c>
      <c r="G786">
        <v>23</v>
      </c>
      <c r="H786">
        <v>77</v>
      </c>
      <c r="J786" t="s">
        <v>93</v>
      </c>
      <c r="K786" t="b">
        <v>0</v>
      </c>
      <c r="L786">
        <f t="shared" si="12"/>
        <v>105</v>
      </c>
      <c r="M786">
        <f t="shared" si="12"/>
        <v>863</v>
      </c>
      <c r="N786" t="b">
        <v>0</v>
      </c>
      <c r="O786">
        <v>0</v>
      </c>
      <c r="Q786">
        <v>0</v>
      </c>
      <c r="R786" t="b">
        <v>0</v>
      </c>
    </row>
    <row r="787" spans="1:18" hidden="1">
      <c r="A787" t="s">
        <v>192</v>
      </c>
      <c r="B787" t="s">
        <v>2178</v>
      </c>
      <c r="C787" t="s">
        <v>2179</v>
      </c>
      <c r="E787">
        <v>0</v>
      </c>
      <c r="F787">
        <v>0</v>
      </c>
      <c r="G787">
        <v>105</v>
      </c>
      <c r="H787">
        <v>301</v>
      </c>
      <c r="J787" t="s">
        <v>999</v>
      </c>
      <c r="K787" t="b">
        <v>1</v>
      </c>
      <c r="L787">
        <f t="shared" si="12"/>
        <v>105</v>
      </c>
      <c r="M787">
        <f t="shared" si="12"/>
        <v>301</v>
      </c>
      <c r="N787" t="b">
        <v>0</v>
      </c>
      <c r="O787">
        <v>0</v>
      </c>
      <c r="Q787">
        <v>0</v>
      </c>
      <c r="R787" t="b">
        <v>0</v>
      </c>
    </row>
    <row r="788" spans="1:18">
      <c r="A788" t="s">
        <v>1625</v>
      </c>
      <c r="B788" t="s">
        <v>2180</v>
      </c>
      <c r="C788" t="s">
        <v>2181</v>
      </c>
      <c r="E788">
        <v>65</v>
      </c>
      <c r="F788">
        <v>101</v>
      </c>
      <c r="G788">
        <v>40</v>
      </c>
      <c r="H788">
        <v>116</v>
      </c>
      <c r="J788" t="s">
        <v>22</v>
      </c>
      <c r="K788" t="b">
        <v>1</v>
      </c>
      <c r="L788">
        <f t="shared" si="12"/>
        <v>105</v>
      </c>
      <c r="M788">
        <f t="shared" si="12"/>
        <v>217</v>
      </c>
      <c r="N788" t="b">
        <v>0</v>
      </c>
      <c r="O788">
        <v>1</v>
      </c>
      <c r="P788" t="s">
        <v>2182</v>
      </c>
      <c r="Q788">
        <v>2</v>
      </c>
      <c r="R788" t="b">
        <v>1</v>
      </c>
    </row>
    <row r="789" spans="1:18">
      <c r="A789" t="s">
        <v>1625</v>
      </c>
      <c r="B789" t="s">
        <v>2183</v>
      </c>
      <c r="C789" t="s">
        <v>2184</v>
      </c>
      <c r="E789">
        <v>65</v>
      </c>
      <c r="F789">
        <v>101</v>
      </c>
      <c r="G789">
        <v>40</v>
      </c>
      <c r="H789">
        <v>116</v>
      </c>
      <c r="J789" t="s">
        <v>22</v>
      </c>
      <c r="K789" t="b">
        <v>1</v>
      </c>
      <c r="L789">
        <f t="shared" si="12"/>
        <v>105</v>
      </c>
      <c r="M789">
        <f t="shared" si="12"/>
        <v>217</v>
      </c>
      <c r="N789" t="b">
        <v>0</v>
      </c>
      <c r="O789">
        <v>1</v>
      </c>
      <c r="P789" t="s">
        <v>2185</v>
      </c>
      <c r="Q789">
        <v>2</v>
      </c>
      <c r="R789" t="b">
        <v>1</v>
      </c>
    </row>
    <row r="790" spans="1:18" hidden="1">
      <c r="A790" t="s">
        <v>102</v>
      </c>
      <c r="B790" t="s">
        <v>2186</v>
      </c>
      <c r="C790" t="s">
        <v>2187</v>
      </c>
      <c r="E790">
        <v>71</v>
      </c>
      <c r="F790">
        <v>1312</v>
      </c>
      <c r="G790">
        <v>33</v>
      </c>
      <c r="H790">
        <v>313</v>
      </c>
      <c r="J790" t="s">
        <v>93</v>
      </c>
      <c r="K790" t="b">
        <v>1</v>
      </c>
      <c r="L790">
        <f t="shared" si="12"/>
        <v>104</v>
      </c>
      <c r="M790">
        <f t="shared" si="12"/>
        <v>1625</v>
      </c>
      <c r="N790" t="b">
        <v>0</v>
      </c>
      <c r="O790">
        <v>0.5</v>
      </c>
      <c r="P790" t="s">
        <v>105</v>
      </c>
      <c r="Q790">
        <v>4</v>
      </c>
      <c r="R790" t="b">
        <v>1</v>
      </c>
    </row>
    <row r="791" spans="1:18" hidden="1">
      <c r="A791" t="s">
        <v>102</v>
      </c>
      <c r="B791" t="s">
        <v>2188</v>
      </c>
      <c r="C791" t="s">
        <v>2189</v>
      </c>
      <c r="E791">
        <v>71</v>
      </c>
      <c r="F791">
        <v>1312</v>
      </c>
      <c r="G791">
        <v>33</v>
      </c>
      <c r="H791">
        <v>313</v>
      </c>
      <c r="J791" t="s">
        <v>93</v>
      </c>
      <c r="K791" t="b">
        <v>1</v>
      </c>
      <c r="L791">
        <f t="shared" si="12"/>
        <v>104</v>
      </c>
      <c r="M791">
        <f t="shared" si="12"/>
        <v>1625</v>
      </c>
      <c r="N791" t="b">
        <v>0</v>
      </c>
      <c r="O791">
        <v>0.5</v>
      </c>
      <c r="P791" t="s">
        <v>1223</v>
      </c>
      <c r="Q791">
        <v>4</v>
      </c>
      <c r="R791" t="b">
        <v>1</v>
      </c>
    </row>
    <row r="792" spans="1:18">
      <c r="A792" t="s">
        <v>1224</v>
      </c>
      <c r="B792" t="s">
        <v>2190</v>
      </c>
      <c r="C792" t="s">
        <v>2191</v>
      </c>
      <c r="E792">
        <v>73</v>
      </c>
      <c r="F792">
        <v>1729</v>
      </c>
      <c r="G792">
        <v>31</v>
      </c>
      <c r="H792">
        <v>201</v>
      </c>
      <c r="J792" t="s">
        <v>22</v>
      </c>
      <c r="K792" t="b">
        <v>1</v>
      </c>
      <c r="L792">
        <f t="shared" si="12"/>
        <v>104</v>
      </c>
      <c r="M792">
        <f t="shared" si="12"/>
        <v>1930</v>
      </c>
      <c r="N792" t="b">
        <v>0</v>
      </c>
      <c r="O792">
        <v>1</v>
      </c>
      <c r="P792" t="s">
        <v>2192</v>
      </c>
      <c r="Q792">
        <v>2</v>
      </c>
      <c r="R792" t="b">
        <v>1</v>
      </c>
    </row>
    <row r="793" spans="1:18">
      <c r="A793" t="s">
        <v>24</v>
      </c>
      <c r="B793" t="s">
        <v>2193</v>
      </c>
      <c r="C793" t="s">
        <v>2194</v>
      </c>
      <c r="E793">
        <v>83</v>
      </c>
      <c r="F793">
        <v>790</v>
      </c>
      <c r="G793">
        <v>21</v>
      </c>
      <c r="H793">
        <v>397</v>
      </c>
      <c r="J793" t="s">
        <v>22</v>
      </c>
      <c r="K793" t="b">
        <v>1</v>
      </c>
      <c r="L793">
        <f t="shared" si="12"/>
        <v>104</v>
      </c>
      <c r="M793">
        <f t="shared" si="12"/>
        <v>1187</v>
      </c>
      <c r="N793" t="b">
        <v>0</v>
      </c>
      <c r="O793">
        <v>1</v>
      </c>
      <c r="P793" t="s">
        <v>2195</v>
      </c>
      <c r="Q793">
        <v>2</v>
      </c>
      <c r="R793" t="b">
        <v>1</v>
      </c>
    </row>
    <row r="794" spans="1:18">
      <c r="A794" t="s">
        <v>24</v>
      </c>
      <c r="B794" t="s">
        <v>2196</v>
      </c>
      <c r="C794" t="s">
        <v>2197</v>
      </c>
      <c r="E794">
        <v>74</v>
      </c>
      <c r="F794">
        <v>1434</v>
      </c>
      <c r="G794">
        <v>30</v>
      </c>
      <c r="H794">
        <v>971</v>
      </c>
      <c r="J794" t="s">
        <v>22</v>
      </c>
      <c r="K794" t="b">
        <v>1</v>
      </c>
      <c r="L794">
        <f t="shared" si="12"/>
        <v>104</v>
      </c>
      <c r="M794">
        <f t="shared" si="12"/>
        <v>2405</v>
      </c>
      <c r="N794" t="b">
        <v>0</v>
      </c>
      <c r="O794">
        <v>1</v>
      </c>
      <c r="P794" t="s">
        <v>2198</v>
      </c>
      <c r="Q794">
        <v>2</v>
      </c>
      <c r="R794" t="b">
        <v>1</v>
      </c>
    </row>
    <row r="795" spans="1:18">
      <c r="A795" t="s">
        <v>235</v>
      </c>
      <c r="B795" t="s">
        <v>2199</v>
      </c>
      <c r="C795" t="s">
        <v>2200</v>
      </c>
      <c r="E795">
        <v>87</v>
      </c>
      <c r="F795">
        <v>0</v>
      </c>
      <c r="G795">
        <v>16</v>
      </c>
      <c r="H795">
        <v>16</v>
      </c>
      <c r="J795" t="s">
        <v>22</v>
      </c>
      <c r="K795" t="b">
        <v>1</v>
      </c>
      <c r="L795">
        <f t="shared" si="12"/>
        <v>103</v>
      </c>
      <c r="M795">
        <f t="shared" si="12"/>
        <v>16</v>
      </c>
      <c r="N795" t="b">
        <v>0</v>
      </c>
      <c r="O795">
        <v>1</v>
      </c>
      <c r="P795" t="s">
        <v>2201</v>
      </c>
      <c r="Q795">
        <v>2</v>
      </c>
      <c r="R795" t="b">
        <v>1</v>
      </c>
    </row>
    <row r="796" spans="1:18">
      <c r="A796" t="s">
        <v>1191</v>
      </c>
      <c r="B796" t="s">
        <v>2202</v>
      </c>
      <c r="C796" t="s">
        <v>2203</v>
      </c>
      <c r="E796">
        <v>69</v>
      </c>
      <c r="F796">
        <v>557</v>
      </c>
      <c r="G796">
        <v>34</v>
      </c>
      <c r="H796">
        <v>226</v>
      </c>
      <c r="J796" t="s">
        <v>22</v>
      </c>
      <c r="K796" t="b">
        <v>1</v>
      </c>
      <c r="L796">
        <f t="shared" si="12"/>
        <v>103</v>
      </c>
      <c r="M796">
        <f t="shared" si="12"/>
        <v>783</v>
      </c>
      <c r="N796" t="b">
        <v>0</v>
      </c>
      <c r="O796">
        <v>1</v>
      </c>
      <c r="P796" t="s">
        <v>2204</v>
      </c>
      <c r="Q796">
        <v>2</v>
      </c>
      <c r="R796" t="b">
        <v>1</v>
      </c>
    </row>
    <row r="797" spans="1:18" hidden="1">
      <c r="A797" t="s">
        <v>1712</v>
      </c>
      <c r="B797" t="s">
        <v>2205</v>
      </c>
      <c r="C797" s="5" t="s">
        <v>2206</v>
      </c>
      <c r="E797">
        <v>79</v>
      </c>
      <c r="F797">
        <v>1744</v>
      </c>
      <c r="G797">
        <v>24</v>
      </c>
      <c r="H797">
        <v>121</v>
      </c>
      <c r="J797" t="s">
        <v>93</v>
      </c>
      <c r="K797" t="b">
        <v>0</v>
      </c>
      <c r="L797">
        <f t="shared" si="12"/>
        <v>103</v>
      </c>
      <c r="M797">
        <f t="shared" si="12"/>
        <v>1865</v>
      </c>
      <c r="N797" t="b">
        <v>0</v>
      </c>
      <c r="O797">
        <v>0</v>
      </c>
      <c r="Q797">
        <v>0</v>
      </c>
      <c r="R797" t="b">
        <v>0</v>
      </c>
    </row>
    <row r="798" spans="1:18" hidden="1">
      <c r="A798" t="s">
        <v>1712</v>
      </c>
      <c r="B798" t="s">
        <v>2207</v>
      </c>
      <c r="C798" s="5" t="s">
        <v>2208</v>
      </c>
      <c r="E798">
        <v>79</v>
      </c>
      <c r="F798">
        <v>1744</v>
      </c>
      <c r="G798">
        <v>24</v>
      </c>
      <c r="H798">
        <v>121</v>
      </c>
      <c r="J798" t="s">
        <v>93</v>
      </c>
      <c r="K798" t="b">
        <v>0</v>
      </c>
      <c r="L798">
        <f t="shared" si="12"/>
        <v>103</v>
      </c>
      <c r="M798">
        <f t="shared" si="12"/>
        <v>1865</v>
      </c>
      <c r="N798" t="b">
        <v>0</v>
      </c>
      <c r="O798">
        <v>0</v>
      </c>
      <c r="Q798">
        <v>0</v>
      </c>
      <c r="R798" t="b">
        <v>0</v>
      </c>
    </row>
    <row r="799" spans="1:18" hidden="1">
      <c r="A799" t="s">
        <v>24</v>
      </c>
      <c r="B799" t="s">
        <v>2209</v>
      </c>
      <c r="C799" t="s">
        <v>2210</v>
      </c>
      <c r="E799">
        <v>57</v>
      </c>
      <c r="F799">
        <v>279</v>
      </c>
      <c r="G799">
        <v>46</v>
      </c>
      <c r="H799">
        <v>594</v>
      </c>
      <c r="J799" t="s">
        <v>93</v>
      </c>
      <c r="K799" t="b">
        <v>1</v>
      </c>
      <c r="L799">
        <f t="shared" si="12"/>
        <v>103</v>
      </c>
      <c r="M799">
        <f t="shared" si="12"/>
        <v>873</v>
      </c>
      <c r="N799" t="b">
        <v>0</v>
      </c>
      <c r="O799">
        <v>0</v>
      </c>
      <c r="Q799">
        <v>0</v>
      </c>
      <c r="R799" t="b">
        <v>0</v>
      </c>
    </row>
    <row r="800" spans="1:18" hidden="1">
      <c r="A800" t="s">
        <v>2211</v>
      </c>
      <c r="B800" t="s">
        <v>2212</v>
      </c>
      <c r="C800" t="s">
        <v>2213</v>
      </c>
      <c r="E800">
        <v>53</v>
      </c>
      <c r="F800">
        <v>127</v>
      </c>
      <c r="G800">
        <v>50</v>
      </c>
      <c r="H800">
        <v>73</v>
      </c>
      <c r="J800" t="s">
        <v>93</v>
      </c>
      <c r="K800" t="b">
        <v>0</v>
      </c>
      <c r="L800">
        <f t="shared" si="12"/>
        <v>103</v>
      </c>
      <c r="M800">
        <f t="shared" si="12"/>
        <v>200</v>
      </c>
      <c r="N800" t="b">
        <v>0</v>
      </c>
      <c r="O800">
        <v>0</v>
      </c>
      <c r="Q800">
        <v>0</v>
      </c>
      <c r="R800" t="b">
        <v>0</v>
      </c>
    </row>
    <row r="801" spans="1:18">
      <c r="A801" t="s">
        <v>1191</v>
      </c>
      <c r="B801" t="s">
        <v>2214</v>
      </c>
      <c r="C801" t="s">
        <v>2215</v>
      </c>
      <c r="E801">
        <v>74</v>
      </c>
      <c r="F801">
        <v>1631</v>
      </c>
      <c r="G801">
        <v>28</v>
      </c>
      <c r="H801">
        <v>136</v>
      </c>
      <c r="J801" t="s">
        <v>22</v>
      </c>
      <c r="K801" t="b">
        <v>1</v>
      </c>
      <c r="L801">
        <f t="shared" si="12"/>
        <v>102</v>
      </c>
      <c r="M801">
        <f t="shared" si="12"/>
        <v>1767</v>
      </c>
      <c r="N801" t="b">
        <v>0</v>
      </c>
      <c r="O801">
        <v>1</v>
      </c>
      <c r="P801" t="s">
        <v>2216</v>
      </c>
      <c r="Q801">
        <v>2</v>
      </c>
      <c r="R801" t="b">
        <v>1</v>
      </c>
    </row>
    <row r="802" spans="1:18">
      <c r="A802" t="s">
        <v>1191</v>
      </c>
      <c r="B802" t="s">
        <v>2217</v>
      </c>
      <c r="C802" t="s">
        <v>2218</v>
      </c>
      <c r="E802">
        <v>74</v>
      </c>
      <c r="F802">
        <v>1631</v>
      </c>
      <c r="G802">
        <v>28</v>
      </c>
      <c r="H802">
        <v>136</v>
      </c>
      <c r="J802" t="s">
        <v>22</v>
      </c>
      <c r="K802" t="b">
        <v>1</v>
      </c>
      <c r="L802">
        <f t="shared" si="12"/>
        <v>102</v>
      </c>
      <c r="M802">
        <f t="shared" si="12"/>
        <v>1767</v>
      </c>
      <c r="N802" t="b">
        <v>0</v>
      </c>
      <c r="O802">
        <v>1</v>
      </c>
      <c r="P802" t="s">
        <v>2219</v>
      </c>
      <c r="Q802">
        <v>2</v>
      </c>
      <c r="R802" t="b">
        <v>1</v>
      </c>
    </row>
    <row r="803" spans="1:18">
      <c r="A803" t="s">
        <v>1987</v>
      </c>
      <c r="B803" t="s">
        <v>2220</v>
      </c>
      <c r="C803" t="s">
        <v>2221</v>
      </c>
      <c r="E803">
        <v>76</v>
      </c>
      <c r="F803">
        <v>1617</v>
      </c>
      <c r="G803">
        <v>26</v>
      </c>
      <c r="H803">
        <v>131</v>
      </c>
      <c r="J803" t="s">
        <v>22</v>
      </c>
      <c r="K803" t="b">
        <v>1</v>
      </c>
      <c r="L803">
        <f t="shared" si="12"/>
        <v>102</v>
      </c>
      <c r="M803">
        <f t="shared" si="12"/>
        <v>1748</v>
      </c>
      <c r="N803" t="b">
        <v>0</v>
      </c>
      <c r="O803">
        <v>1</v>
      </c>
      <c r="P803" t="s">
        <v>2222</v>
      </c>
      <c r="Q803">
        <v>2</v>
      </c>
      <c r="R803" t="b">
        <v>1</v>
      </c>
    </row>
    <row r="804" spans="1:18" hidden="1">
      <c r="A804" t="s">
        <v>1847</v>
      </c>
      <c r="B804" t="s">
        <v>2223</v>
      </c>
      <c r="C804" t="s">
        <v>2224</v>
      </c>
      <c r="E804">
        <v>73</v>
      </c>
      <c r="F804">
        <v>1108</v>
      </c>
      <c r="G804">
        <v>29</v>
      </c>
      <c r="H804">
        <v>564</v>
      </c>
      <c r="J804" t="s">
        <v>93</v>
      </c>
      <c r="K804" t="b">
        <v>0</v>
      </c>
      <c r="L804">
        <f t="shared" si="12"/>
        <v>102</v>
      </c>
      <c r="M804">
        <f t="shared" si="12"/>
        <v>1672</v>
      </c>
      <c r="N804" t="b">
        <v>0</v>
      </c>
      <c r="O804">
        <v>0</v>
      </c>
      <c r="Q804">
        <v>0</v>
      </c>
      <c r="R804" t="b">
        <v>0</v>
      </c>
    </row>
    <row r="805" spans="1:18">
      <c r="A805" t="s">
        <v>24</v>
      </c>
      <c r="B805" t="s">
        <v>2225</v>
      </c>
      <c r="C805" t="s">
        <v>2226</v>
      </c>
      <c r="E805">
        <v>70</v>
      </c>
      <c r="F805">
        <v>1095</v>
      </c>
      <c r="G805">
        <v>32</v>
      </c>
      <c r="H805">
        <v>417</v>
      </c>
      <c r="J805" t="s">
        <v>22</v>
      </c>
      <c r="K805" t="b">
        <v>1</v>
      </c>
      <c r="L805">
        <f t="shared" si="12"/>
        <v>102</v>
      </c>
      <c r="M805">
        <f t="shared" si="12"/>
        <v>1512</v>
      </c>
      <c r="N805" t="b">
        <v>0</v>
      </c>
      <c r="O805">
        <v>1</v>
      </c>
      <c r="P805" t="s">
        <v>2227</v>
      </c>
      <c r="Q805">
        <v>2</v>
      </c>
      <c r="R805" t="b">
        <v>1</v>
      </c>
    </row>
    <row r="806" spans="1:18">
      <c r="A806" t="s">
        <v>205</v>
      </c>
      <c r="B806" t="s">
        <v>2228</v>
      </c>
      <c r="C806" t="s">
        <v>2229</v>
      </c>
      <c r="E806">
        <v>58</v>
      </c>
      <c r="F806">
        <v>244</v>
      </c>
      <c r="G806">
        <v>44</v>
      </c>
      <c r="H806">
        <v>579</v>
      </c>
      <c r="J806" t="s">
        <v>22</v>
      </c>
      <c r="K806" t="b">
        <v>1</v>
      </c>
      <c r="L806">
        <f t="shared" si="12"/>
        <v>102</v>
      </c>
      <c r="M806">
        <f t="shared" si="12"/>
        <v>823</v>
      </c>
      <c r="N806" t="b">
        <v>0</v>
      </c>
      <c r="O806">
        <v>1</v>
      </c>
      <c r="P806" t="s">
        <v>1035</v>
      </c>
      <c r="Q806">
        <v>2</v>
      </c>
      <c r="R806" t="b">
        <v>1</v>
      </c>
    </row>
    <row r="807" spans="1:18" hidden="1">
      <c r="A807" t="s">
        <v>1191</v>
      </c>
      <c r="B807" t="s">
        <v>2230</v>
      </c>
      <c r="C807" t="s">
        <v>2231</v>
      </c>
      <c r="D807" t="s">
        <v>519</v>
      </c>
      <c r="E807">
        <v>72</v>
      </c>
      <c r="F807">
        <v>1627</v>
      </c>
      <c r="G807">
        <v>29</v>
      </c>
      <c r="H807">
        <v>176</v>
      </c>
      <c r="I807" t="s">
        <v>2232</v>
      </c>
      <c r="J807" t="s">
        <v>93</v>
      </c>
      <c r="K807" t="b">
        <v>1</v>
      </c>
      <c r="L807">
        <f t="shared" si="12"/>
        <v>101</v>
      </c>
      <c r="M807">
        <f t="shared" si="12"/>
        <v>1803</v>
      </c>
      <c r="N807" t="b">
        <v>0</v>
      </c>
      <c r="O807">
        <v>0.4</v>
      </c>
      <c r="P807" t="s">
        <v>2233</v>
      </c>
      <c r="Q807">
        <v>4</v>
      </c>
      <c r="R807" t="b">
        <v>1</v>
      </c>
    </row>
    <row r="808" spans="1:18">
      <c r="A808" t="s">
        <v>1191</v>
      </c>
      <c r="B808" t="s">
        <v>2234</v>
      </c>
      <c r="C808" t="s">
        <v>2235</v>
      </c>
      <c r="E808">
        <v>65</v>
      </c>
      <c r="F808">
        <v>183</v>
      </c>
      <c r="G808">
        <v>36</v>
      </c>
      <c r="H808">
        <v>189</v>
      </c>
      <c r="J808" t="s">
        <v>22</v>
      </c>
      <c r="K808" t="b">
        <v>1</v>
      </c>
      <c r="L808">
        <f t="shared" si="12"/>
        <v>101</v>
      </c>
      <c r="M808">
        <f t="shared" si="12"/>
        <v>372</v>
      </c>
      <c r="N808" t="b">
        <v>0</v>
      </c>
      <c r="O808">
        <v>1</v>
      </c>
      <c r="P808" t="s">
        <v>2236</v>
      </c>
      <c r="Q808">
        <v>2</v>
      </c>
      <c r="R808" t="b">
        <v>1</v>
      </c>
    </row>
    <row r="809" spans="1:18">
      <c r="A809" t="s">
        <v>1191</v>
      </c>
      <c r="B809" t="s">
        <v>2237</v>
      </c>
      <c r="C809" t="s">
        <v>2238</v>
      </c>
      <c r="E809">
        <v>76</v>
      </c>
      <c r="F809">
        <v>1771</v>
      </c>
      <c r="G809">
        <v>25</v>
      </c>
      <c r="H809">
        <v>115</v>
      </c>
      <c r="J809" t="s">
        <v>22</v>
      </c>
      <c r="K809" t="b">
        <v>1</v>
      </c>
      <c r="L809">
        <f t="shared" si="12"/>
        <v>101</v>
      </c>
      <c r="M809">
        <f t="shared" si="12"/>
        <v>1886</v>
      </c>
      <c r="N809" t="b">
        <v>0</v>
      </c>
      <c r="O809">
        <v>1</v>
      </c>
      <c r="P809" t="s">
        <v>2239</v>
      </c>
      <c r="Q809">
        <v>2</v>
      </c>
      <c r="R809" t="b">
        <v>1</v>
      </c>
    </row>
    <row r="810" spans="1:18" hidden="1">
      <c r="A810" t="s">
        <v>568</v>
      </c>
      <c r="B810" t="s">
        <v>2240</v>
      </c>
      <c r="C810" t="s">
        <v>2241</v>
      </c>
      <c r="E810">
        <v>101</v>
      </c>
      <c r="F810">
        <v>633</v>
      </c>
      <c r="G810">
        <v>0</v>
      </c>
      <c r="H810">
        <v>0</v>
      </c>
      <c r="J810" t="s">
        <v>93</v>
      </c>
      <c r="K810" t="b">
        <v>0</v>
      </c>
      <c r="L810">
        <f t="shared" si="12"/>
        <v>101</v>
      </c>
      <c r="M810">
        <f t="shared" si="12"/>
        <v>633</v>
      </c>
      <c r="N810" t="b">
        <v>0</v>
      </c>
      <c r="O810">
        <v>0</v>
      </c>
      <c r="Q810">
        <v>0</v>
      </c>
      <c r="R810" t="b">
        <v>0</v>
      </c>
    </row>
    <row r="811" spans="1:18" hidden="1">
      <c r="A811" t="s">
        <v>37</v>
      </c>
      <c r="B811" t="s">
        <v>2242</v>
      </c>
      <c r="C811" t="s">
        <v>2243</v>
      </c>
      <c r="E811">
        <v>51</v>
      </c>
      <c r="F811">
        <v>1050</v>
      </c>
      <c r="G811">
        <v>50</v>
      </c>
      <c r="H811">
        <v>169</v>
      </c>
      <c r="J811" t="s">
        <v>93</v>
      </c>
      <c r="K811" t="b">
        <v>1</v>
      </c>
      <c r="L811">
        <f t="shared" si="12"/>
        <v>101</v>
      </c>
      <c r="M811">
        <f t="shared" si="12"/>
        <v>1219</v>
      </c>
      <c r="N811" t="b">
        <v>0</v>
      </c>
      <c r="O811">
        <v>0</v>
      </c>
      <c r="Q811">
        <v>0</v>
      </c>
      <c r="R811" t="b">
        <v>0</v>
      </c>
    </row>
    <row r="812" spans="1:18">
      <c r="A812" t="s">
        <v>1143</v>
      </c>
      <c r="B812" t="s">
        <v>2244</v>
      </c>
      <c r="C812" t="s">
        <v>2245</v>
      </c>
      <c r="E812">
        <v>0</v>
      </c>
      <c r="F812">
        <v>0</v>
      </c>
      <c r="G812">
        <v>101</v>
      </c>
      <c r="H812">
        <v>491</v>
      </c>
      <c r="J812" t="s">
        <v>22</v>
      </c>
      <c r="K812" t="b">
        <v>1</v>
      </c>
      <c r="L812">
        <f t="shared" si="12"/>
        <v>101</v>
      </c>
      <c r="M812">
        <f t="shared" si="12"/>
        <v>491</v>
      </c>
      <c r="N812" t="b">
        <v>0</v>
      </c>
      <c r="O812">
        <v>1</v>
      </c>
      <c r="P812" t="s">
        <v>2246</v>
      </c>
      <c r="Q812">
        <v>2</v>
      </c>
      <c r="R812" t="b">
        <v>1</v>
      </c>
    </row>
    <row r="813" spans="1:18" hidden="1">
      <c r="A813" t="s">
        <v>352</v>
      </c>
      <c r="B813" t="s">
        <v>2247</v>
      </c>
      <c r="C813" t="s">
        <v>2248</v>
      </c>
      <c r="D813" s="7" t="s">
        <v>1529</v>
      </c>
      <c r="E813">
        <v>69</v>
      </c>
      <c r="F813">
        <v>740</v>
      </c>
      <c r="G813">
        <v>32</v>
      </c>
      <c r="H813">
        <v>654</v>
      </c>
      <c r="I813" t="s">
        <v>1530</v>
      </c>
      <c r="J813" t="s">
        <v>93</v>
      </c>
      <c r="K813" t="b">
        <v>1</v>
      </c>
      <c r="L813">
        <f t="shared" si="12"/>
        <v>101</v>
      </c>
      <c r="M813">
        <f t="shared" si="12"/>
        <v>1394</v>
      </c>
      <c r="N813" t="b">
        <v>0</v>
      </c>
      <c r="O813">
        <v>0</v>
      </c>
      <c r="Q813">
        <v>0</v>
      </c>
      <c r="R813" t="b">
        <v>0</v>
      </c>
    </row>
    <row r="814" spans="1:18" hidden="1">
      <c r="A814" t="s">
        <v>133</v>
      </c>
      <c r="B814" t="s">
        <v>2249</v>
      </c>
      <c r="C814" t="s">
        <v>2250</v>
      </c>
      <c r="E814">
        <v>71</v>
      </c>
      <c r="F814">
        <v>1518</v>
      </c>
      <c r="G814">
        <v>30</v>
      </c>
      <c r="H814">
        <v>425</v>
      </c>
      <c r="J814" t="s">
        <v>93</v>
      </c>
      <c r="K814" t="b">
        <v>1</v>
      </c>
      <c r="L814">
        <f t="shared" si="12"/>
        <v>101</v>
      </c>
      <c r="M814">
        <f t="shared" si="12"/>
        <v>1943</v>
      </c>
      <c r="N814" t="b">
        <v>0</v>
      </c>
      <c r="O814">
        <v>0</v>
      </c>
      <c r="Q814">
        <v>0</v>
      </c>
      <c r="R814" t="b">
        <v>0</v>
      </c>
    </row>
    <row r="815" spans="1:18" hidden="1">
      <c r="A815" t="s">
        <v>248</v>
      </c>
      <c r="B815" t="s">
        <v>2251</v>
      </c>
      <c r="C815" t="s">
        <v>2252</v>
      </c>
      <c r="E815">
        <v>63</v>
      </c>
      <c r="F815">
        <v>951</v>
      </c>
      <c r="G815">
        <v>37</v>
      </c>
      <c r="H815">
        <v>385</v>
      </c>
      <c r="J815" t="s">
        <v>93</v>
      </c>
      <c r="K815" t="b">
        <v>1</v>
      </c>
      <c r="L815">
        <f t="shared" si="12"/>
        <v>100</v>
      </c>
      <c r="M815">
        <f t="shared" si="12"/>
        <v>1336</v>
      </c>
      <c r="N815" t="b">
        <v>0</v>
      </c>
      <c r="O815">
        <v>0</v>
      </c>
      <c r="Q815">
        <v>0</v>
      </c>
      <c r="R815" t="b">
        <v>0</v>
      </c>
    </row>
    <row r="816" spans="1:18" hidden="1">
      <c r="A816" t="s">
        <v>248</v>
      </c>
      <c r="B816" t="s">
        <v>2253</v>
      </c>
      <c r="C816" t="s">
        <v>2254</v>
      </c>
      <c r="E816">
        <v>63</v>
      </c>
      <c r="F816">
        <v>951</v>
      </c>
      <c r="G816">
        <v>37</v>
      </c>
      <c r="H816">
        <v>385</v>
      </c>
      <c r="J816" t="s">
        <v>93</v>
      </c>
      <c r="K816" t="b">
        <v>1</v>
      </c>
      <c r="L816">
        <f t="shared" si="12"/>
        <v>100</v>
      </c>
      <c r="M816">
        <f t="shared" si="12"/>
        <v>1336</v>
      </c>
      <c r="N816" t="b">
        <v>0</v>
      </c>
      <c r="O816">
        <v>0</v>
      </c>
      <c r="Q816">
        <v>0</v>
      </c>
      <c r="R816" t="b">
        <v>0</v>
      </c>
    </row>
    <row r="817" spans="1:18">
      <c r="A817" t="s">
        <v>24</v>
      </c>
      <c r="B817" t="s">
        <v>2255</v>
      </c>
      <c r="C817" t="s">
        <v>2256</v>
      </c>
      <c r="E817">
        <v>83</v>
      </c>
      <c r="F817">
        <v>1311</v>
      </c>
      <c r="G817">
        <v>15</v>
      </c>
      <c r="H817">
        <v>46</v>
      </c>
      <c r="J817" t="s">
        <v>22</v>
      </c>
      <c r="K817" t="b">
        <v>1</v>
      </c>
      <c r="L817">
        <f t="shared" si="12"/>
        <v>98</v>
      </c>
      <c r="M817">
        <f t="shared" si="12"/>
        <v>1357</v>
      </c>
      <c r="N817" t="b">
        <v>0</v>
      </c>
      <c r="O817">
        <v>1</v>
      </c>
      <c r="P817" t="s">
        <v>1554</v>
      </c>
      <c r="Q817">
        <v>2</v>
      </c>
      <c r="R817" t="b">
        <v>1</v>
      </c>
    </row>
    <row r="818" spans="1:18">
      <c r="A818" t="s">
        <v>24</v>
      </c>
      <c r="B818" t="s">
        <v>2257</v>
      </c>
      <c r="C818" t="s">
        <v>2258</v>
      </c>
      <c r="E818">
        <v>55</v>
      </c>
      <c r="F818">
        <v>312</v>
      </c>
      <c r="G818">
        <v>43</v>
      </c>
      <c r="H818">
        <v>178</v>
      </c>
      <c r="J818" t="s">
        <v>22</v>
      </c>
      <c r="K818" t="b">
        <v>1</v>
      </c>
      <c r="L818">
        <f t="shared" si="12"/>
        <v>98</v>
      </c>
      <c r="M818">
        <f t="shared" si="12"/>
        <v>490</v>
      </c>
      <c r="N818" t="b">
        <v>0</v>
      </c>
      <c r="O818">
        <v>1</v>
      </c>
      <c r="P818" t="s">
        <v>2259</v>
      </c>
      <c r="Q818">
        <v>2</v>
      </c>
      <c r="R818" t="b">
        <v>1</v>
      </c>
    </row>
    <row r="819" spans="1:18">
      <c r="A819" t="s">
        <v>24</v>
      </c>
      <c r="B819" t="s">
        <v>2260</v>
      </c>
      <c r="C819" t="s">
        <v>2261</v>
      </c>
      <c r="E819">
        <v>72</v>
      </c>
      <c r="F819">
        <v>329</v>
      </c>
      <c r="G819">
        <v>25</v>
      </c>
      <c r="H819">
        <v>97</v>
      </c>
      <c r="J819" t="s">
        <v>22</v>
      </c>
      <c r="K819" t="b">
        <v>1</v>
      </c>
      <c r="L819">
        <f t="shared" si="12"/>
        <v>97</v>
      </c>
      <c r="M819">
        <f t="shared" si="12"/>
        <v>426</v>
      </c>
      <c r="N819" t="b">
        <v>0</v>
      </c>
      <c r="O819">
        <v>1</v>
      </c>
      <c r="P819" t="s">
        <v>2262</v>
      </c>
      <c r="Q819">
        <v>2</v>
      </c>
      <c r="R819" t="b">
        <v>1</v>
      </c>
    </row>
    <row r="820" spans="1:18" hidden="1">
      <c r="A820" t="s">
        <v>133</v>
      </c>
      <c r="B820" t="s">
        <v>2263</v>
      </c>
      <c r="C820" t="s">
        <v>2264</v>
      </c>
      <c r="E820">
        <v>73</v>
      </c>
      <c r="F820">
        <v>1346</v>
      </c>
      <c r="G820">
        <v>24</v>
      </c>
      <c r="H820">
        <v>134</v>
      </c>
      <c r="J820" t="s">
        <v>93</v>
      </c>
      <c r="K820" t="b">
        <v>1</v>
      </c>
      <c r="L820">
        <f t="shared" si="12"/>
        <v>97</v>
      </c>
      <c r="M820">
        <f t="shared" si="12"/>
        <v>1480</v>
      </c>
      <c r="N820" t="b">
        <v>0</v>
      </c>
      <c r="O820">
        <v>0</v>
      </c>
      <c r="Q820">
        <v>0</v>
      </c>
      <c r="R820" t="b">
        <v>0</v>
      </c>
    </row>
    <row r="821" spans="1:18">
      <c r="A821" t="s">
        <v>235</v>
      </c>
      <c r="B821" t="s">
        <v>2265</v>
      </c>
      <c r="C821" t="s">
        <v>2266</v>
      </c>
      <c r="E821">
        <v>65</v>
      </c>
      <c r="F821">
        <v>8808</v>
      </c>
      <c r="G821">
        <v>31</v>
      </c>
      <c r="H821">
        <v>364</v>
      </c>
      <c r="J821" t="s">
        <v>22</v>
      </c>
      <c r="K821" t="b">
        <v>1</v>
      </c>
      <c r="L821">
        <f t="shared" si="12"/>
        <v>96</v>
      </c>
      <c r="M821">
        <f t="shared" si="12"/>
        <v>9172</v>
      </c>
      <c r="N821" t="b">
        <v>0</v>
      </c>
      <c r="O821">
        <v>1</v>
      </c>
      <c r="P821" t="s">
        <v>2267</v>
      </c>
      <c r="Q821">
        <v>2</v>
      </c>
      <c r="R821" t="b">
        <v>1</v>
      </c>
    </row>
    <row r="822" spans="1:18" hidden="1">
      <c r="A822" t="s">
        <v>19</v>
      </c>
      <c r="B822" t="s">
        <v>2268</v>
      </c>
      <c r="C822" t="s">
        <v>2269</v>
      </c>
      <c r="E822">
        <v>78</v>
      </c>
      <c r="F822">
        <v>354</v>
      </c>
      <c r="G822">
        <v>18</v>
      </c>
      <c r="H822">
        <v>68</v>
      </c>
      <c r="J822" t="s">
        <v>93</v>
      </c>
      <c r="K822" t="b">
        <v>1</v>
      </c>
      <c r="L822">
        <f t="shared" si="12"/>
        <v>96</v>
      </c>
      <c r="M822">
        <f t="shared" si="12"/>
        <v>422</v>
      </c>
      <c r="N822" t="b">
        <v>0</v>
      </c>
      <c r="O822">
        <v>0</v>
      </c>
      <c r="Q822">
        <v>0</v>
      </c>
      <c r="R822" t="b">
        <v>0</v>
      </c>
    </row>
    <row r="823" spans="1:18">
      <c r="A823" t="s">
        <v>1191</v>
      </c>
      <c r="B823" t="s">
        <v>2270</v>
      </c>
      <c r="C823" t="s">
        <v>2271</v>
      </c>
      <c r="E823">
        <v>68</v>
      </c>
      <c r="F823">
        <v>232</v>
      </c>
      <c r="G823">
        <v>27</v>
      </c>
      <c r="H823">
        <v>141</v>
      </c>
      <c r="J823" t="s">
        <v>22</v>
      </c>
      <c r="K823" t="b">
        <v>1</v>
      </c>
      <c r="L823">
        <f t="shared" si="12"/>
        <v>95</v>
      </c>
      <c r="M823">
        <f t="shared" si="12"/>
        <v>373</v>
      </c>
      <c r="N823" t="b">
        <v>0</v>
      </c>
      <c r="O823">
        <v>1</v>
      </c>
      <c r="P823" t="s">
        <v>2272</v>
      </c>
      <c r="Q823">
        <v>2</v>
      </c>
      <c r="R823" t="b">
        <v>1</v>
      </c>
    </row>
    <row r="824" spans="1:18" hidden="1">
      <c r="A824" t="s">
        <v>1304</v>
      </c>
      <c r="B824" t="s">
        <v>2273</v>
      </c>
      <c r="C824" t="s">
        <v>2274</v>
      </c>
      <c r="E824">
        <v>70</v>
      </c>
      <c r="F824">
        <v>303</v>
      </c>
      <c r="G824">
        <v>25</v>
      </c>
      <c r="H824">
        <v>71</v>
      </c>
      <c r="J824" t="s">
        <v>93</v>
      </c>
      <c r="K824" t="b">
        <v>0</v>
      </c>
      <c r="L824">
        <f t="shared" si="12"/>
        <v>95</v>
      </c>
      <c r="M824">
        <f t="shared" si="12"/>
        <v>374</v>
      </c>
      <c r="N824" t="b">
        <v>0</v>
      </c>
      <c r="O824">
        <v>0</v>
      </c>
      <c r="Q824">
        <v>0</v>
      </c>
      <c r="R824" t="b">
        <v>0</v>
      </c>
    </row>
    <row r="825" spans="1:18">
      <c r="A825" t="s">
        <v>30</v>
      </c>
      <c r="B825" t="s">
        <v>2275</v>
      </c>
      <c r="C825" t="s">
        <v>2276</v>
      </c>
      <c r="E825">
        <v>41</v>
      </c>
      <c r="F825">
        <v>343</v>
      </c>
      <c r="G825">
        <v>54</v>
      </c>
      <c r="H825">
        <v>368</v>
      </c>
      <c r="J825" t="s">
        <v>22</v>
      </c>
      <c r="K825" t="b">
        <v>1</v>
      </c>
      <c r="L825">
        <f t="shared" si="12"/>
        <v>95</v>
      </c>
      <c r="M825">
        <f t="shared" si="12"/>
        <v>711</v>
      </c>
      <c r="N825" t="b">
        <v>0</v>
      </c>
      <c r="O825">
        <v>1</v>
      </c>
      <c r="P825" t="s">
        <v>2277</v>
      </c>
      <c r="Q825">
        <v>2</v>
      </c>
      <c r="R825" t="b">
        <v>1</v>
      </c>
    </row>
    <row r="826" spans="1:18" hidden="1">
      <c r="A826" t="s">
        <v>2278</v>
      </c>
      <c r="B826" t="s">
        <v>2279</v>
      </c>
      <c r="C826" t="s">
        <v>2280</v>
      </c>
      <c r="E826">
        <v>60</v>
      </c>
      <c r="F826">
        <v>852</v>
      </c>
      <c r="G826">
        <v>34</v>
      </c>
      <c r="H826">
        <v>578</v>
      </c>
      <c r="J826" t="s">
        <v>93</v>
      </c>
      <c r="K826" t="b">
        <v>0</v>
      </c>
      <c r="L826">
        <f t="shared" si="12"/>
        <v>94</v>
      </c>
      <c r="M826">
        <f t="shared" si="12"/>
        <v>1430</v>
      </c>
      <c r="N826" t="b">
        <v>0</v>
      </c>
      <c r="O826">
        <v>0</v>
      </c>
      <c r="Q826">
        <v>0</v>
      </c>
      <c r="R826" t="b">
        <v>0</v>
      </c>
    </row>
    <row r="827" spans="1:18">
      <c r="A827" t="s">
        <v>205</v>
      </c>
      <c r="B827" t="s">
        <v>2281</v>
      </c>
      <c r="C827" t="s">
        <v>2282</v>
      </c>
      <c r="E827">
        <v>65</v>
      </c>
      <c r="F827">
        <v>171</v>
      </c>
      <c r="G827">
        <v>29</v>
      </c>
      <c r="H827">
        <v>87</v>
      </c>
      <c r="J827" t="s">
        <v>22</v>
      </c>
      <c r="K827" t="b">
        <v>1</v>
      </c>
      <c r="L827">
        <f t="shared" si="12"/>
        <v>94</v>
      </c>
      <c r="M827">
        <f t="shared" si="12"/>
        <v>258</v>
      </c>
      <c r="N827" t="b">
        <v>0</v>
      </c>
      <c r="O827">
        <v>1</v>
      </c>
      <c r="P827" t="s">
        <v>871</v>
      </c>
      <c r="Q827">
        <v>2</v>
      </c>
      <c r="R827" t="b">
        <v>1</v>
      </c>
    </row>
    <row r="828" spans="1:18" hidden="1">
      <c r="A828" t="s">
        <v>882</v>
      </c>
      <c r="B828" t="s">
        <v>2283</v>
      </c>
      <c r="C828" t="s">
        <v>2284</v>
      </c>
      <c r="E828">
        <v>0</v>
      </c>
      <c r="F828">
        <v>0</v>
      </c>
      <c r="G828">
        <v>94</v>
      </c>
      <c r="H828">
        <v>491</v>
      </c>
      <c r="J828" t="s">
        <v>93</v>
      </c>
      <c r="K828" t="b">
        <v>0</v>
      </c>
      <c r="L828">
        <f t="shared" si="12"/>
        <v>94</v>
      </c>
      <c r="M828">
        <f t="shared" si="12"/>
        <v>491</v>
      </c>
      <c r="N828" t="b">
        <v>0</v>
      </c>
      <c r="O828">
        <v>0</v>
      </c>
      <c r="Q828">
        <v>0</v>
      </c>
      <c r="R828" t="b">
        <v>0</v>
      </c>
    </row>
    <row r="829" spans="1:18" hidden="1">
      <c r="A829" t="s">
        <v>133</v>
      </c>
      <c r="B829" t="s">
        <v>2285</v>
      </c>
      <c r="C829" t="s">
        <v>2286</v>
      </c>
      <c r="E829">
        <v>57</v>
      </c>
      <c r="F829">
        <v>1214</v>
      </c>
      <c r="G829">
        <v>37</v>
      </c>
      <c r="H829">
        <v>256</v>
      </c>
      <c r="J829" t="s">
        <v>999</v>
      </c>
      <c r="K829" t="b">
        <v>1</v>
      </c>
      <c r="L829">
        <f t="shared" si="12"/>
        <v>94</v>
      </c>
      <c r="M829">
        <f t="shared" si="12"/>
        <v>1470</v>
      </c>
      <c r="N829" t="b">
        <v>0</v>
      </c>
      <c r="O829">
        <v>0</v>
      </c>
      <c r="Q829">
        <v>0</v>
      </c>
      <c r="R829" t="b">
        <v>0</v>
      </c>
    </row>
    <row r="830" spans="1:18" hidden="1">
      <c r="A830" t="s">
        <v>133</v>
      </c>
      <c r="B830" t="s">
        <v>2287</v>
      </c>
      <c r="C830" t="s">
        <v>2288</v>
      </c>
      <c r="E830">
        <v>57</v>
      </c>
      <c r="F830">
        <v>1214</v>
      </c>
      <c r="G830">
        <v>37</v>
      </c>
      <c r="H830">
        <v>256</v>
      </c>
      <c r="J830" t="s">
        <v>93</v>
      </c>
      <c r="K830" t="b">
        <v>1</v>
      </c>
      <c r="L830">
        <f t="shared" si="12"/>
        <v>94</v>
      </c>
      <c r="M830">
        <f t="shared" si="12"/>
        <v>1470</v>
      </c>
      <c r="N830" t="b">
        <v>0</v>
      </c>
      <c r="O830">
        <v>0</v>
      </c>
      <c r="Q830">
        <v>0</v>
      </c>
      <c r="R830" t="b">
        <v>0</v>
      </c>
    </row>
    <row r="831" spans="1:18" hidden="1">
      <c r="A831" t="s">
        <v>133</v>
      </c>
      <c r="B831" t="s">
        <v>2289</v>
      </c>
      <c r="C831" t="s">
        <v>2290</v>
      </c>
      <c r="E831">
        <v>57</v>
      </c>
      <c r="F831">
        <v>1214</v>
      </c>
      <c r="G831">
        <v>37</v>
      </c>
      <c r="H831">
        <v>256</v>
      </c>
      <c r="J831" t="s">
        <v>999</v>
      </c>
      <c r="K831" t="b">
        <v>1</v>
      </c>
      <c r="L831">
        <f t="shared" si="12"/>
        <v>94</v>
      </c>
      <c r="M831">
        <f t="shared" si="12"/>
        <v>1470</v>
      </c>
      <c r="N831" t="b">
        <v>0</v>
      </c>
      <c r="O831">
        <v>0</v>
      </c>
      <c r="Q831">
        <v>0</v>
      </c>
      <c r="R831" t="b">
        <v>0</v>
      </c>
    </row>
    <row r="832" spans="1:18" hidden="1">
      <c r="A832" t="s">
        <v>133</v>
      </c>
      <c r="B832" t="s">
        <v>2291</v>
      </c>
      <c r="C832" t="s">
        <v>2292</v>
      </c>
      <c r="E832">
        <v>57</v>
      </c>
      <c r="F832">
        <v>1214</v>
      </c>
      <c r="G832">
        <v>37</v>
      </c>
      <c r="H832">
        <v>256</v>
      </c>
      <c r="J832" t="s">
        <v>93</v>
      </c>
      <c r="K832" t="b">
        <v>1</v>
      </c>
      <c r="L832">
        <f t="shared" si="12"/>
        <v>94</v>
      </c>
      <c r="M832">
        <f t="shared" si="12"/>
        <v>1470</v>
      </c>
      <c r="N832" t="b">
        <v>0</v>
      </c>
      <c r="O832">
        <v>0</v>
      </c>
      <c r="Q832">
        <v>0</v>
      </c>
      <c r="R832" t="b">
        <v>0</v>
      </c>
    </row>
    <row r="833" spans="1:18" hidden="1">
      <c r="A833" t="s">
        <v>133</v>
      </c>
      <c r="B833" t="s">
        <v>2293</v>
      </c>
      <c r="C833" t="s">
        <v>2294</v>
      </c>
      <c r="E833">
        <v>57</v>
      </c>
      <c r="F833">
        <v>1214</v>
      </c>
      <c r="G833">
        <v>37</v>
      </c>
      <c r="H833">
        <v>256</v>
      </c>
      <c r="J833" t="s">
        <v>93</v>
      </c>
      <c r="K833" t="b">
        <v>1</v>
      </c>
      <c r="L833">
        <f t="shared" si="12"/>
        <v>94</v>
      </c>
      <c r="M833">
        <f t="shared" si="12"/>
        <v>1470</v>
      </c>
      <c r="N833" t="b">
        <v>0</v>
      </c>
      <c r="O833">
        <v>0</v>
      </c>
      <c r="Q833">
        <v>0</v>
      </c>
      <c r="R833" t="b">
        <v>0</v>
      </c>
    </row>
    <row r="834" spans="1:18">
      <c r="A834" t="s">
        <v>1782</v>
      </c>
      <c r="B834" t="s">
        <v>2295</v>
      </c>
      <c r="C834" t="s">
        <v>2296</v>
      </c>
      <c r="E834">
        <v>94</v>
      </c>
      <c r="F834">
        <v>187</v>
      </c>
      <c r="G834">
        <v>0</v>
      </c>
      <c r="H834">
        <v>0</v>
      </c>
      <c r="J834" t="s">
        <v>22</v>
      </c>
      <c r="K834" t="b">
        <v>1</v>
      </c>
      <c r="L834">
        <f t="shared" si="12"/>
        <v>94</v>
      </c>
      <c r="M834">
        <f t="shared" si="12"/>
        <v>187</v>
      </c>
      <c r="N834" t="b">
        <v>0</v>
      </c>
      <c r="O834">
        <v>1</v>
      </c>
      <c r="P834" t="s">
        <v>2297</v>
      </c>
      <c r="Q834">
        <v>2</v>
      </c>
      <c r="R834" t="b">
        <v>1</v>
      </c>
    </row>
    <row r="835" spans="1:18" hidden="1">
      <c r="A835" t="s">
        <v>1293</v>
      </c>
      <c r="B835" t="s">
        <v>2298</v>
      </c>
      <c r="C835" t="s">
        <v>2299</v>
      </c>
      <c r="E835">
        <v>66</v>
      </c>
      <c r="F835">
        <v>1612</v>
      </c>
      <c r="G835">
        <v>27</v>
      </c>
      <c r="H835">
        <v>146</v>
      </c>
      <c r="J835" t="s">
        <v>93</v>
      </c>
      <c r="K835" t="b">
        <v>0</v>
      </c>
      <c r="L835">
        <f t="shared" ref="L835:M898" si="13">E835+G835</f>
        <v>93</v>
      </c>
      <c r="M835">
        <f t="shared" si="13"/>
        <v>1758</v>
      </c>
      <c r="N835" t="b">
        <v>0</v>
      </c>
      <c r="O835">
        <v>0</v>
      </c>
      <c r="Q835">
        <v>0</v>
      </c>
      <c r="R835" t="b">
        <v>0</v>
      </c>
    </row>
    <row r="836" spans="1:18" hidden="1">
      <c r="A836" t="s">
        <v>2300</v>
      </c>
      <c r="B836" t="s">
        <v>2301</v>
      </c>
      <c r="C836" t="s">
        <v>2302</v>
      </c>
      <c r="E836">
        <v>77</v>
      </c>
      <c r="F836">
        <v>4</v>
      </c>
      <c r="G836">
        <v>15</v>
      </c>
      <c r="H836">
        <v>16</v>
      </c>
      <c r="J836" t="s">
        <v>93</v>
      </c>
      <c r="K836" t="b">
        <v>0</v>
      </c>
      <c r="L836">
        <f t="shared" si="13"/>
        <v>92</v>
      </c>
      <c r="M836">
        <f t="shared" si="13"/>
        <v>20</v>
      </c>
      <c r="N836" t="b">
        <v>1</v>
      </c>
      <c r="O836">
        <v>0</v>
      </c>
      <c r="Q836">
        <v>0</v>
      </c>
      <c r="R836" t="b">
        <v>0</v>
      </c>
    </row>
    <row r="837" spans="1:18" hidden="1">
      <c r="A837" t="s">
        <v>87</v>
      </c>
      <c r="B837" t="s">
        <v>2303</v>
      </c>
      <c r="C837" t="s">
        <v>2304</v>
      </c>
      <c r="D837" t="s">
        <v>595</v>
      </c>
      <c r="E837">
        <v>72</v>
      </c>
      <c r="F837">
        <v>1784</v>
      </c>
      <c r="G837">
        <v>20</v>
      </c>
      <c r="H837">
        <v>832</v>
      </c>
      <c r="I837" t="s">
        <v>1676</v>
      </c>
      <c r="J837" t="s">
        <v>93</v>
      </c>
      <c r="K837" t="b">
        <v>1</v>
      </c>
      <c r="L837">
        <f t="shared" si="13"/>
        <v>92</v>
      </c>
      <c r="M837">
        <f t="shared" si="13"/>
        <v>2616</v>
      </c>
      <c r="N837" t="b">
        <v>0</v>
      </c>
      <c r="O837">
        <v>0</v>
      </c>
      <c r="Q837">
        <v>0</v>
      </c>
      <c r="R837" t="b">
        <v>0</v>
      </c>
    </row>
    <row r="838" spans="1:18">
      <c r="A838" t="s">
        <v>1987</v>
      </c>
      <c r="B838" t="s">
        <v>2305</v>
      </c>
      <c r="C838" t="s">
        <v>2306</v>
      </c>
      <c r="E838">
        <v>67</v>
      </c>
      <c r="F838">
        <v>1496</v>
      </c>
      <c r="G838">
        <v>24</v>
      </c>
      <c r="H838">
        <v>120</v>
      </c>
      <c r="J838" t="s">
        <v>22</v>
      </c>
      <c r="K838" t="b">
        <v>1</v>
      </c>
      <c r="L838">
        <f t="shared" si="13"/>
        <v>91</v>
      </c>
      <c r="M838">
        <f t="shared" si="13"/>
        <v>1616</v>
      </c>
      <c r="N838" t="b">
        <v>0</v>
      </c>
      <c r="O838">
        <v>1</v>
      </c>
      <c r="P838" t="s">
        <v>2307</v>
      </c>
      <c r="Q838">
        <v>2</v>
      </c>
      <c r="R838" t="b">
        <v>1</v>
      </c>
    </row>
    <row r="839" spans="1:18" hidden="1">
      <c r="A839" t="s">
        <v>378</v>
      </c>
      <c r="B839" t="s">
        <v>2308</v>
      </c>
      <c r="C839" t="s">
        <v>2309</v>
      </c>
      <c r="E839">
        <v>65</v>
      </c>
      <c r="F839">
        <v>188</v>
      </c>
      <c r="G839">
        <v>26</v>
      </c>
      <c r="H839">
        <v>138</v>
      </c>
      <c r="J839" t="s">
        <v>93</v>
      </c>
      <c r="K839" t="b">
        <v>1</v>
      </c>
      <c r="L839">
        <f t="shared" si="13"/>
        <v>91</v>
      </c>
      <c r="M839">
        <f t="shared" si="13"/>
        <v>326</v>
      </c>
      <c r="N839" t="b">
        <v>0</v>
      </c>
      <c r="O839">
        <v>0</v>
      </c>
      <c r="Q839">
        <v>0</v>
      </c>
      <c r="R839" t="b">
        <v>0</v>
      </c>
    </row>
    <row r="840" spans="1:18">
      <c r="A840" t="s">
        <v>334</v>
      </c>
      <c r="B840" t="s">
        <v>2310</v>
      </c>
      <c r="C840" t="s">
        <v>2311</v>
      </c>
      <c r="E840">
        <v>75</v>
      </c>
      <c r="F840">
        <v>847</v>
      </c>
      <c r="G840">
        <v>15</v>
      </c>
      <c r="H840">
        <v>186</v>
      </c>
      <c r="J840" t="s">
        <v>22</v>
      </c>
      <c r="K840" t="b">
        <v>1</v>
      </c>
      <c r="L840">
        <f t="shared" si="13"/>
        <v>90</v>
      </c>
      <c r="M840">
        <f t="shared" si="13"/>
        <v>1033</v>
      </c>
      <c r="N840" t="b">
        <v>0</v>
      </c>
      <c r="O840">
        <v>1</v>
      </c>
      <c r="P840" t="s">
        <v>2312</v>
      </c>
      <c r="Q840">
        <v>2</v>
      </c>
      <c r="R840" t="b">
        <v>1</v>
      </c>
    </row>
    <row r="841" spans="1:18">
      <c r="A841" t="s">
        <v>334</v>
      </c>
      <c r="B841" t="s">
        <v>2313</v>
      </c>
      <c r="C841" t="s">
        <v>2314</v>
      </c>
      <c r="E841">
        <v>75</v>
      </c>
      <c r="F841">
        <v>847</v>
      </c>
      <c r="G841">
        <v>15</v>
      </c>
      <c r="H841">
        <v>186</v>
      </c>
      <c r="J841" t="s">
        <v>22</v>
      </c>
      <c r="K841" t="b">
        <v>1</v>
      </c>
      <c r="L841">
        <f t="shared" si="13"/>
        <v>90</v>
      </c>
      <c r="M841">
        <f t="shared" si="13"/>
        <v>1033</v>
      </c>
      <c r="N841" t="b">
        <v>0</v>
      </c>
      <c r="O841">
        <v>1</v>
      </c>
      <c r="P841" t="s">
        <v>2315</v>
      </c>
      <c r="Q841">
        <v>2</v>
      </c>
      <c r="R841" t="b">
        <v>1</v>
      </c>
    </row>
    <row r="842" spans="1:18">
      <c r="A842" t="s">
        <v>334</v>
      </c>
      <c r="B842" t="s">
        <v>2316</v>
      </c>
      <c r="C842" t="s">
        <v>2317</v>
      </c>
      <c r="E842">
        <v>75</v>
      </c>
      <c r="F842">
        <v>847</v>
      </c>
      <c r="G842">
        <v>15</v>
      </c>
      <c r="H842">
        <v>186</v>
      </c>
      <c r="J842" t="s">
        <v>22</v>
      </c>
      <c r="K842" t="b">
        <v>1</v>
      </c>
      <c r="L842">
        <f t="shared" si="13"/>
        <v>90</v>
      </c>
      <c r="M842">
        <f t="shared" si="13"/>
        <v>1033</v>
      </c>
      <c r="N842" t="b">
        <v>0</v>
      </c>
      <c r="O842">
        <v>1</v>
      </c>
      <c r="P842" t="s">
        <v>2318</v>
      </c>
      <c r="Q842">
        <v>2</v>
      </c>
      <c r="R842" t="b">
        <v>1</v>
      </c>
    </row>
    <row r="843" spans="1:18" hidden="1">
      <c r="A843" t="s">
        <v>2300</v>
      </c>
      <c r="B843" t="s">
        <v>2319</v>
      </c>
      <c r="C843" t="s">
        <v>2320</v>
      </c>
      <c r="E843">
        <v>75</v>
      </c>
      <c r="F843">
        <v>4</v>
      </c>
      <c r="G843">
        <v>15</v>
      </c>
      <c r="H843">
        <v>15</v>
      </c>
      <c r="J843" t="s">
        <v>93</v>
      </c>
      <c r="K843" t="b">
        <v>0</v>
      </c>
      <c r="L843">
        <f t="shared" si="13"/>
        <v>90</v>
      </c>
      <c r="M843">
        <f t="shared" si="13"/>
        <v>19</v>
      </c>
      <c r="N843" t="b">
        <v>1</v>
      </c>
      <c r="O843">
        <v>0</v>
      </c>
      <c r="Q843">
        <v>0</v>
      </c>
      <c r="R843" t="b">
        <v>0</v>
      </c>
    </row>
    <row r="844" spans="1:18">
      <c r="A844" t="s">
        <v>59</v>
      </c>
      <c r="B844" t="s">
        <v>2321</v>
      </c>
      <c r="C844" t="s">
        <v>2322</v>
      </c>
      <c r="E844">
        <v>62</v>
      </c>
      <c r="F844">
        <v>881</v>
      </c>
      <c r="G844">
        <v>28</v>
      </c>
      <c r="H844">
        <v>80</v>
      </c>
      <c r="J844" t="s">
        <v>22</v>
      </c>
      <c r="K844" t="b">
        <v>1</v>
      </c>
      <c r="L844">
        <f t="shared" si="13"/>
        <v>90</v>
      </c>
      <c r="M844">
        <f t="shared" si="13"/>
        <v>961</v>
      </c>
      <c r="N844" t="b">
        <v>0</v>
      </c>
      <c r="O844">
        <v>1</v>
      </c>
      <c r="P844" t="s">
        <v>2323</v>
      </c>
      <c r="Q844">
        <v>2</v>
      </c>
      <c r="R844" t="b">
        <v>1</v>
      </c>
    </row>
    <row r="845" spans="1:18">
      <c r="A845" t="s">
        <v>857</v>
      </c>
      <c r="B845" t="s">
        <v>2324</v>
      </c>
      <c r="C845" t="s">
        <v>2325</v>
      </c>
      <c r="E845">
        <v>47</v>
      </c>
      <c r="F845">
        <v>213</v>
      </c>
      <c r="G845">
        <v>42</v>
      </c>
      <c r="H845">
        <v>79</v>
      </c>
      <c r="J845" t="s">
        <v>22</v>
      </c>
      <c r="K845" t="b">
        <v>1</v>
      </c>
      <c r="L845">
        <f t="shared" si="13"/>
        <v>89</v>
      </c>
      <c r="M845">
        <f t="shared" si="13"/>
        <v>292</v>
      </c>
      <c r="N845" t="b">
        <v>0</v>
      </c>
      <c r="O845">
        <v>0</v>
      </c>
      <c r="Q845">
        <v>0</v>
      </c>
      <c r="R845" t="b">
        <v>0</v>
      </c>
    </row>
    <row r="846" spans="1:18">
      <c r="A846" t="s">
        <v>857</v>
      </c>
      <c r="B846" t="s">
        <v>2326</v>
      </c>
      <c r="C846" t="s">
        <v>2327</v>
      </c>
      <c r="E846">
        <v>47</v>
      </c>
      <c r="F846">
        <v>213</v>
      </c>
      <c r="G846">
        <v>42</v>
      </c>
      <c r="H846">
        <v>79</v>
      </c>
      <c r="J846" t="s">
        <v>22</v>
      </c>
      <c r="K846" t="b">
        <v>1</v>
      </c>
      <c r="L846">
        <f t="shared" si="13"/>
        <v>89</v>
      </c>
      <c r="M846">
        <f t="shared" si="13"/>
        <v>292</v>
      </c>
      <c r="N846" t="b">
        <v>0</v>
      </c>
      <c r="O846">
        <v>0</v>
      </c>
      <c r="Q846">
        <v>0</v>
      </c>
      <c r="R846" t="b">
        <v>0</v>
      </c>
    </row>
    <row r="847" spans="1:18">
      <c r="A847" t="s">
        <v>857</v>
      </c>
      <c r="B847" t="s">
        <v>2328</v>
      </c>
      <c r="C847" t="s">
        <v>2329</v>
      </c>
      <c r="E847">
        <v>47</v>
      </c>
      <c r="F847">
        <v>213</v>
      </c>
      <c r="G847">
        <v>42</v>
      </c>
      <c r="H847">
        <v>79</v>
      </c>
      <c r="J847" t="s">
        <v>22</v>
      </c>
      <c r="K847" t="b">
        <v>1</v>
      </c>
      <c r="L847">
        <f t="shared" si="13"/>
        <v>89</v>
      </c>
      <c r="M847">
        <f t="shared" si="13"/>
        <v>292</v>
      </c>
      <c r="N847" t="b">
        <v>0</v>
      </c>
      <c r="O847">
        <v>1</v>
      </c>
      <c r="P847" t="s">
        <v>2330</v>
      </c>
      <c r="Q847">
        <v>2</v>
      </c>
      <c r="R847" t="b">
        <v>1</v>
      </c>
    </row>
    <row r="848" spans="1:18">
      <c r="A848" t="s">
        <v>235</v>
      </c>
      <c r="B848" t="s">
        <v>2331</v>
      </c>
      <c r="C848" t="s">
        <v>2332</v>
      </c>
      <c r="E848">
        <v>58</v>
      </c>
      <c r="F848">
        <v>1343</v>
      </c>
      <c r="G848">
        <v>30</v>
      </c>
      <c r="H848">
        <v>120</v>
      </c>
      <c r="J848" t="s">
        <v>22</v>
      </c>
      <c r="K848" t="b">
        <v>1</v>
      </c>
      <c r="L848">
        <f t="shared" si="13"/>
        <v>88</v>
      </c>
      <c r="M848">
        <f t="shared" si="13"/>
        <v>1463</v>
      </c>
      <c r="N848" t="b">
        <v>0</v>
      </c>
      <c r="O848">
        <v>1</v>
      </c>
      <c r="P848" t="s">
        <v>2333</v>
      </c>
      <c r="Q848">
        <v>2</v>
      </c>
      <c r="R848" t="b">
        <v>1</v>
      </c>
    </row>
    <row r="849" spans="1:18">
      <c r="A849" t="s">
        <v>1224</v>
      </c>
      <c r="B849" t="s">
        <v>2334</v>
      </c>
      <c r="C849" t="s">
        <v>2335</v>
      </c>
      <c r="E849">
        <v>58</v>
      </c>
      <c r="F849">
        <v>1479</v>
      </c>
      <c r="G849">
        <v>30</v>
      </c>
      <c r="H849">
        <v>1085</v>
      </c>
      <c r="J849" t="s">
        <v>22</v>
      </c>
      <c r="K849" t="b">
        <v>1</v>
      </c>
      <c r="L849">
        <f t="shared" si="13"/>
        <v>88</v>
      </c>
      <c r="M849">
        <f t="shared" si="13"/>
        <v>2564</v>
      </c>
      <c r="N849" t="b">
        <v>0</v>
      </c>
      <c r="O849">
        <v>1</v>
      </c>
      <c r="P849" t="s">
        <v>2336</v>
      </c>
      <c r="Q849">
        <v>2</v>
      </c>
      <c r="R849" t="b">
        <v>1</v>
      </c>
    </row>
    <row r="850" spans="1:18" hidden="1">
      <c r="A850" t="s">
        <v>940</v>
      </c>
      <c r="B850" t="s">
        <v>2337</v>
      </c>
      <c r="C850" t="s">
        <v>2338</v>
      </c>
      <c r="E850">
        <v>0</v>
      </c>
      <c r="F850">
        <v>0</v>
      </c>
      <c r="G850">
        <v>88</v>
      </c>
      <c r="H850">
        <v>930</v>
      </c>
      <c r="J850" t="s">
        <v>93</v>
      </c>
      <c r="K850" t="b">
        <v>0</v>
      </c>
      <c r="L850">
        <f t="shared" si="13"/>
        <v>88</v>
      </c>
      <c r="M850">
        <f t="shared" si="13"/>
        <v>930</v>
      </c>
      <c r="N850" t="b">
        <v>0</v>
      </c>
      <c r="O850">
        <v>0</v>
      </c>
      <c r="Q850">
        <v>0</v>
      </c>
      <c r="R850" t="b">
        <v>0</v>
      </c>
    </row>
    <row r="851" spans="1:18" hidden="1">
      <c r="A851" t="s">
        <v>352</v>
      </c>
      <c r="B851" t="s">
        <v>2339</v>
      </c>
      <c r="C851" t="s">
        <v>2340</v>
      </c>
      <c r="D851" s="7" t="s">
        <v>1529</v>
      </c>
      <c r="E851">
        <v>63</v>
      </c>
      <c r="F851">
        <v>1638</v>
      </c>
      <c r="G851">
        <v>25</v>
      </c>
      <c r="H851">
        <v>842</v>
      </c>
      <c r="I851" t="s">
        <v>1530</v>
      </c>
      <c r="J851" t="s">
        <v>93</v>
      </c>
      <c r="K851" t="b">
        <v>1</v>
      </c>
      <c r="L851">
        <f t="shared" si="13"/>
        <v>88</v>
      </c>
      <c r="M851">
        <f t="shared" si="13"/>
        <v>2480</v>
      </c>
      <c r="N851" t="b">
        <v>0</v>
      </c>
      <c r="O851">
        <v>0</v>
      </c>
      <c r="Q851">
        <v>0</v>
      </c>
      <c r="R851" t="b">
        <v>0</v>
      </c>
    </row>
    <row r="852" spans="1:18">
      <c r="A852" t="s">
        <v>115</v>
      </c>
      <c r="B852" t="s">
        <v>2341</v>
      </c>
      <c r="C852" t="s">
        <v>2342</v>
      </c>
      <c r="E852">
        <v>59</v>
      </c>
      <c r="F852">
        <v>135</v>
      </c>
      <c r="G852">
        <v>29</v>
      </c>
      <c r="H852">
        <v>137</v>
      </c>
      <c r="J852" t="s">
        <v>22</v>
      </c>
      <c r="K852" t="b">
        <v>1</v>
      </c>
      <c r="L852">
        <f t="shared" si="13"/>
        <v>88</v>
      </c>
      <c r="M852">
        <f t="shared" si="13"/>
        <v>272</v>
      </c>
      <c r="N852" t="b">
        <v>0</v>
      </c>
      <c r="O852">
        <v>1</v>
      </c>
      <c r="P852" t="s">
        <v>2343</v>
      </c>
      <c r="Q852">
        <v>2</v>
      </c>
      <c r="R852" t="b">
        <v>1</v>
      </c>
    </row>
    <row r="853" spans="1:18" hidden="1">
      <c r="A853" t="s">
        <v>160</v>
      </c>
      <c r="B853" t="s">
        <v>2344</v>
      </c>
      <c r="C853" t="s">
        <v>2345</v>
      </c>
      <c r="E853">
        <v>88</v>
      </c>
      <c r="F853">
        <v>451</v>
      </c>
      <c r="G853">
        <v>0</v>
      </c>
      <c r="H853">
        <v>0</v>
      </c>
      <c r="J853" t="s">
        <v>93</v>
      </c>
      <c r="K853" t="b">
        <v>1</v>
      </c>
      <c r="L853">
        <f t="shared" si="13"/>
        <v>88</v>
      </c>
      <c r="M853">
        <f t="shared" si="13"/>
        <v>451</v>
      </c>
      <c r="N853" t="b">
        <v>0</v>
      </c>
      <c r="O853">
        <v>0</v>
      </c>
      <c r="Q853">
        <v>0</v>
      </c>
      <c r="R853" t="b">
        <v>0</v>
      </c>
    </row>
    <row r="854" spans="1:18">
      <c r="A854" t="s">
        <v>2346</v>
      </c>
      <c r="B854" t="s">
        <v>2347</v>
      </c>
      <c r="C854" t="s">
        <v>2348</v>
      </c>
      <c r="E854">
        <v>50</v>
      </c>
      <c r="F854">
        <v>304</v>
      </c>
      <c r="G854">
        <v>37</v>
      </c>
      <c r="H854">
        <v>58</v>
      </c>
      <c r="J854" t="s">
        <v>22</v>
      </c>
      <c r="K854" t="b">
        <v>1</v>
      </c>
      <c r="L854">
        <f t="shared" si="13"/>
        <v>87</v>
      </c>
      <c r="M854">
        <f t="shared" si="13"/>
        <v>362</v>
      </c>
      <c r="N854" t="b">
        <v>0</v>
      </c>
      <c r="O854">
        <v>1</v>
      </c>
      <c r="P854" t="s">
        <v>33</v>
      </c>
      <c r="Q854">
        <v>2</v>
      </c>
      <c r="R854" t="b">
        <v>1</v>
      </c>
    </row>
    <row r="855" spans="1:18">
      <c r="A855" t="s">
        <v>438</v>
      </c>
      <c r="B855" t="s">
        <v>2349</v>
      </c>
      <c r="C855" t="s">
        <v>2350</v>
      </c>
      <c r="E855">
        <v>77</v>
      </c>
      <c r="F855">
        <v>1526</v>
      </c>
      <c r="G855">
        <v>10</v>
      </c>
      <c r="H855">
        <v>58</v>
      </c>
      <c r="J855" t="s">
        <v>22</v>
      </c>
      <c r="K855" t="b">
        <v>1</v>
      </c>
      <c r="L855">
        <f t="shared" si="13"/>
        <v>87</v>
      </c>
      <c r="M855">
        <f t="shared" si="13"/>
        <v>1584</v>
      </c>
      <c r="N855" t="b">
        <v>0</v>
      </c>
      <c r="O855">
        <v>1</v>
      </c>
      <c r="P855" t="s">
        <v>2351</v>
      </c>
      <c r="Q855">
        <v>2</v>
      </c>
      <c r="R855" t="b">
        <v>1</v>
      </c>
    </row>
    <row r="856" spans="1:18">
      <c r="A856" t="s">
        <v>1418</v>
      </c>
      <c r="B856" t="s">
        <v>2352</v>
      </c>
      <c r="C856" t="s">
        <v>2353</v>
      </c>
      <c r="E856">
        <v>69</v>
      </c>
      <c r="F856">
        <v>1688</v>
      </c>
      <c r="G856">
        <v>18</v>
      </c>
      <c r="H856">
        <v>55</v>
      </c>
      <c r="J856" t="s">
        <v>22</v>
      </c>
      <c r="K856" t="b">
        <v>1</v>
      </c>
      <c r="L856">
        <f t="shared" si="13"/>
        <v>87</v>
      </c>
      <c r="M856">
        <f t="shared" si="13"/>
        <v>1743</v>
      </c>
      <c r="N856" t="b">
        <v>0</v>
      </c>
      <c r="O856">
        <v>1</v>
      </c>
      <c r="P856" t="s">
        <v>2354</v>
      </c>
      <c r="Q856">
        <v>2</v>
      </c>
      <c r="R856" t="b">
        <v>1</v>
      </c>
    </row>
    <row r="857" spans="1:18">
      <c r="A857" t="s">
        <v>1224</v>
      </c>
      <c r="B857" t="s">
        <v>2355</v>
      </c>
      <c r="C857" t="s">
        <v>2356</v>
      </c>
      <c r="E857">
        <v>63</v>
      </c>
      <c r="F857">
        <v>1655</v>
      </c>
      <c r="G857">
        <v>24</v>
      </c>
      <c r="H857">
        <v>166</v>
      </c>
      <c r="J857" t="s">
        <v>22</v>
      </c>
      <c r="K857" t="b">
        <v>1</v>
      </c>
      <c r="L857">
        <f t="shared" si="13"/>
        <v>87</v>
      </c>
      <c r="M857">
        <f t="shared" si="13"/>
        <v>1821</v>
      </c>
      <c r="N857" t="b">
        <v>0</v>
      </c>
      <c r="O857">
        <v>1</v>
      </c>
      <c r="P857" t="s">
        <v>2357</v>
      </c>
      <c r="Q857">
        <v>2</v>
      </c>
      <c r="R857" t="b">
        <v>1</v>
      </c>
    </row>
    <row r="858" spans="1:18" hidden="1">
      <c r="A858" t="s">
        <v>2278</v>
      </c>
      <c r="B858" t="s">
        <v>2358</v>
      </c>
      <c r="C858" t="s">
        <v>2359</v>
      </c>
      <c r="E858">
        <v>55</v>
      </c>
      <c r="F858">
        <v>821</v>
      </c>
      <c r="G858">
        <v>32</v>
      </c>
      <c r="H858">
        <v>573</v>
      </c>
      <c r="J858" t="s">
        <v>93</v>
      </c>
      <c r="K858" t="b">
        <v>0</v>
      </c>
      <c r="L858">
        <f t="shared" si="13"/>
        <v>87</v>
      </c>
      <c r="M858">
        <f t="shared" si="13"/>
        <v>1394</v>
      </c>
      <c r="N858" t="b">
        <v>0</v>
      </c>
      <c r="O858">
        <v>0</v>
      </c>
      <c r="Q858">
        <v>0</v>
      </c>
      <c r="R858" t="b">
        <v>0</v>
      </c>
    </row>
    <row r="859" spans="1:18" hidden="1">
      <c r="A859" t="s">
        <v>2278</v>
      </c>
      <c r="B859" t="s">
        <v>2360</v>
      </c>
      <c r="C859" t="s">
        <v>2361</v>
      </c>
      <c r="E859">
        <v>55</v>
      </c>
      <c r="F859">
        <v>821</v>
      </c>
      <c r="G859">
        <v>32</v>
      </c>
      <c r="H859">
        <v>573</v>
      </c>
      <c r="J859" t="s">
        <v>93</v>
      </c>
      <c r="K859" t="b">
        <v>0</v>
      </c>
      <c r="L859">
        <f t="shared" si="13"/>
        <v>87</v>
      </c>
      <c r="M859">
        <f t="shared" si="13"/>
        <v>1394</v>
      </c>
      <c r="N859" t="b">
        <v>0</v>
      </c>
      <c r="O859">
        <v>0</v>
      </c>
      <c r="Q859">
        <v>0</v>
      </c>
      <c r="R859" t="b">
        <v>0</v>
      </c>
    </row>
    <row r="860" spans="1:18" hidden="1">
      <c r="A860" t="s">
        <v>1424</v>
      </c>
      <c r="B860" t="s">
        <v>2362</v>
      </c>
      <c r="C860" t="s">
        <v>2363</v>
      </c>
      <c r="E860">
        <v>53</v>
      </c>
      <c r="F860">
        <v>183</v>
      </c>
      <c r="G860">
        <v>34</v>
      </c>
      <c r="H860">
        <v>175</v>
      </c>
      <c r="J860" t="s">
        <v>93</v>
      </c>
      <c r="K860" t="b">
        <v>0</v>
      </c>
      <c r="L860">
        <f t="shared" si="13"/>
        <v>87</v>
      </c>
      <c r="M860">
        <f t="shared" si="13"/>
        <v>358</v>
      </c>
      <c r="N860" t="b">
        <v>0</v>
      </c>
      <c r="O860">
        <v>0</v>
      </c>
      <c r="Q860">
        <v>0</v>
      </c>
      <c r="R860" t="b">
        <v>0</v>
      </c>
    </row>
    <row r="861" spans="1:18">
      <c r="A861" t="s">
        <v>352</v>
      </c>
      <c r="B861" t="s">
        <v>2364</v>
      </c>
      <c r="C861" t="s">
        <v>2365</v>
      </c>
      <c r="E861">
        <v>74</v>
      </c>
      <c r="F861">
        <v>1045</v>
      </c>
      <c r="G861">
        <v>12</v>
      </c>
      <c r="H861">
        <v>509</v>
      </c>
      <c r="J861" t="s">
        <v>22</v>
      </c>
      <c r="K861" t="b">
        <v>1</v>
      </c>
      <c r="L861">
        <f t="shared" si="13"/>
        <v>86</v>
      </c>
      <c r="M861">
        <f t="shared" si="13"/>
        <v>1554</v>
      </c>
      <c r="N861" t="b">
        <v>0</v>
      </c>
      <c r="O861">
        <v>1</v>
      </c>
      <c r="P861" t="s">
        <v>2366</v>
      </c>
      <c r="Q861">
        <v>1</v>
      </c>
      <c r="R861" t="b">
        <v>1</v>
      </c>
    </row>
    <row r="862" spans="1:18">
      <c r="A862" t="s">
        <v>378</v>
      </c>
      <c r="B862" t="s">
        <v>2367</v>
      </c>
      <c r="C862" t="s">
        <v>2368</v>
      </c>
      <c r="E862">
        <v>80</v>
      </c>
      <c r="F862">
        <v>858</v>
      </c>
      <c r="G862">
        <v>5</v>
      </c>
      <c r="H862">
        <v>36</v>
      </c>
      <c r="J862" t="s">
        <v>22</v>
      </c>
      <c r="K862" t="b">
        <v>1</v>
      </c>
      <c r="L862">
        <f t="shared" si="13"/>
        <v>85</v>
      </c>
      <c r="M862">
        <f t="shared" si="13"/>
        <v>894</v>
      </c>
      <c r="N862" t="b">
        <v>0</v>
      </c>
      <c r="O862">
        <v>1</v>
      </c>
      <c r="P862" t="s">
        <v>2369</v>
      </c>
      <c r="Q862">
        <v>2</v>
      </c>
      <c r="R862" t="b">
        <v>1</v>
      </c>
    </row>
    <row r="863" spans="1:18">
      <c r="A863" t="s">
        <v>192</v>
      </c>
      <c r="B863" t="s">
        <v>2370</v>
      </c>
      <c r="C863" t="s">
        <v>2371</v>
      </c>
      <c r="E863">
        <v>15</v>
      </c>
      <c r="F863">
        <v>2</v>
      </c>
      <c r="G863">
        <v>70</v>
      </c>
      <c r="H863">
        <v>73</v>
      </c>
      <c r="J863" t="s">
        <v>22</v>
      </c>
      <c r="K863" t="b">
        <v>1</v>
      </c>
      <c r="L863">
        <f t="shared" si="13"/>
        <v>85</v>
      </c>
      <c r="M863">
        <f t="shared" si="13"/>
        <v>75</v>
      </c>
      <c r="N863" t="b">
        <v>0</v>
      </c>
      <c r="O863">
        <v>1</v>
      </c>
      <c r="P863" t="s">
        <v>2372</v>
      </c>
      <c r="Q863">
        <v>2</v>
      </c>
      <c r="R863" t="b">
        <v>1</v>
      </c>
    </row>
    <row r="864" spans="1:18">
      <c r="A864" t="s">
        <v>1143</v>
      </c>
      <c r="B864" t="s">
        <v>2373</v>
      </c>
      <c r="C864" t="s">
        <v>2374</v>
      </c>
      <c r="E864">
        <v>0</v>
      </c>
      <c r="F864">
        <v>0</v>
      </c>
      <c r="G864">
        <v>84</v>
      </c>
      <c r="H864">
        <v>371</v>
      </c>
      <c r="J864" t="s">
        <v>22</v>
      </c>
      <c r="K864" t="b">
        <v>1</v>
      </c>
      <c r="L864">
        <f t="shared" si="13"/>
        <v>84</v>
      </c>
      <c r="M864">
        <f t="shared" si="13"/>
        <v>371</v>
      </c>
      <c r="N864" t="b">
        <v>0</v>
      </c>
      <c r="O864">
        <v>1</v>
      </c>
      <c r="P864" t="s">
        <v>2375</v>
      </c>
      <c r="Q864">
        <v>2</v>
      </c>
      <c r="R864" t="b">
        <v>1</v>
      </c>
    </row>
    <row r="865" spans="1:18">
      <c r="A865" t="s">
        <v>115</v>
      </c>
      <c r="B865" t="s">
        <v>2376</v>
      </c>
      <c r="C865" t="s">
        <v>2377</v>
      </c>
      <c r="E865">
        <v>52</v>
      </c>
      <c r="F865">
        <v>231</v>
      </c>
      <c r="G865">
        <v>32</v>
      </c>
      <c r="H865">
        <v>183</v>
      </c>
      <c r="J865" t="s">
        <v>22</v>
      </c>
      <c r="K865" t="b">
        <v>1</v>
      </c>
      <c r="L865">
        <f t="shared" si="13"/>
        <v>84</v>
      </c>
      <c r="M865">
        <f t="shared" si="13"/>
        <v>414</v>
      </c>
      <c r="N865" t="b">
        <v>0</v>
      </c>
      <c r="O865">
        <v>1</v>
      </c>
      <c r="P865" t="s">
        <v>2378</v>
      </c>
      <c r="Q865">
        <v>2</v>
      </c>
      <c r="R865" t="b">
        <v>1</v>
      </c>
    </row>
    <row r="866" spans="1:18">
      <c r="A866" t="s">
        <v>274</v>
      </c>
      <c r="B866" t="s">
        <v>2379</v>
      </c>
      <c r="C866" t="s">
        <v>2380</v>
      </c>
      <c r="E866">
        <v>69</v>
      </c>
      <c r="F866">
        <v>9</v>
      </c>
      <c r="G866">
        <v>13</v>
      </c>
      <c r="H866">
        <v>15</v>
      </c>
      <c r="J866" t="s">
        <v>22</v>
      </c>
      <c r="K866" t="b">
        <v>1</v>
      </c>
      <c r="L866">
        <f t="shared" si="13"/>
        <v>82</v>
      </c>
      <c r="M866">
        <f t="shared" si="13"/>
        <v>24</v>
      </c>
      <c r="N866" t="b">
        <v>0</v>
      </c>
      <c r="O866">
        <v>1</v>
      </c>
      <c r="P866" t="s">
        <v>2381</v>
      </c>
      <c r="Q866">
        <v>1</v>
      </c>
      <c r="R866" t="b">
        <v>1</v>
      </c>
    </row>
    <row r="867" spans="1:18">
      <c r="A867" t="s">
        <v>573</v>
      </c>
      <c r="B867" t="s">
        <v>2382</v>
      </c>
      <c r="C867" t="s">
        <v>2383</v>
      </c>
      <c r="E867">
        <v>65</v>
      </c>
      <c r="F867">
        <v>2533</v>
      </c>
      <c r="G867">
        <v>17</v>
      </c>
      <c r="H867">
        <v>162</v>
      </c>
      <c r="J867" t="s">
        <v>22</v>
      </c>
      <c r="K867" t="b">
        <v>1</v>
      </c>
      <c r="L867">
        <f t="shared" si="13"/>
        <v>82</v>
      </c>
      <c r="M867">
        <f t="shared" si="13"/>
        <v>2695</v>
      </c>
      <c r="N867" t="b">
        <v>0</v>
      </c>
      <c r="O867">
        <v>1</v>
      </c>
      <c r="P867" t="s">
        <v>2384</v>
      </c>
      <c r="Q867">
        <v>2</v>
      </c>
      <c r="R867" t="b">
        <v>1</v>
      </c>
    </row>
    <row r="868" spans="1:18">
      <c r="A868" t="s">
        <v>24</v>
      </c>
      <c r="B868" t="s">
        <v>2385</v>
      </c>
      <c r="C868" t="s">
        <v>2386</v>
      </c>
      <c r="E868">
        <v>65</v>
      </c>
      <c r="F868">
        <v>2533</v>
      </c>
      <c r="G868">
        <v>17</v>
      </c>
      <c r="H868">
        <v>162</v>
      </c>
      <c r="J868" t="s">
        <v>22</v>
      </c>
      <c r="K868" t="b">
        <v>1</v>
      </c>
      <c r="L868">
        <f t="shared" si="13"/>
        <v>82</v>
      </c>
      <c r="M868">
        <f t="shared" si="13"/>
        <v>2695</v>
      </c>
      <c r="N868" t="b">
        <v>0</v>
      </c>
      <c r="O868">
        <v>1</v>
      </c>
      <c r="P868" t="s">
        <v>2387</v>
      </c>
      <c r="Q868">
        <v>2</v>
      </c>
      <c r="R868" t="b">
        <v>1</v>
      </c>
    </row>
    <row r="869" spans="1:18">
      <c r="A869" t="s">
        <v>59</v>
      </c>
      <c r="B869" t="s">
        <v>2388</v>
      </c>
      <c r="C869" t="s">
        <v>2389</v>
      </c>
      <c r="E869">
        <v>55</v>
      </c>
      <c r="F869">
        <v>208</v>
      </c>
      <c r="G869">
        <v>27</v>
      </c>
      <c r="H869">
        <v>124</v>
      </c>
      <c r="J869" t="s">
        <v>22</v>
      </c>
      <c r="K869" t="b">
        <v>1</v>
      </c>
      <c r="L869">
        <f t="shared" si="13"/>
        <v>82</v>
      </c>
      <c r="M869">
        <f t="shared" si="13"/>
        <v>332</v>
      </c>
      <c r="N869" t="b">
        <v>0</v>
      </c>
      <c r="O869">
        <v>0</v>
      </c>
      <c r="Q869">
        <v>0</v>
      </c>
      <c r="R869" t="b">
        <v>0</v>
      </c>
    </row>
    <row r="870" spans="1:18" hidden="1">
      <c r="A870" t="s">
        <v>1047</v>
      </c>
      <c r="B870" t="s">
        <v>2390</v>
      </c>
      <c r="C870" t="s">
        <v>2391</v>
      </c>
      <c r="E870">
        <v>82</v>
      </c>
      <c r="F870">
        <v>278</v>
      </c>
      <c r="G870">
        <v>0</v>
      </c>
      <c r="H870">
        <v>0</v>
      </c>
      <c r="J870" t="s">
        <v>93</v>
      </c>
      <c r="K870" t="b">
        <v>0</v>
      </c>
      <c r="L870">
        <f t="shared" si="13"/>
        <v>82</v>
      </c>
      <c r="M870">
        <f t="shared" si="13"/>
        <v>278</v>
      </c>
      <c r="N870" t="b">
        <v>0</v>
      </c>
      <c r="O870">
        <v>0</v>
      </c>
      <c r="Q870">
        <v>0</v>
      </c>
      <c r="R870" t="b">
        <v>0</v>
      </c>
    </row>
    <row r="871" spans="1:18" hidden="1">
      <c r="A871" t="s">
        <v>37</v>
      </c>
      <c r="B871" t="s">
        <v>2392</v>
      </c>
      <c r="C871" t="s">
        <v>2393</v>
      </c>
      <c r="E871">
        <v>31</v>
      </c>
      <c r="F871">
        <v>639</v>
      </c>
      <c r="G871">
        <v>51</v>
      </c>
      <c r="H871">
        <v>663</v>
      </c>
      <c r="J871" t="s">
        <v>93</v>
      </c>
      <c r="K871" t="b">
        <v>1</v>
      </c>
      <c r="L871">
        <f t="shared" si="13"/>
        <v>82</v>
      </c>
      <c r="M871">
        <f t="shared" si="13"/>
        <v>1302</v>
      </c>
      <c r="N871" t="b">
        <v>0</v>
      </c>
      <c r="O871">
        <v>0.5</v>
      </c>
      <c r="P871" t="s">
        <v>2394</v>
      </c>
      <c r="Q871">
        <v>8</v>
      </c>
      <c r="R871" t="b">
        <v>1</v>
      </c>
    </row>
    <row r="872" spans="1:18">
      <c r="A872" t="s">
        <v>378</v>
      </c>
      <c r="B872" t="s">
        <v>2395</v>
      </c>
      <c r="C872" t="s">
        <v>2396</v>
      </c>
      <c r="E872">
        <v>44</v>
      </c>
      <c r="F872">
        <v>1096</v>
      </c>
      <c r="G872">
        <v>38</v>
      </c>
      <c r="H872">
        <v>279</v>
      </c>
      <c r="J872" t="s">
        <v>22</v>
      </c>
      <c r="K872" t="b">
        <v>1</v>
      </c>
      <c r="L872">
        <f t="shared" si="13"/>
        <v>82</v>
      </c>
      <c r="M872">
        <f t="shared" si="13"/>
        <v>1375</v>
      </c>
      <c r="N872" t="b">
        <v>0</v>
      </c>
      <c r="O872">
        <v>1</v>
      </c>
      <c r="P872" t="s">
        <v>2397</v>
      </c>
      <c r="Q872">
        <v>2</v>
      </c>
      <c r="R872" t="b">
        <v>1</v>
      </c>
    </row>
    <row r="873" spans="1:18" hidden="1">
      <c r="A873" t="s">
        <v>545</v>
      </c>
      <c r="B873" t="s">
        <v>2398</v>
      </c>
      <c r="C873" t="s">
        <v>2399</v>
      </c>
      <c r="E873">
        <v>80</v>
      </c>
      <c r="F873">
        <v>899</v>
      </c>
      <c r="G873">
        <v>1</v>
      </c>
      <c r="H873">
        <v>1</v>
      </c>
      <c r="J873" t="s">
        <v>93</v>
      </c>
      <c r="K873" t="b">
        <v>1</v>
      </c>
      <c r="L873">
        <f t="shared" si="13"/>
        <v>81</v>
      </c>
      <c r="M873">
        <f t="shared" si="13"/>
        <v>900</v>
      </c>
      <c r="N873" t="b">
        <v>0</v>
      </c>
      <c r="O873">
        <v>0</v>
      </c>
      <c r="Q873">
        <v>0</v>
      </c>
      <c r="R873" t="b">
        <v>0</v>
      </c>
    </row>
    <row r="874" spans="1:18">
      <c r="A874" t="s">
        <v>274</v>
      </c>
      <c r="B874" t="s">
        <v>2400</v>
      </c>
      <c r="C874" t="s">
        <v>2401</v>
      </c>
      <c r="E874">
        <v>69</v>
      </c>
      <c r="F874">
        <v>6</v>
      </c>
      <c r="G874">
        <v>11</v>
      </c>
      <c r="H874">
        <v>12</v>
      </c>
      <c r="J874" t="s">
        <v>22</v>
      </c>
      <c r="K874" t="b">
        <v>1</v>
      </c>
      <c r="L874">
        <f t="shared" si="13"/>
        <v>80</v>
      </c>
      <c r="M874">
        <f t="shared" si="13"/>
        <v>18</v>
      </c>
      <c r="N874" t="b">
        <v>0</v>
      </c>
      <c r="O874">
        <v>1</v>
      </c>
      <c r="P874" t="s">
        <v>2402</v>
      </c>
      <c r="Q874">
        <v>1</v>
      </c>
      <c r="R874" t="b">
        <v>1</v>
      </c>
    </row>
    <row r="875" spans="1:18">
      <c r="A875" t="s">
        <v>372</v>
      </c>
      <c r="B875" t="s">
        <v>2403</v>
      </c>
      <c r="C875" t="s">
        <v>2404</v>
      </c>
      <c r="E875">
        <v>65</v>
      </c>
      <c r="F875">
        <v>734</v>
      </c>
      <c r="G875">
        <v>15</v>
      </c>
      <c r="H875">
        <v>270</v>
      </c>
      <c r="J875" t="s">
        <v>22</v>
      </c>
      <c r="K875" t="b">
        <v>1</v>
      </c>
      <c r="L875">
        <f t="shared" si="13"/>
        <v>80</v>
      </c>
      <c r="M875">
        <f t="shared" si="13"/>
        <v>1004</v>
      </c>
      <c r="N875" t="b">
        <v>0</v>
      </c>
      <c r="O875">
        <v>1</v>
      </c>
      <c r="P875" t="s">
        <v>2405</v>
      </c>
      <c r="Q875">
        <v>2</v>
      </c>
      <c r="R875" t="b">
        <v>1</v>
      </c>
    </row>
    <row r="876" spans="1:18">
      <c r="A876" t="s">
        <v>24</v>
      </c>
      <c r="B876" t="s">
        <v>2406</v>
      </c>
      <c r="C876" t="s">
        <v>2407</v>
      </c>
      <c r="E876">
        <v>55</v>
      </c>
      <c r="F876">
        <v>964</v>
      </c>
      <c r="G876">
        <v>25</v>
      </c>
      <c r="H876">
        <v>812</v>
      </c>
      <c r="J876" t="s">
        <v>22</v>
      </c>
      <c r="K876" t="b">
        <v>1</v>
      </c>
      <c r="L876">
        <f t="shared" si="13"/>
        <v>80</v>
      </c>
      <c r="M876">
        <f t="shared" si="13"/>
        <v>1776</v>
      </c>
      <c r="N876" t="b">
        <v>0</v>
      </c>
      <c r="O876">
        <v>1</v>
      </c>
      <c r="P876" t="s">
        <v>2408</v>
      </c>
      <c r="Q876">
        <v>2</v>
      </c>
      <c r="R876" t="b">
        <v>1</v>
      </c>
    </row>
    <row r="877" spans="1:18" hidden="1">
      <c r="A877" t="s">
        <v>24</v>
      </c>
      <c r="B877" t="s">
        <v>2409</v>
      </c>
      <c r="C877" t="s">
        <v>2410</v>
      </c>
      <c r="E877">
        <v>57</v>
      </c>
      <c r="F877">
        <v>285</v>
      </c>
      <c r="G877">
        <v>23</v>
      </c>
      <c r="H877">
        <v>109</v>
      </c>
      <c r="J877" t="s">
        <v>93</v>
      </c>
      <c r="K877" t="b">
        <v>1</v>
      </c>
      <c r="L877">
        <f t="shared" si="13"/>
        <v>80</v>
      </c>
      <c r="M877">
        <f t="shared" si="13"/>
        <v>394</v>
      </c>
      <c r="N877" t="b">
        <v>0</v>
      </c>
      <c r="O877">
        <v>0</v>
      </c>
      <c r="Q877">
        <v>0</v>
      </c>
      <c r="R877" t="b">
        <v>0</v>
      </c>
    </row>
    <row r="878" spans="1:18">
      <c r="A878" t="s">
        <v>24</v>
      </c>
      <c r="B878" t="s">
        <v>2411</v>
      </c>
      <c r="C878" t="s">
        <v>2412</v>
      </c>
      <c r="E878">
        <v>51</v>
      </c>
      <c r="F878">
        <v>999</v>
      </c>
      <c r="G878">
        <v>29</v>
      </c>
      <c r="H878">
        <v>1031</v>
      </c>
      <c r="J878" t="s">
        <v>22</v>
      </c>
      <c r="K878" t="b">
        <v>1</v>
      </c>
      <c r="L878">
        <f t="shared" si="13"/>
        <v>80</v>
      </c>
      <c r="M878">
        <f t="shared" si="13"/>
        <v>2030</v>
      </c>
      <c r="N878" t="b">
        <v>0</v>
      </c>
      <c r="O878">
        <v>1</v>
      </c>
      <c r="P878" t="s">
        <v>2413</v>
      </c>
      <c r="Q878">
        <v>2</v>
      </c>
      <c r="R878" t="b">
        <v>1</v>
      </c>
    </row>
    <row r="879" spans="1:18" hidden="1">
      <c r="A879" t="s">
        <v>2414</v>
      </c>
      <c r="B879" t="s">
        <v>2415</v>
      </c>
      <c r="C879" t="s">
        <v>2416</v>
      </c>
      <c r="E879">
        <v>43</v>
      </c>
      <c r="F879">
        <v>133</v>
      </c>
      <c r="G879">
        <v>37</v>
      </c>
      <c r="H879">
        <v>68</v>
      </c>
      <c r="J879" t="s">
        <v>93</v>
      </c>
      <c r="K879" t="b">
        <v>0</v>
      </c>
      <c r="L879">
        <f t="shared" si="13"/>
        <v>80</v>
      </c>
      <c r="M879">
        <f t="shared" si="13"/>
        <v>201</v>
      </c>
      <c r="N879" t="b">
        <v>0</v>
      </c>
      <c r="O879">
        <v>0</v>
      </c>
      <c r="Q879">
        <v>0</v>
      </c>
      <c r="R879" t="b">
        <v>0</v>
      </c>
    </row>
    <row r="880" spans="1:18" hidden="1">
      <c r="A880" t="s">
        <v>1304</v>
      </c>
      <c r="B880" t="s">
        <v>2417</v>
      </c>
      <c r="C880" t="s">
        <v>2418</v>
      </c>
      <c r="E880">
        <v>51</v>
      </c>
      <c r="F880">
        <v>303</v>
      </c>
      <c r="G880">
        <v>28</v>
      </c>
      <c r="H880">
        <v>156</v>
      </c>
      <c r="J880" t="s">
        <v>93</v>
      </c>
      <c r="K880" t="b">
        <v>0</v>
      </c>
      <c r="L880">
        <f t="shared" si="13"/>
        <v>79</v>
      </c>
      <c r="M880">
        <f t="shared" si="13"/>
        <v>459</v>
      </c>
      <c r="N880" t="b">
        <v>0</v>
      </c>
      <c r="O880">
        <v>0</v>
      </c>
      <c r="Q880">
        <v>0</v>
      </c>
      <c r="R880" t="b">
        <v>0</v>
      </c>
    </row>
    <row r="881" spans="1:18">
      <c r="A881" t="s">
        <v>274</v>
      </c>
      <c r="B881" t="s">
        <v>2419</v>
      </c>
      <c r="C881" t="s">
        <v>2420</v>
      </c>
      <c r="E881">
        <v>69</v>
      </c>
      <c r="F881">
        <v>7</v>
      </c>
      <c r="G881">
        <v>9</v>
      </c>
      <c r="H881">
        <v>10</v>
      </c>
      <c r="J881" t="s">
        <v>22</v>
      </c>
      <c r="K881" t="b">
        <v>1</v>
      </c>
      <c r="L881">
        <f t="shared" si="13"/>
        <v>78</v>
      </c>
      <c r="M881">
        <f t="shared" si="13"/>
        <v>17</v>
      </c>
      <c r="N881" t="b">
        <v>0</v>
      </c>
      <c r="O881">
        <v>1</v>
      </c>
      <c r="P881" t="s">
        <v>2421</v>
      </c>
      <c r="Q881">
        <v>1</v>
      </c>
      <c r="R881" t="b">
        <v>1</v>
      </c>
    </row>
    <row r="882" spans="1:18" hidden="1">
      <c r="A882" t="s">
        <v>235</v>
      </c>
      <c r="B882" t="s">
        <v>2422</v>
      </c>
      <c r="C882" t="s">
        <v>2423</v>
      </c>
      <c r="E882">
        <v>69</v>
      </c>
      <c r="F882">
        <v>1712</v>
      </c>
      <c r="G882">
        <v>9</v>
      </c>
      <c r="H882">
        <v>165</v>
      </c>
      <c r="J882" t="s">
        <v>93</v>
      </c>
      <c r="K882" t="b">
        <v>1</v>
      </c>
      <c r="L882">
        <f t="shared" si="13"/>
        <v>78</v>
      </c>
      <c r="M882">
        <f t="shared" si="13"/>
        <v>1877</v>
      </c>
      <c r="N882" t="b">
        <v>0</v>
      </c>
      <c r="O882">
        <v>0</v>
      </c>
      <c r="Q882">
        <v>0</v>
      </c>
      <c r="R882" t="b">
        <v>0</v>
      </c>
    </row>
    <row r="883" spans="1:18">
      <c r="A883" t="s">
        <v>1224</v>
      </c>
      <c r="B883" t="s">
        <v>2424</v>
      </c>
      <c r="C883" t="s">
        <v>2425</v>
      </c>
      <c r="E883">
        <v>57</v>
      </c>
      <c r="F883">
        <v>1465</v>
      </c>
      <c r="G883">
        <v>21</v>
      </c>
      <c r="H883">
        <v>152</v>
      </c>
      <c r="J883" t="s">
        <v>22</v>
      </c>
      <c r="K883" t="b">
        <v>1</v>
      </c>
      <c r="L883">
        <f t="shared" si="13"/>
        <v>78</v>
      </c>
      <c r="M883">
        <f t="shared" si="13"/>
        <v>1617</v>
      </c>
      <c r="N883" t="b">
        <v>0</v>
      </c>
      <c r="O883">
        <v>1</v>
      </c>
      <c r="P883" t="s">
        <v>2426</v>
      </c>
      <c r="Q883">
        <v>2</v>
      </c>
      <c r="R883" t="b">
        <v>1</v>
      </c>
    </row>
    <row r="884" spans="1:18" hidden="1">
      <c r="A884" t="s">
        <v>59</v>
      </c>
      <c r="B884" t="s">
        <v>2427</v>
      </c>
      <c r="C884" t="s">
        <v>2428</v>
      </c>
      <c r="E884">
        <v>75</v>
      </c>
      <c r="F884">
        <v>687</v>
      </c>
      <c r="G884">
        <v>3</v>
      </c>
      <c r="H884">
        <v>160</v>
      </c>
      <c r="J884" t="s">
        <v>93</v>
      </c>
      <c r="K884" t="b">
        <v>1</v>
      </c>
      <c r="L884">
        <f t="shared" si="13"/>
        <v>78</v>
      </c>
      <c r="M884">
        <f t="shared" si="13"/>
        <v>847</v>
      </c>
      <c r="N884" t="b">
        <v>0</v>
      </c>
      <c r="O884">
        <v>0</v>
      </c>
      <c r="Q884">
        <v>0</v>
      </c>
      <c r="R884" t="b">
        <v>0</v>
      </c>
    </row>
    <row r="885" spans="1:18" hidden="1">
      <c r="A885" t="s">
        <v>2414</v>
      </c>
      <c r="B885" t="s">
        <v>2429</v>
      </c>
      <c r="C885" t="s">
        <v>2430</v>
      </c>
      <c r="E885">
        <v>41</v>
      </c>
      <c r="F885">
        <v>132</v>
      </c>
      <c r="G885">
        <v>37</v>
      </c>
      <c r="H885">
        <v>68</v>
      </c>
      <c r="J885" t="s">
        <v>93</v>
      </c>
      <c r="K885" t="b">
        <v>0</v>
      </c>
      <c r="L885">
        <f t="shared" si="13"/>
        <v>78</v>
      </c>
      <c r="M885">
        <f t="shared" si="13"/>
        <v>200</v>
      </c>
      <c r="N885" t="b">
        <v>0</v>
      </c>
      <c r="O885">
        <v>0</v>
      </c>
      <c r="Q885">
        <v>0</v>
      </c>
      <c r="R885" t="b">
        <v>0</v>
      </c>
    </row>
    <row r="886" spans="1:18" hidden="1">
      <c r="A886" t="s">
        <v>2414</v>
      </c>
      <c r="B886" t="s">
        <v>2431</v>
      </c>
      <c r="C886" t="s">
        <v>2432</v>
      </c>
      <c r="E886">
        <v>41</v>
      </c>
      <c r="F886">
        <v>132</v>
      </c>
      <c r="G886">
        <v>37</v>
      </c>
      <c r="H886">
        <v>68</v>
      </c>
      <c r="J886" t="s">
        <v>93</v>
      </c>
      <c r="K886" t="b">
        <v>0</v>
      </c>
      <c r="L886">
        <f t="shared" si="13"/>
        <v>78</v>
      </c>
      <c r="M886">
        <f t="shared" si="13"/>
        <v>200</v>
      </c>
      <c r="N886" t="b">
        <v>0</v>
      </c>
      <c r="O886">
        <v>0</v>
      </c>
      <c r="Q886">
        <v>0</v>
      </c>
      <c r="R886" t="b">
        <v>0</v>
      </c>
    </row>
    <row r="887" spans="1:18" hidden="1">
      <c r="A887" t="s">
        <v>2414</v>
      </c>
      <c r="B887" t="s">
        <v>2433</v>
      </c>
      <c r="C887" t="s">
        <v>2434</v>
      </c>
      <c r="E887">
        <v>41</v>
      </c>
      <c r="F887">
        <v>132</v>
      </c>
      <c r="G887">
        <v>37</v>
      </c>
      <c r="H887">
        <v>68</v>
      </c>
      <c r="J887" t="s">
        <v>93</v>
      </c>
      <c r="K887" t="b">
        <v>0</v>
      </c>
      <c r="L887">
        <f t="shared" si="13"/>
        <v>78</v>
      </c>
      <c r="M887">
        <f t="shared" si="13"/>
        <v>200</v>
      </c>
      <c r="N887" t="b">
        <v>0</v>
      </c>
      <c r="O887">
        <v>0</v>
      </c>
      <c r="Q887">
        <v>0</v>
      </c>
      <c r="R887" t="b">
        <v>0</v>
      </c>
    </row>
    <row r="888" spans="1:18" hidden="1">
      <c r="A888" t="s">
        <v>37</v>
      </c>
      <c r="B888" t="s">
        <v>2435</v>
      </c>
      <c r="C888" t="s">
        <v>2436</v>
      </c>
      <c r="D888" t="s">
        <v>2437</v>
      </c>
      <c r="E888">
        <v>36</v>
      </c>
      <c r="F888">
        <v>2189</v>
      </c>
      <c r="G888">
        <v>42</v>
      </c>
      <c r="H888">
        <v>998</v>
      </c>
      <c r="I888" t="s">
        <v>1676</v>
      </c>
      <c r="J888" t="s">
        <v>93</v>
      </c>
      <c r="K888" t="b">
        <v>1</v>
      </c>
      <c r="L888">
        <f t="shared" si="13"/>
        <v>78</v>
      </c>
      <c r="M888">
        <f t="shared" si="13"/>
        <v>3187</v>
      </c>
      <c r="N888" t="b">
        <v>0</v>
      </c>
      <c r="O888">
        <v>0.5</v>
      </c>
      <c r="P888" t="s">
        <v>637</v>
      </c>
      <c r="Q888">
        <v>2</v>
      </c>
      <c r="R888" t="b">
        <v>1</v>
      </c>
    </row>
    <row r="889" spans="1:18">
      <c r="A889" t="s">
        <v>24</v>
      </c>
      <c r="B889" t="s">
        <v>2438</v>
      </c>
      <c r="C889" t="s">
        <v>2439</v>
      </c>
      <c r="E889">
        <v>49</v>
      </c>
      <c r="F889">
        <v>326</v>
      </c>
      <c r="G889">
        <v>28</v>
      </c>
      <c r="H889">
        <v>872</v>
      </c>
      <c r="J889" t="s">
        <v>22</v>
      </c>
      <c r="K889" t="b">
        <v>1</v>
      </c>
      <c r="L889">
        <f t="shared" si="13"/>
        <v>77</v>
      </c>
      <c r="M889">
        <f t="shared" si="13"/>
        <v>1198</v>
      </c>
      <c r="N889" t="b">
        <v>0</v>
      </c>
      <c r="O889">
        <v>1</v>
      </c>
      <c r="P889" t="s">
        <v>2440</v>
      </c>
      <c r="Q889">
        <v>2</v>
      </c>
      <c r="R889" t="b">
        <v>1</v>
      </c>
    </row>
    <row r="890" spans="1:18" hidden="1">
      <c r="A890" t="s">
        <v>59</v>
      </c>
      <c r="B890" t="s">
        <v>2441</v>
      </c>
      <c r="C890" t="s">
        <v>2442</v>
      </c>
      <c r="E890">
        <v>75</v>
      </c>
      <c r="F890">
        <v>687</v>
      </c>
      <c r="G890">
        <v>2</v>
      </c>
      <c r="H890">
        <v>159</v>
      </c>
      <c r="J890" t="s">
        <v>93</v>
      </c>
      <c r="K890" t="b">
        <v>1</v>
      </c>
      <c r="L890">
        <f t="shared" si="13"/>
        <v>77</v>
      </c>
      <c r="M890">
        <f t="shared" si="13"/>
        <v>846</v>
      </c>
      <c r="N890" t="b">
        <v>0</v>
      </c>
      <c r="O890">
        <v>0</v>
      </c>
      <c r="Q890">
        <v>0</v>
      </c>
      <c r="R890" t="b">
        <v>0</v>
      </c>
    </row>
    <row r="891" spans="1:18" hidden="1">
      <c r="A891" t="s">
        <v>2443</v>
      </c>
      <c r="B891" t="s">
        <v>2444</v>
      </c>
      <c r="C891" t="s">
        <v>2445</v>
      </c>
      <c r="E891">
        <v>38</v>
      </c>
      <c r="F891">
        <v>155</v>
      </c>
      <c r="G891">
        <v>39</v>
      </c>
      <c r="H891">
        <v>147</v>
      </c>
      <c r="J891" t="s">
        <v>93</v>
      </c>
      <c r="K891" t="b">
        <v>0</v>
      </c>
      <c r="L891">
        <f t="shared" si="13"/>
        <v>77</v>
      </c>
      <c r="M891">
        <f t="shared" si="13"/>
        <v>302</v>
      </c>
      <c r="N891" t="b">
        <v>0</v>
      </c>
      <c r="O891">
        <v>0</v>
      </c>
      <c r="Q891">
        <v>0</v>
      </c>
      <c r="R891" t="b">
        <v>0</v>
      </c>
    </row>
    <row r="892" spans="1:18" hidden="1">
      <c r="A892" t="s">
        <v>248</v>
      </c>
      <c r="B892" t="s">
        <v>2446</v>
      </c>
      <c r="C892" t="s">
        <v>2447</v>
      </c>
      <c r="E892">
        <v>47</v>
      </c>
      <c r="F892">
        <v>585</v>
      </c>
      <c r="G892">
        <v>30</v>
      </c>
      <c r="H892">
        <v>356</v>
      </c>
      <c r="J892" t="s">
        <v>93</v>
      </c>
      <c r="K892" t="b">
        <v>1</v>
      </c>
      <c r="L892">
        <f t="shared" si="13"/>
        <v>77</v>
      </c>
      <c r="M892">
        <f t="shared" si="13"/>
        <v>941</v>
      </c>
      <c r="N892" t="b">
        <v>0</v>
      </c>
      <c r="O892">
        <v>0</v>
      </c>
      <c r="Q892">
        <v>0</v>
      </c>
      <c r="R892" t="b">
        <v>0</v>
      </c>
    </row>
    <row r="893" spans="1:18">
      <c r="A893" t="s">
        <v>87</v>
      </c>
      <c r="B893" t="s">
        <v>2448</v>
      </c>
      <c r="C893" t="s">
        <v>2449</v>
      </c>
      <c r="E893">
        <v>0</v>
      </c>
      <c r="F893">
        <v>0</v>
      </c>
      <c r="G893">
        <v>76</v>
      </c>
      <c r="H893">
        <v>1773</v>
      </c>
      <c r="J893" t="s">
        <v>22</v>
      </c>
      <c r="K893" t="b">
        <v>1</v>
      </c>
      <c r="L893">
        <f t="shared" si="13"/>
        <v>76</v>
      </c>
      <c r="M893">
        <f t="shared" si="13"/>
        <v>1773</v>
      </c>
      <c r="N893" t="b">
        <v>0</v>
      </c>
      <c r="O893">
        <v>1</v>
      </c>
      <c r="P893" t="s">
        <v>2450</v>
      </c>
      <c r="Q893">
        <v>2</v>
      </c>
      <c r="R893" t="b">
        <v>1</v>
      </c>
    </row>
    <row r="894" spans="1:18">
      <c r="A894" t="s">
        <v>24</v>
      </c>
      <c r="B894" t="s">
        <v>2451</v>
      </c>
      <c r="C894" t="s">
        <v>2452</v>
      </c>
      <c r="E894">
        <v>35</v>
      </c>
      <c r="F894">
        <v>272</v>
      </c>
      <c r="G894">
        <v>41</v>
      </c>
      <c r="H894">
        <v>492</v>
      </c>
      <c r="J894" t="s">
        <v>22</v>
      </c>
      <c r="K894" t="b">
        <v>1</v>
      </c>
      <c r="L894">
        <f t="shared" si="13"/>
        <v>76</v>
      </c>
      <c r="M894">
        <f t="shared" si="13"/>
        <v>764</v>
      </c>
      <c r="N894" t="b">
        <v>0</v>
      </c>
      <c r="O894">
        <v>1</v>
      </c>
      <c r="P894" t="s">
        <v>2453</v>
      </c>
      <c r="Q894">
        <v>2</v>
      </c>
      <c r="R894" t="b">
        <v>1</v>
      </c>
    </row>
    <row r="895" spans="1:18" hidden="1">
      <c r="A895" t="s">
        <v>2454</v>
      </c>
      <c r="B895" t="s">
        <v>2455</v>
      </c>
      <c r="C895" t="s">
        <v>2456</v>
      </c>
      <c r="E895">
        <v>36</v>
      </c>
      <c r="F895">
        <v>151</v>
      </c>
      <c r="G895">
        <v>40</v>
      </c>
      <c r="H895">
        <v>148</v>
      </c>
      <c r="J895" t="s">
        <v>93</v>
      </c>
      <c r="K895" t="b">
        <v>0</v>
      </c>
      <c r="L895">
        <f t="shared" si="13"/>
        <v>76</v>
      </c>
      <c r="M895">
        <f t="shared" si="13"/>
        <v>299</v>
      </c>
      <c r="N895" t="b">
        <v>0</v>
      </c>
      <c r="O895">
        <v>0</v>
      </c>
      <c r="Q895">
        <v>0</v>
      </c>
      <c r="R895" t="b">
        <v>0</v>
      </c>
    </row>
    <row r="896" spans="1:18" hidden="1">
      <c r="A896" t="s">
        <v>37</v>
      </c>
      <c r="B896" t="s">
        <v>2457</v>
      </c>
      <c r="C896" t="s">
        <v>2458</v>
      </c>
      <c r="E896">
        <v>32</v>
      </c>
      <c r="F896">
        <v>382</v>
      </c>
      <c r="G896">
        <v>44</v>
      </c>
      <c r="H896">
        <v>594</v>
      </c>
      <c r="J896" t="s">
        <v>93</v>
      </c>
      <c r="K896" t="b">
        <v>1</v>
      </c>
      <c r="L896">
        <f t="shared" si="13"/>
        <v>76</v>
      </c>
      <c r="M896">
        <f t="shared" si="13"/>
        <v>976</v>
      </c>
      <c r="N896" t="b">
        <v>0</v>
      </c>
      <c r="O896">
        <v>0</v>
      </c>
      <c r="Q896">
        <v>0</v>
      </c>
      <c r="R896" t="b">
        <v>0</v>
      </c>
    </row>
    <row r="897" spans="1:18">
      <c r="A897" t="s">
        <v>1462</v>
      </c>
      <c r="B897" t="s">
        <v>2459</v>
      </c>
      <c r="C897" t="s">
        <v>2460</v>
      </c>
      <c r="E897">
        <v>48</v>
      </c>
      <c r="F897">
        <v>282</v>
      </c>
      <c r="G897">
        <v>28</v>
      </c>
      <c r="H897">
        <v>88</v>
      </c>
      <c r="J897" t="s">
        <v>22</v>
      </c>
      <c r="K897" t="b">
        <v>1</v>
      </c>
      <c r="L897">
        <f t="shared" si="13"/>
        <v>76</v>
      </c>
      <c r="M897">
        <f t="shared" si="13"/>
        <v>370</v>
      </c>
      <c r="N897" t="b">
        <v>0</v>
      </c>
      <c r="O897">
        <v>1</v>
      </c>
      <c r="P897" t="s">
        <v>2461</v>
      </c>
      <c r="Q897">
        <v>2</v>
      </c>
      <c r="R897" t="b">
        <v>1</v>
      </c>
    </row>
    <row r="898" spans="1:18">
      <c r="A898" t="s">
        <v>1191</v>
      </c>
      <c r="B898" t="s">
        <v>2462</v>
      </c>
      <c r="C898" t="s">
        <v>2463</v>
      </c>
      <c r="E898">
        <v>52</v>
      </c>
      <c r="F898">
        <v>141</v>
      </c>
      <c r="G898">
        <v>23</v>
      </c>
      <c r="H898">
        <v>62</v>
      </c>
      <c r="J898" t="s">
        <v>22</v>
      </c>
      <c r="K898" t="b">
        <v>1</v>
      </c>
      <c r="L898">
        <f t="shared" si="13"/>
        <v>75</v>
      </c>
      <c r="M898">
        <f t="shared" si="13"/>
        <v>203</v>
      </c>
      <c r="N898" t="b">
        <v>0</v>
      </c>
      <c r="O898">
        <v>1</v>
      </c>
      <c r="P898" t="s">
        <v>2464</v>
      </c>
      <c r="Q898">
        <v>2</v>
      </c>
      <c r="R898" t="b">
        <v>1</v>
      </c>
    </row>
    <row r="899" spans="1:18" hidden="1">
      <c r="A899" t="s">
        <v>24</v>
      </c>
      <c r="B899" t="s">
        <v>2465</v>
      </c>
      <c r="C899" t="s">
        <v>2466</v>
      </c>
      <c r="E899">
        <v>55</v>
      </c>
      <c r="F899">
        <v>291</v>
      </c>
      <c r="G899">
        <v>20</v>
      </c>
      <c r="H899">
        <v>56</v>
      </c>
      <c r="J899" t="s">
        <v>93</v>
      </c>
      <c r="K899" t="b">
        <v>1</v>
      </c>
      <c r="L899">
        <f t="shared" ref="L899:M962" si="14">E899+G899</f>
        <v>75</v>
      </c>
      <c r="M899">
        <f t="shared" si="14"/>
        <v>347</v>
      </c>
      <c r="N899" t="b">
        <v>0</v>
      </c>
      <c r="O899">
        <v>0</v>
      </c>
      <c r="Q899">
        <v>0</v>
      </c>
      <c r="R899" t="b">
        <v>0</v>
      </c>
    </row>
    <row r="900" spans="1:18">
      <c r="A900" t="s">
        <v>24</v>
      </c>
      <c r="B900" t="s">
        <v>2467</v>
      </c>
      <c r="C900" t="s">
        <v>2468</v>
      </c>
      <c r="E900">
        <v>54</v>
      </c>
      <c r="F900">
        <v>342</v>
      </c>
      <c r="G900">
        <v>21</v>
      </c>
      <c r="H900">
        <v>133</v>
      </c>
      <c r="J900" t="s">
        <v>22</v>
      </c>
      <c r="K900" t="b">
        <v>1</v>
      </c>
      <c r="L900">
        <f t="shared" si="14"/>
        <v>75</v>
      </c>
      <c r="M900">
        <f t="shared" si="14"/>
        <v>475</v>
      </c>
      <c r="N900" t="b">
        <v>0</v>
      </c>
      <c r="O900">
        <v>1</v>
      </c>
      <c r="P900" t="s">
        <v>2469</v>
      </c>
      <c r="Q900">
        <v>2</v>
      </c>
      <c r="R900" t="b">
        <v>1</v>
      </c>
    </row>
    <row r="901" spans="1:18">
      <c r="A901" t="s">
        <v>205</v>
      </c>
      <c r="B901" t="s">
        <v>2470</v>
      </c>
      <c r="C901" t="s">
        <v>2471</v>
      </c>
      <c r="E901">
        <v>54</v>
      </c>
      <c r="F901">
        <v>160</v>
      </c>
      <c r="G901">
        <v>21</v>
      </c>
      <c r="H901">
        <v>1086</v>
      </c>
      <c r="J901" t="s">
        <v>22</v>
      </c>
      <c r="K901" t="b">
        <v>1</v>
      </c>
      <c r="L901">
        <f t="shared" si="14"/>
        <v>75</v>
      </c>
      <c r="M901">
        <f t="shared" si="14"/>
        <v>1246</v>
      </c>
      <c r="N901" t="b">
        <v>0</v>
      </c>
      <c r="O901">
        <v>1</v>
      </c>
      <c r="P901" t="s">
        <v>1359</v>
      </c>
      <c r="Q901">
        <v>2</v>
      </c>
      <c r="R901" t="b">
        <v>1</v>
      </c>
    </row>
    <row r="902" spans="1:18">
      <c r="A902" t="s">
        <v>2472</v>
      </c>
      <c r="B902" t="s">
        <v>2473</v>
      </c>
      <c r="C902" t="s">
        <v>2474</v>
      </c>
      <c r="E902">
        <v>53</v>
      </c>
      <c r="F902">
        <v>157</v>
      </c>
      <c r="G902">
        <v>22</v>
      </c>
      <c r="H902">
        <v>56</v>
      </c>
      <c r="J902" t="s">
        <v>22</v>
      </c>
      <c r="K902" t="b">
        <v>1</v>
      </c>
      <c r="L902">
        <f t="shared" si="14"/>
        <v>75</v>
      </c>
      <c r="M902">
        <f t="shared" si="14"/>
        <v>213</v>
      </c>
      <c r="N902" t="b">
        <v>0</v>
      </c>
      <c r="O902">
        <v>1</v>
      </c>
      <c r="P902" t="s">
        <v>62</v>
      </c>
      <c r="Q902">
        <v>2</v>
      </c>
      <c r="R902" t="b">
        <v>1</v>
      </c>
    </row>
    <row r="903" spans="1:18" hidden="1">
      <c r="A903" t="s">
        <v>2454</v>
      </c>
      <c r="B903" t="s">
        <v>2475</v>
      </c>
      <c r="C903" t="s">
        <v>2476</v>
      </c>
      <c r="E903">
        <v>35</v>
      </c>
      <c r="F903">
        <v>150</v>
      </c>
      <c r="G903">
        <v>40</v>
      </c>
      <c r="H903">
        <v>148</v>
      </c>
      <c r="J903" t="s">
        <v>93</v>
      </c>
      <c r="K903" t="b">
        <v>0</v>
      </c>
      <c r="L903">
        <f t="shared" si="14"/>
        <v>75</v>
      </c>
      <c r="M903">
        <f t="shared" si="14"/>
        <v>298</v>
      </c>
      <c r="N903" t="b">
        <v>0</v>
      </c>
      <c r="O903">
        <v>0</v>
      </c>
      <c r="Q903">
        <v>0</v>
      </c>
      <c r="R903" t="b">
        <v>0</v>
      </c>
    </row>
    <row r="904" spans="1:18" hidden="1">
      <c r="A904" t="s">
        <v>2477</v>
      </c>
      <c r="B904" t="s">
        <v>2478</v>
      </c>
      <c r="C904" t="s">
        <v>2479</v>
      </c>
      <c r="E904">
        <v>35</v>
      </c>
      <c r="F904">
        <v>150</v>
      </c>
      <c r="G904">
        <v>40</v>
      </c>
      <c r="H904">
        <v>148</v>
      </c>
      <c r="J904" t="s">
        <v>93</v>
      </c>
      <c r="K904" t="b">
        <v>0</v>
      </c>
      <c r="L904">
        <f t="shared" si="14"/>
        <v>75</v>
      </c>
      <c r="M904">
        <f t="shared" si="14"/>
        <v>298</v>
      </c>
      <c r="N904" t="b">
        <v>0</v>
      </c>
      <c r="O904">
        <v>0</v>
      </c>
      <c r="Q904">
        <v>0</v>
      </c>
      <c r="R904" t="b">
        <v>0</v>
      </c>
    </row>
    <row r="905" spans="1:18" hidden="1">
      <c r="A905" t="s">
        <v>2477</v>
      </c>
      <c r="B905" t="s">
        <v>2480</v>
      </c>
      <c r="C905" t="s">
        <v>2481</v>
      </c>
      <c r="E905">
        <v>35</v>
      </c>
      <c r="F905">
        <v>150</v>
      </c>
      <c r="G905">
        <v>40</v>
      </c>
      <c r="H905">
        <v>148</v>
      </c>
      <c r="J905" t="s">
        <v>93</v>
      </c>
      <c r="K905" t="b">
        <v>0</v>
      </c>
      <c r="L905">
        <f t="shared" si="14"/>
        <v>75</v>
      </c>
      <c r="M905">
        <f t="shared" si="14"/>
        <v>298</v>
      </c>
      <c r="N905" t="b">
        <v>0</v>
      </c>
      <c r="O905">
        <v>0</v>
      </c>
      <c r="Q905">
        <v>0</v>
      </c>
      <c r="R905" t="b">
        <v>0</v>
      </c>
    </row>
    <row r="906" spans="1:18" hidden="1">
      <c r="A906" t="s">
        <v>2477</v>
      </c>
      <c r="B906" t="s">
        <v>2482</v>
      </c>
      <c r="C906" t="s">
        <v>2483</v>
      </c>
      <c r="E906">
        <v>35</v>
      </c>
      <c r="F906">
        <v>150</v>
      </c>
      <c r="G906">
        <v>40</v>
      </c>
      <c r="H906">
        <v>148</v>
      </c>
      <c r="J906" t="s">
        <v>93</v>
      </c>
      <c r="K906" t="b">
        <v>0</v>
      </c>
      <c r="L906">
        <f t="shared" si="14"/>
        <v>75</v>
      </c>
      <c r="M906">
        <f t="shared" si="14"/>
        <v>298</v>
      </c>
      <c r="N906" t="b">
        <v>0</v>
      </c>
      <c r="O906">
        <v>0</v>
      </c>
      <c r="Q906">
        <v>0</v>
      </c>
      <c r="R906" t="b">
        <v>0</v>
      </c>
    </row>
    <row r="907" spans="1:18" hidden="1">
      <c r="A907" t="s">
        <v>2477</v>
      </c>
      <c r="B907" t="s">
        <v>2484</v>
      </c>
      <c r="C907" t="s">
        <v>2485</v>
      </c>
      <c r="E907">
        <v>35</v>
      </c>
      <c r="F907">
        <v>150</v>
      </c>
      <c r="G907">
        <v>40</v>
      </c>
      <c r="H907">
        <v>148</v>
      </c>
      <c r="J907" t="s">
        <v>93</v>
      </c>
      <c r="K907" t="b">
        <v>0</v>
      </c>
      <c r="L907">
        <f t="shared" si="14"/>
        <v>75</v>
      </c>
      <c r="M907">
        <f t="shared" si="14"/>
        <v>298</v>
      </c>
      <c r="N907" t="b">
        <v>0</v>
      </c>
      <c r="O907">
        <v>0</v>
      </c>
      <c r="Q907">
        <v>0</v>
      </c>
      <c r="R907" t="b">
        <v>0</v>
      </c>
    </row>
    <row r="908" spans="1:18" hidden="1">
      <c r="A908" t="s">
        <v>2477</v>
      </c>
      <c r="B908" t="s">
        <v>2486</v>
      </c>
      <c r="C908" t="s">
        <v>2487</v>
      </c>
      <c r="E908">
        <v>35</v>
      </c>
      <c r="F908">
        <v>150</v>
      </c>
      <c r="G908">
        <v>40</v>
      </c>
      <c r="H908">
        <v>148</v>
      </c>
      <c r="J908" t="s">
        <v>93</v>
      </c>
      <c r="K908" t="b">
        <v>0</v>
      </c>
      <c r="L908">
        <f t="shared" si="14"/>
        <v>75</v>
      </c>
      <c r="M908">
        <f t="shared" si="14"/>
        <v>298</v>
      </c>
      <c r="N908" t="b">
        <v>0</v>
      </c>
      <c r="O908">
        <v>0</v>
      </c>
      <c r="Q908">
        <v>0</v>
      </c>
      <c r="R908" t="b">
        <v>0</v>
      </c>
    </row>
    <row r="909" spans="1:18" hidden="1">
      <c r="A909" t="s">
        <v>2454</v>
      </c>
      <c r="B909" t="s">
        <v>2488</v>
      </c>
      <c r="C909" t="s">
        <v>2489</v>
      </c>
      <c r="E909">
        <v>35</v>
      </c>
      <c r="F909">
        <v>149</v>
      </c>
      <c r="G909">
        <v>40</v>
      </c>
      <c r="H909">
        <v>147</v>
      </c>
      <c r="J909" t="s">
        <v>93</v>
      </c>
      <c r="K909" t="b">
        <v>0</v>
      </c>
      <c r="L909">
        <f t="shared" si="14"/>
        <v>75</v>
      </c>
      <c r="M909">
        <f t="shared" si="14"/>
        <v>296</v>
      </c>
      <c r="N909" t="b">
        <v>0</v>
      </c>
      <c r="O909">
        <v>0</v>
      </c>
      <c r="Q909">
        <v>0</v>
      </c>
      <c r="R909" t="b">
        <v>0</v>
      </c>
    </row>
    <row r="910" spans="1:18" hidden="1">
      <c r="A910" t="s">
        <v>2477</v>
      </c>
      <c r="B910" t="s">
        <v>2490</v>
      </c>
      <c r="C910" t="s">
        <v>2491</v>
      </c>
      <c r="E910">
        <v>35</v>
      </c>
      <c r="F910">
        <v>150</v>
      </c>
      <c r="G910">
        <v>40</v>
      </c>
      <c r="H910">
        <v>146</v>
      </c>
      <c r="J910" t="s">
        <v>93</v>
      </c>
      <c r="K910" t="b">
        <v>0</v>
      </c>
      <c r="L910">
        <f t="shared" si="14"/>
        <v>75</v>
      </c>
      <c r="M910">
        <f t="shared" si="14"/>
        <v>296</v>
      </c>
      <c r="N910" t="b">
        <v>0</v>
      </c>
      <c r="O910">
        <v>0</v>
      </c>
      <c r="Q910">
        <v>0</v>
      </c>
      <c r="R910" t="b">
        <v>0</v>
      </c>
    </row>
    <row r="911" spans="1:18" hidden="1">
      <c r="A911" t="s">
        <v>248</v>
      </c>
      <c r="B911" t="s">
        <v>2492</v>
      </c>
      <c r="C911" t="s">
        <v>2493</v>
      </c>
      <c r="E911">
        <v>54</v>
      </c>
      <c r="F911">
        <v>84</v>
      </c>
      <c r="G911">
        <v>21</v>
      </c>
      <c r="H911">
        <v>29</v>
      </c>
      <c r="J911" t="s">
        <v>93</v>
      </c>
      <c r="K911" t="b">
        <v>1</v>
      </c>
      <c r="L911">
        <f t="shared" si="14"/>
        <v>75</v>
      </c>
      <c r="M911">
        <f t="shared" si="14"/>
        <v>113</v>
      </c>
      <c r="N911" t="b">
        <v>0</v>
      </c>
      <c r="O911">
        <v>0.5</v>
      </c>
      <c r="P911" t="s">
        <v>1098</v>
      </c>
      <c r="Q911">
        <v>4</v>
      </c>
      <c r="R911" t="b">
        <v>1</v>
      </c>
    </row>
    <row r="912" spans="1:18">
      <c r="A912" t="s">
        <v>378</v>
      </c>
      <c r="B912" t="s">
        <v>2494</v>
      </c>
      <c r="C912" t="s">
        <v>2495</v>
      </c>
      <c r="E912">
        <v>39</v>
      </c>
      <c r="F912">
        <v>1341</v>
      </c>
      <c r="G912">
        <v>36</v>
      </c>
      <c r="H912">
        <v>277</v>
      </c>
      <c r="J912" t="s">
        <v>22</v>
      </c>
      <c r="K912" t="b">
        <v>1</v>
      </c>
      <c r="L912">
        <f t="shared" si="14"/>
        <v>75</v>
      </c>
      <c r="M912">
        <f t="shared" si="14"/>
        <v>1618</v>
      </c>
      <c r="N912" t="b">
        <v>0</v>
      </c>
      <c r="O912">
        <v>1</v>
      </c>
      <c r="P912" t="s">
        <v>2496</v>
      </c>
      <c r="Q912">
        <v>2</v>
      </c>
      <c r="R912" t="b">
        <v>1</v>
      </c>
    </row>
    <row r="913" spans="1:18">
      <c r="A913" t="s">
        <v>1418</v>
      </c>
      <c r="B913" t="s">
        <v>2497</v>
      </c>
      <c r="C913" t="s">
        <v>2498</v>
      </c>
      <c r="E913">
        <v>61</v>
      </c>
      <c r="F913">
        <v>291</v>
      </c>
      <c r="G913">
        <v>13</v>
      </c>
      <c r="H913">
        <v>84</v>
      </c>
      <c r="J913" t="s">
        <v>22</v>
      </c>
      <c r="K913" t="b">
        <v>1</v>
      </c>
      <c r="L913">
        <f t="shared" si="14"/>
        <v>74</v>
      </c>
      <c r="M913">
        <f t="shared" si="14"/>
        <v>375</v>
      </c>
      <c r="N913" t="b">
        <v>0</v>
      </c>
      <c r="O913">
        <v>1</v>
      </c>
      <c r="P913" t="s">
        <v>659</v>
      </c>
      <c r="Q913">
        <v>2</v>
      </c>
      <c r="R913" t="b">
        <v>1</v>
      </c>
    </row>
    <row r="914" spans="1:18">
      <c r="A914" t="s">
        <v>24</v>
      </c>
      <c r="B914" t="s">
        <v>2499</v>
      </c>
      <c r="C914" t="s">
        <v>2500</v>
      </c>
      <c r="E914">
        <v>48</v>
      </c>
      <c r="F914">
        <v>828</v>
      </c>
      <c r="G914">
        <v>26</v>
      </c>
      <c r="H914">
        <v>346</v>
      </c>
      <c r="J914" t="s">
        <v>22</v>
      </c>
      <c r="K914" t="b">
        <v>1</v>
      </c>
      <c r="L914">
        <f t="shared" si="14"/>
        <v>74</v>
      </c>
      <c r="M914">
        <f t="shared" si="14"/>
        <v>1174</v>
      </c>
      <c r="N914" t="b">
        <v>0</v>
      </c>
      <c r="O914">
        <v>1</v>
      </c>
      <c r="P914" t="s">
        <v>2501</v>
      </c>
      <c r="Q914">
        <v>2</v>
      </c>
      <c r="R914" t="b">
        <v>1</v>
      </c>
    </row>
    <row r="915" spans="1:18" hidden="1">
      <c r="A915" t="s">
        <v>2477</v>
      </c>
      <c r="B915" t="s">
        <v>2502</v>
      </c>
      <c r="C915" t="s">
        <v>2503</v>
      </c>
      <c r="E915">
        <v>35</v>
      </c>
      <c r="F915">
        <v>150</v>
      </c>
      <c r="G915">
        <v>39</v>
      </c>
      <c r="H915">
        <v>147</v>
      </c>
      <c r="J915" t="s">
        <v>93</v>
      </c>
      <c r="K915" t="b">
        <v>0</v>
      </c>
      <c r="L915">
        <f t="shared" si="14"/>
        <v>74</v>
      </c>
      <c r="M915">
        <f t="shared" si="14"/>
        <v>297</v>
      </c>
      <c r="N915" t="b">
        <v>0</v>
      </c>
      <c r="O915">
        <v>0</v>
      </c>
      <c r="Q915">
        <v>0</v>
      </c>
      <c r="R915" t="b">
        <v>0</v>
      </c>
    </row>
    <row r="916" spans="1:18" hidden="1">
      <c r="A916" t="s">
        <v>2477</v>
      </c>
      <c r="B916" t="s">
        <v>2504</v>
      </c>
      <c r="C916" t="s">
        <v>2505</v>
      </c>
      <c r="E916">
        <v>35</v>
      </c>
      <c r="F916">
        <v>150</v>
      </c>
      <c r="G916">
        <v>39</v>
      </c>
      <c r="H916">
        <v>147</v>
      </c>
      <c r="J916" t="s">
        <v>93</v>
      </c>
      <c r="K916" t="b">
        <v>0</v>
      </c>
      <c r="L916">
        <f t="shared" si="14"/>
        <v>74</v>
      </c>
      <c r="M916">
        <f t="shared" si="14"/>
        <v>297</v>
      </c>
      <c r="N916" t="b">
        <v>0</v>
      </c>
      <c r="O916">
        <v>0</v>
      </c>
      <c r="Q916">
        <v>0</v>
      </c>
      <c r="R916" t="b">
        <v>0</v>
      </c>
    </row>
    <row r="917" spans="1:18" hidden="1">
      <c r="A917" t="s">
        <v>2477</v>
      </c>
      <c r="B917" t="s">
        <v>2506</v>
      </c>
      <c r="C917" t="s">
        <v>2507</v>
      </c>
      <c r="E917">
        <v>35</v>
      </c>
      <c r="F917">
        <v>150</v>
      </c>
      <c r="G917">
        <v>39</v>
      </c>
      <c r="H917">
        <v>139</v>
      </c>
      <c r="J917" t="s">
        <v>93</v>
      </c>
      <c r="K917" t="b">
        <v>0</v>
      </c>
      <c r="L917">
        <f t="shared" si="14"/>
        <v>74</v>
      </c>
      <c r="M917">
        <f t="shared" si="14"/>
        <v>289</v>
      </c>
      <c r="N917" t="b">
        <v>0</v>
      </c>
      <c r="O917">
        <v>0</v>
      </c>
      <c r="Q917">
        <v>0</v>
      </c>
      <c r="R917" t="b">
        <v>0</v>
      </c>
    </row>
    <row r="918" spans="1:18" hidden="1">
      <c r="A918" t="s">
        <v>248</v>
      </c>
      <c r="B918" t="s">
        <v>2508</v>
      </c>
      <c r="C918" t="s">
        <v>2509</v>
      </c>
      <c r="E918">
        <v>47</v>
      </c>
      <c r="F918">
        <v>739</v>
      </c>
      <c r="G918">
        <v>27</v>
      </c>
      <c r="H918">
        <v>351</v>
      </c>
      <c r="J918" t="s">
        <v>93</v>
      </c>
      <c r="K918" t="b">
        <v>1</v>
      </c>
      <c r="L918">
        <f t="shared" si="14"/>
        <v>74</v>
      </c>
      <c r="M918">
        <f t="shared" si="14"/>
        <v>1090</v>
      </c>
      <c r="N918" t="b">
        <v>0</v>
      </c>
      <c r="O918">
        <v>0</v>
      </c>
      <c r="Q918">
        <v>0</v>
      </c>
      <c r="R918" t="b">
        <v>0</v>
      </c>
    </row>
    <row r="919" spans="1:18" hidden="1">
      <c r="A919" t="s">
        <v>19</v>
      </c>
      <c r="B919" t="s">
        <v>2510</v>
      </c>
      <c r="C919" t="s">
        <v>2511</v>
      </c>
      <c r="E919">
        <v>60</v>
      </c>
      <c r="F919">
        <v>323</v>
      </c>
      <c r="G919">
        <v>14</v>
      </c>
      <c r="H919">
        <v>42</v>
      </c>
      <c r="J919" t="s">
        <v>93</v>
      </c>
      <c r="K919" t="b">
        <v>1</v>
      </c>
      <c r="L919">
        <f t="shared" si="14"/>
        <v>74</v>
      </c>
      <c r="M919">
        <f t="shared" si="14"/>
        <v>365</v>
      </c>
      <c r="N919" t="b">
        <v>0</v>
      </c>
      <c r="O919">
        <v>0</v>
      </c>
      <c r="Q919">
        <v>0</v>
      </c>
      <c r="R919" t="b">
        <v>0</v>
      </c>
    </row>
    <row r="920" spans="1:18">
      <c r="A920" t="s">
        <v>274</v>
      </c>
      <c r="B920" t="s">
        <v>2512</v>
      </c>
      <c r="C920" t="s">
        <v>2513</v>
      </c>
      <c r="E920">
        <v>65</v>
      </c>
      <c r="F920">
        <v>88</v>
      </c>
      <c r="G920">
        <v>8</v>
      </c>
      <c r="H920">
        <v>10</v>
      </c>
      <c r="J920" t="s">
        <v>22</v>
      </c>
      <c r="K920" t="b">
        <v>1</v>
      </c>
      <c r="L920">
        <f t="shared" si="14"/>
        <v>73</v>
      </c>
      <c r="M920">
        <f t="shared" si="14"/>
        <v>98</v>
      </c>
      <c r="N920" t="b">
        <v>0</v>
      </c>
      <c r="O920">
        <v>1</v>
      </c>
      <c r="P920" t="s">
        <v>2514</v>
      </c>
      <c r="Q920">
        <v>1</v>
      </c>
      <c r="R920" t="b">
        <v>1</v>
      </c>
    </row>
    <row r="921" spans="1:18">
      <c r="A921" t="s">
        <v>261</v>
      </c>
      <c r="B921" t="s">
        <v>2515</v>
      </c>
      <c r="C921" t="s">
        <v>2516</v>
      </c>
      <c r="E921">
        <v>65</v>
      </c>
      <c r="F921">
        <v>88</v>
      </c>
      <c r="G921">
        <v>8</v>
      </c>
      <c r="H921">
        <v>10</v>
      </c>
      <c r="J921" t="s">
        <v>22</v>
      </c>
      <c r="K921" t="b">
        <v>1</v>
      </c>
      <c r="L921">
        <f t="shared" si="14"/>
        <v>73</v>
      </c>
      <c r="M921">
        <f t="shared" si="14"/>
        <v>98</v>
      </c>
      <c r="N921" t="b">
        <v>0</v>
      </c>
      <c r="O921">
        <v>1</v>
      </c>
      <c r="P921" t="s">
        <v>2514</v>
      </c>
      <c r="Q921">
        <v>1</v>
      </c>
      <c r="R921" t="b">
        <v>1</v>
      </c>
    </row>
    <row r="922" spans="1:18">
      <c r="A922" t="s">
        <v>573</v>
      </c>
      <c r="B922" t="s">
        <v>2517</v>
      </c>
      <c r="C922" t="s">
        <v>2518</v>
      </c>
      <c r="E922">
        <v>57</v>
      </c>
      <c r="F922">
        <v>401</v>
      </c>
      <c r="G922">
        <v>16</v>
      </c>
      <c r="H922">
        <v>90</v>
      </c>
      <c r="J922" t="s">
        <v>22</v>
      </c>
      <c r="K922" t="b">
        <v>1</v>
      </c>
      <c r="L922">
        <f t="shared" si="14"/>
        <v>73</v>
      </c>
      <c r="M922">
        <f t="shared" si="14"/>
        <v>491</v>
      </c>
      <c r="N922" t="b">
        <v>0</v>
      </c>
      <c r="O922">
        <v>1</v>
      </c>
      <c r="P922" t="s">
        <v>2519</v>
      </c>
      <c r="Q922">
        <v>2</v>
      </c>
      <c r="R922" t="b">
        <v>1</v>
      </c>
    </row>
    <row r="923" spans="1:18" hidden="1">
      <c r="A923" t="s">
        <v>205</v>
      </c>
      <c r="B923" t="s">
        <v>2520</v>
      </c>
      <c r="C923" t="s">
        <v>2521</v>
      </c>
      <c r="E923">
        <v>45</v>
      </c>
      <c r="F923">
        <v>107</v>
      </c>
      <c r="G923">
        <v>28</v>
      </c>
      <c r="H923">
        <v>134</v>
      </c>
      <c r="J923" t="s">
        <v>999</v>
      </c>
      <c r="K923" t="b">
        <v>1</v>
      </c>
      <c r="L923">
        <f t="shared" si="14"/>
        <v>73</v>
      </c>
      <c r="M923">
        <f t="shared" si="14"/>
        <v>241</v>
      </c>
      <c r="N923" t="b">
        <v>0</v>
      </c>
      <c r="O923">
        <v>0</v>
      </c>
      <c r="Q923">
        <v>0</v>
      </c>
      <c r="R923" t="b">
        <v>0</v>
      </c>
    </row>
    <row r="924" spans="1:18">
      <c r="A924" t="s">
        <v>37</v>
      </c>
      <c r="B924" t="s">
        <v>2522</v>
      </c>
      <c r="C924" t="s">
        <v>2523</v>
      </c>
      <c r="E924">
        <v>36</v>
      </c>
      <c r="F924">
        <v>503</v>
      </c>
      <c r="G924">
        <v>37</v>
      </c>
      <c r="H924">
        <v>255</v>
      </c>
      <c r="J924" t="s">
        <v>22</v>
      </c>
      <c r="K924" t="b">
        <v>1</v>
      </c>
      <c r="L924">
        <f t="shared" si="14"/>
        <v>73</v>
      </c>
      <c r="M924">
        <f t="shared" si="14"/>
        <v>758</v>
      </c>
      <c r="N924" t="b">
        <v>0</v>
      </c>
      <c r="O924">
        <v>1</v>
      </c>
      <c r="P924" t="s">
        <v>2524</v>
      </c>
      <c r="Q924">
        <v>2</v>
      </c>
      <c r="R924" t="b">
        <v>1</v>
      </c>
    </row>
    <row r="925" spans="1:18">
      <c r="A925" t="s">
        <v>37</v>
      </c>
      <c r="B925" t="s">
        <v>2525</v>
      </c>
      <c r="C925" t="s">
        <v>2526</v>
      </c>
      <c r="E925">
        <v>36</v>
      </c>
      <c r="F925">
        <v>503</v>
      </c>
      <c r="G925">
        <v>37</v>
      </c>
      <c r="H925">
        <v>255</v>
      </c>
      <c r="J925" t="s">
        <v>22</v>
      </c>
      <c r="K925" t="b">
        <v>1</v>
      </c>
      <c r="L925">
        <f t="shared" si="14"/>
        <v>73</v>
      </c>
      <c r="M925">
        <f t="shared" si="14"/>
        <v>758</v>
      </c>
      <c r="N925" t="b">
        <v>0</v>
      </c>
      <c r="O925">
        <v>1</v>
      </c>
      <c r="P925" t="s">
        <v>2527</v>
      </c>
      <c r="Q925">
        <v>2</v>
      </c>
      <c r="R925" t="b">
        <v>1</v>
      </c>
    </row>
    <row r="926" spans="1:18" hidden="1">
      <c r="A926" t="s">
        <v>87</v>
      </c>
      <c r="B926" t="s">
        <v>2528</v>
      </c>
      <c r="C926" t="s">
        <v>2529</v>
      </c>
      <c r="D926" t="s">
        <v>2530</v>
      </c>
      <c r="E926">
        <v>61</v>
      </c>
      <c r="F926">
        <v>1822</v>
      </c>
      <c r="G926">
        <v>12</v>
      </c>
      <c r="H926">
        <v>90</v>
      </c>
      <c r="I926" t="s">
        <v>1676</v>
      </c>
      <c r="J926" t="s">
        <v>93</v>
      </c>
      <c r="K926" t="b">
        <v>1</v>
      </c>
      <c r="L926">
        <f t="shared" si="14"/>
        <v>73</v>
      </c>
      <c r="M926">
        <f t="shared" si="14"/>
        <v>1912</v>
      </c>
      <c r="N926" t="b">
        <v>0</v>
      </c>
      <c r="O926">
        <v>0</v>
      </c>
      <c r="Q926">
        <v>0</v>
      </c>
      <c r="R926" t="b">
        <v>0</v>
      </c>
    </row>
    <row r="927" spans="1:18">
      <c r="A927" t="s">
        <v>372</v>
      </c>
      <c r="B927" t="s">
        <v>2531</v>
      </c>
      <c r="C927" t="s">
        <v>2532</v>
      </c>
      <c r="E927">
        <v>62</v>
      </c>
      <c r="F927">
        <v>2418</v>
      </c>
      <c r="G927">
        <v>10</v>
      </c>
      <c r="H927">
        <v>115</v>
      </c>
      <c r="J927" t="s">
        <v>22</v>
      </c>
      <c r="K927" t="b">
        <v>1</v>
      </c>
      <c r="L927">
        <f t="shared" si="14"/>
        <v>72</v>
      </c>
      <c r="M927">
        <f t="shared" si="14"/>
        <v>2533</v>
      </c>
      <c r="N927" t="b">
        <v>0</v>
      </c>
      <c r="O927">
        <v>1</v>
      </c>
      <c r="P927" t="s">
        <v>2533</v>
      </c>
      <c r="Q927">
        <v>2</v>
      </c>
      <c r="R927" t="b">
        <v>1</v>
      </c>
    </row>
    <row r="928" spans="1:18">
      <c r="A928" t="s">
        <v>24</v>
      </c>
      <c r="B928" t="s">
        <v>2534</v>
      </c>
      <c r="C928" t="s">
        <v>2535</v>
      </c>
      <c r="E928">
        <v>56</v>
      </c>
      <c r="F928">
        <v>401</v>
      </c>
      <c r="G928">
        <v>16</v>
      </c>
      <c r="H928">
        <v>90</v>
      </c>
      <c r="J928" t="s">
        <v>22</v>
      </c>
      <c r="K928" t="b">
        <v>1</v>
      </c>
      <c r="L928">
        <f t="shared" si="14"/>
        <v>72</v>
      </c>
      <c r="M928">
        <f t="shared" si="14"/>
        <v>491</v>
      </c>
      <c r="N928" t="b">
        <v>0</v>
      </c>
      <c r="O928">
        <v>1</v>
      </c>
      <c r="P928" t="s">
        <v>2536</v>
      </c>
      <c r="Q928">
        <v>2</v>
      </c>
      <c r="R928" t="b">
        <v>1</v>
      </c>
    </row>
    <row r="929" spans="1:18">
      <c r="A929" t="s">
        <v>24</v>
      </c>
      <c r="B929" t="s">
        <v>2537</v>
      </c>
      <c r="C929" t="s">
        <v>2538</v>
      </c>
      <c r="E929">
        <v>55</v>
      </c>
      <c r="F929">
        <v>705</v>
      </c>
      <c r="G929">
        <v>17</v>
      </c>
      <c r="H929">
        <v>357</v>
      </c>
      <c r="J929" t="s">
        <v>22</v>
      </c>
      <c r="K929" t="b">
        <v>1</v>
      </c>
      <c r="L929">
        <f t="shared" si="14"/>
        <v>72</v>
      </c>
      <c r="M929">
        <f t="shared" si="14"/>
        <v>1062</v>
      </c>
      <c r="N929" t="b">
        <v>0</v>
      </c>
      <c r="O929">
        <v>1</v>
      </c>
      <c r="P929" t="s">
        <v>2539</v>
      </c>
      <c r="Q929">
        <v>2</v>
      </c>
      <c r="R929" t="b">
        <v>1</v>
      </c>
    </row>
    <row r="930" spans="1:18" hidden="1">
      <c r="A930" t="s">
        <v>2540</v>
      </c>
      <c r="B930" t="s">
        <v>2541</v>
      </c>
      <c r="C930" t="s">
        <v>2542</v>
      </c>
      <c r="E930">
        <v>39</v>
      </c>
      <c r="F930">
        <v>139</v>
      </c>
      <c r="G930">
        <v>33</v>
      </c>
      <c r="H930">
        <v>59</v>
      </c>
      <c r="J930" t="s">
        <v>93</v>
      </c>
      <c r="K930" t="b">
        <v>0</v>
      </c>
      <c r="L930">
        <f t="shared" si="14"/>
        <v>72</v>
      </c>
      <c r="M930">
        <f t="shared" si="14"/>
        <v>198</v>
      </c>
      <c r="N930" t="b">
        <v>0</v>
      </c>
      <c r="O930">
        <v>0</v>
      </c>
      <c r="Q930">
        <v>0</v>
      </c>
      <c r="R930" t="b">
        <v>0</v>
      </c>
    </row>
    <row r="931" spans="1:18" hidden="1">
      <c r="A931" t="s">
        <v>2543</v>
      </c>
      <c r="B931" t="s">
        <v>2544</v>
      </c>
      <c r="C931" t="s">
        <v>2545</v>
      </c>
      <c r="E931">
        <v>67</v>
      </c>
      <c r="F931">
        <v>95</v>
      </c>
      <c r="G931">
        <v>5</v>
      </c>
      <c r="H931">
        <v>32</v>
      </c>
      <c r="J931" t="s">
        <v>93</v>
      </c>
      <c r="K931" t="b">
        <v>0</v>
      </c>
      <c r="L931">
        <f t="shared" si="14"/>
        <v>72</v>
      </c>
      <c r="M931">
        <f t="shared" si="14"/>
        <v>127</v>
      </c>
      <c r="N931" t="b">
        <v>0</v>
      </c>
      <c r="O931">
        <v>0</v>
      </c>
      <c r="Q931">
        <v>0</v>
      </c>
      <c r="R931" t="b">
        <v>0</v>
      </c>
    </row>
    <row r="932" spans="1:18">
      <c r="A932" t="s">
        <v>37</v>
      </c>
      <c r="B932" t="s">
        <v>2546</v>
      </c>
      <c r="C932" t="s">
        <v>2547</v>
      </c>
      <c r="E932">
        <v>35</v>
      </c>
      <c r="F932">
        <v>503</v>
      </c>
      <c r="G932">
        <v>37</v>
      </c>
      <c r="H932">
        <v>255</v>
      </c>
      <c r="J932" t="s">
        <v>22</v>
      </c>
      <c r="K932" t="b">
        <v>1</v>
      </c>
      <c r="L932">
        <f t="shared" si="14"/>
        <v>72</v>
      </c>
      <c r="M932">
        <f t="shared" si="14"/>
        <v>758</v>
      </c>
      <c r="N932" t="b">
        <v>0</v>
      </c>
      <c r="O932">
        <v>1</v>
      </c>
      <c r="P932" t="s">
        <v>2548</v>
      </c>
      <c r="Q932">
        <v>2</v>
      </c>
      <c r="R932" t="b">
        <v>1</v>
      </c>
    </row>
    <row r="933" spans="1:18">
      <c r="A933" t="s">
        <v>1143</v>
      </c>
      <c r="B933" t="s">
        <v>2549</v>
      </c>
      <c r="C933" t="s">
        <v>2550</v>
      </c>
      <c r="E933">
        <v>0</v>
      </c>
      <c r="F933">
        <v>0</v>
      </c>
      <c r="G933">
        <v>72</v>
      </c>
      <c r="H933">
        <v>239</v>
      </c>
      <c r="J933" t="s">
        <v>22</v>
      </c>
      <c r="K933" t="b">
        <v>1</v>
      </c>
      <c r="L933">
        <f t="shared" si="14"/>
        <v>72</v>
      </c>
      <c r="M933">
        <f t="shared" si="14"/>
        <v>239</v>
      </c>
      <c r="N933" t="b">
        <v>0</v>
      </c>
      <c r="O933">
        <v>1</v>
      </c>
      <c r="P933" t="s">
        <v>2551</v>
      </c>
      <c r="Q933">
        <v>2</v>
      </c>
      <c r="R933" t="b">
        <v>1</v>
      </c>
    </row>
    <row r="934" spans="1:18" hidden="1">
      <c r="A934" t="s">
        <v>352</v>
      </c>
      <c r="B934" t="s">
        <v>2552</v>
      </c>
      <c r="C934" t="s">
        <v>2553</v>
      </c>
      <c r="D934" s="7" t="s">
        <v>1529</v>
      </c>
      <c r="E934">
        <v>58</v>
      </c>
      <c r="F934">
        <v>1564</v>
      </c>
      <c r="G934">
        <v>14</v>
      </c>
      <c r="H934">
        <v>476</v>
      </c>
      <c r="I934" t="s">
        <v>1530</v>
      </c>
      <c r="J934" t="s">
        <v>93</v>
      </c>
      <c r="K934" t="b">
        <v>1</v>
      </c>
      <c r="L934">
        <f t="shared" si="14"/>
        <v>72</v>
      </c>
      <c r="M934">
        <f t="shared" si="14"/>
        <v>2040</v>
      </c>
      <c r="N934" t="b">
        <v>0</v>
      </c>
      <c r="O934">
        <v>0</v>
      </c>
      <c r="Q934">
        <v>0</v>
      </c>
      <c r="R934" t="b">
        <v>0</v>
      </c>
    </row>
    <row r="935" spans="1:18" hidden="1">
      <c r="A935" t="s">
        <v>87</v>
      </c>
      <c r="B935" t="s">
        <v>2554</v>
      </c>
      <c r="C935" t="s">
        <v>2555</v>
      </c>
      <c r="E935">
        <v>61</v>
      </c>
      <c r="F935">
        <v>35</v>
      </c>
      <c r="G935">
        <v>11</v>
      </c>
      <c r="H935">
        <v>25</v>
      </c>
      <c r="J935" t="s">
        <v>93</v>
      </c>
      <c r="K935" t="b">
        <v>1</v>
      </c>
      <c r="L935">
        <f t="shared" si="14"/>
        <v>72</v>
      </c>
      <c r="M935">
        <f t="shared" si="14"/>
        <v>60</v>
      </c>
      <c r="N935" t="b">
        <v>0</v>
      </c>
      <c r="O935">
        <v>0</v>
      </c>
      <c r="Q935">
        <v>0</v>
      </c>
      <c r="R935" t="b">
        <v>0</v>
      </c>
    </row>
    <row r="936" spans="1:18">
      <c r="A936" t="s">
        <v>2346</v>
      </c>
      <c r="B936" t="s">
        <v>2556</v>
      </c>
      <c r="C936" t="s">
        <v>2557</v>
      </c>
      <c r="E936">
        <v>40</v>
      </c>
      <c r="F936">
        <v>99</v>
      </c>
      <c r="G936">
        <v>31</v>
      </c>
      <c r="H936">
        <v>50</v>
      </c>
      <c r="J936" t="s">
        <v>22</v>
      </c>
      <c r="K936" t="b">
        <v>1</v>
      </c>
      <c r="L936">
        <f t="shared" si="14"/>
        <v>71</v>
      </c>
      <c r="M936">
        <f t="shared" si="14"/>
        <v>149</v>
      </c>
      <c r="N936" t="b">
        <v>0</v>
      </c>
      <c r="O936">
        <v>1</v>
      </c>
      <c r="P936" t="s">
        <v>2558</v>
      </c>
      <c r="Q936">
        <v>2</v>
      </c>
      <c r="R936" t="b">
        <v>1</v>
      </c>
    </row>
    <row r="937" spans="1:18">
      <c r="A937" t="s">
        <v>1191</v>
      </c>
      <c r="B937" t="s">
        <v>2559</v>
      </c>
      <c r="C937" t="s">
        <v>2560</v>
      </c>
      <c r="E937">
        <v>54</v>
      </c>
      <c r="F937">
        <v>1507</v>
      </c>
      <c r="G937">
        <v>17</v>
      </c>
      <c r="H937">
        <v>63</v>
      </c>
      <c r="J937" t="s">
        <v>22</v>
      </c>
      <c r="K937" t="b">
        <v>1</v>
      </c>
      <c r="L937">
        <f t="shared" si="14"/>
        <v>71</v>
      </c>
      <c r="M937">
        <f t="shared" si="14"/>
        <v>1570</v>
      </c>
      <c r="N937" t="b">
        <v>0</v>
      </c>
      <c r="O937">
        <v>1</v>
      </c>
      <c r="P937" t="s">
        <v>2561</v>
      </c>
      <c r="Q937">
        <v>2</v>
      </c>
      <c r="R937" t="b">
        <v>1</v>
      </c>
    </row>
    <row r="938" spans="1:18">
      <c r="A938" t="s">
        <v>2472</v>
      </c>
      <c r="B938" t="s">
        <v>2562</v>
      </c>
      <c r="C938" t="s">
        <v>2563</v>
      </c>
      <c r="E938">
        <v>49</v>
      </c>
      <c r="F938">
        <v>157</v>
      </c>
      <c r="G938">
        <v>22</v>
      </c>
      <c r="H938">
        <v>56</v>
      </c>
      <c r="J938" t="s">
        <v>22</v>
      </c>
      <c r="K938" t="b">
        <v>1</v>
      </c>
      <c r="L938">
        <f t="shared" si="14"/>
        <v>71</v>
      </c>
      <c r="M938">
        <f t="shared" si="14"/>
        <v>213</v>
      </c>
      <c r="N938" t="b">
        <v>0</v>
      </c>
      <c r="O938">
        <v>1</v>
      </c>
      <c r="P938" t="s">
        <v>2564</v>
      </c>
      <c r="Q938">
        <v>2</v>
      </c>
      <c r="R938" t="b">
        <v>1</v>
      </c>
    </row>
    <row r="939" spans="1:18">
      <c r="A939" t="s">
        <v>2472</v>
      </c>
      <c r="B939" t="s">
        <v>2565</v>
      </c>
      <c r="C939" t="s">
        <v>2566</v>
      </c>
      <c r="E939">
        <v>49</v>
      </c>
      <c r="F939">
        <v>157</v>
      </c>
      <c r="G939">
        <v>22</v>
      </c>
      <c r="H939">
        <v>56</v>
      </c>
      <c r="J939" t="s">
        <v>22</v>
      </c>
      <c r="K939" t="b">
        <v>1</v>
      </c>
      <c r="L939">
        <f t="shared" si="14"/>
        <v>71</v>
      </c>
      <c r="M939">
        <f t="shared" si="14"/>
        <v>213</v>
      </c>
      <c r="N939" t="b">
        <v>0</v>
      </c>
      <c r="O939">
        <v>1</v>
      </c>
      <c r="P939" t="s">
        <v>2567</v>
      </c>
      <c r="Q939">
        <v>2</v>
      </c>
      <c r="R939" t="b">
        <v>1</v>
      </c>
    </row>
    <row r="940" spans="1:18" hidden="1">
      <c r="A940" t="s">
        <v>2568</v>
      </c>
      <c r="B940" t="s">
        <v>2569</v>
      </c>
      <c r="C940" t="s">
        <v>2570</v>
      </c>
      <c r="E940">
        <v>43</v>
      </c>
      <c r="F940">
        <v>147</v>
      </c>
      <c r="G940">
        <v>28</v>
      </c>
      <c r="H940">
        <v>41</v>
      </c>
      <c r="J940" t="s">
        <v>93</v>
      </c>
      <c r="K940" t="b">
        <v>0</v>
      </c>
      <c r="L940">
        <f t="shared" si="14"/>
        <v>71</v>
      </c>
      <c r="M940">
        <f t="shared" si="14"/>
        <v>188</v>
      </c>
      <c r="N940" t="b">
        <v>0</v>
      </c>
      <c r="O940">
        <v>0</v>
      </c>
      <c r="Q940">
        <v>0</v>
      </c>
      <c r="R940" t="b">
        <v>0</v>
      </c>
    </row>
    <row r="941" spans="1:18" hidden="1">
      <c r="A941" t="s">
        <v>2568</v>
      </c>
      <c r="B941" t="s">
        <v>2571</v>
      </c>
      <c r="C941" t="s">
        <v>2572</v>
      </c>
      <c r="E941">
        <v>43</v>
      </c>
      <c r="F941">
        <v>147</v>
      </c>
      <c r="G941">
        <v>28</v>
      </c>
      <c r="H941">
        <v>41</v>
      </c>
      <c r="J941" t="s">
        <v>93</v>
      </c>
      <c r="K941" t="b">
        <v>0</v>
      </c>
      <c r="L941">
        <f t="shared" si="14"/>
        <v>71</v>
      </c>
      <c r="M941">
        <f t="shared" si="14"/>
        <v>188</v>
      </c>
      <c r="N941" t="b">
        <v>0</v>
      </c>
      <c r="O941">
        <v>0</v>
      </c>
      <c r="Q941">
        <v>0</v>
      </c>
      <c r="R941" t="b">
        <v>0</v>
      </c>
    </row>
    <row r="942" spans="1:18">
      <c r="A942" t="s">
        <v>115</v>
      </c>
      <c r="B942" t="s">
        <v>2573</v>
      </c>
      <c r="C942" t="s">
        <v>2574</v>
      </c>
      <c r="E942">
        <v>53</v>
      </c>
      <c r="F942">
        <v>792</v>
      </c>
      <c r="G942">
        <v>18</v>
      </c>
      <c r="H942">
        <v>175</v>
      </c>
      <c r="J942" t="s">
        <v>22</v>
      </c>
      <c r="K942" t="b">
        <v>1</v>
      </c>
      <c r="L942">
        <f t="shared" si="14"/>
        <v>71</v>
      </c>
      <c r="M942">
        <f t="shared" si="14"/>
        <v>967</v>
      </c>
      <c r="N942" t="b">
        <v>0</v>
      </c>
      <c r="O942">
        <v>1</v>
      </c>
      <c r="P942" t="s">
        <v>2575</v>
      </c>
      <c r="Q942">
        <v>2</v>
      </c>
      <c r="R942" t="b">
        <v>1</v>
      </c>
    </row>
    <row r="943" spans="1:18">
      <c r="A943" t="s">
        <v>192</v>
      </c>
      <c r="B943" t="s">
        <v>2576</v>
      </c>
      <c r="C943" t="s">
        <v>2577</v>
      </c>
      <c r="E943">
        <v>64</v>
      </c>
      <c r="F943">
        <v>2</v>
      </c>
      <c r="G943">
        <v>7</v>
      </c>
      <c r="H943">
        <v>7</v>
      </c>
      <c r="J943" t="s">
        <v>22</v>
      </c>
      <c r="K943" t="b">
        <v>1</v>
      </c>
      <c r="L943">
        <f t="shared" si="14"/>
        <v>71</v>
      </c>
      <c r="M943">
        <f t="shared" si="14"/>
        <v>9</v>
      </c>
      <c r="N943" t="b">
        <v>0</v>
      </c>
      <c r="O943">
        <v>1</v>
      </c>
      <c r="P943" t="s">
        <v>2578</v>
      </c>
      <c r="Q943">
        <v>2</v>
      </c>
      <c r="R943" t="b">
        <v>1</v>
      </c>
    </row>
    <row r="944" spans="1:18" hidden="1">
      <c r="A944" t="s">
        <v>24</v>
      </c>
      <c r="B944" t="s">
        <v>2579</v>
      </c>
      <c r="C944" t="s">
        <v>2580</v>
      </c>
      <c r="E944">
        <v>56</v>
      </c>
      <c r="F944">
        <v>223</v>
      </c>
      <c r="G944">
        <v>14</v>
      </c>
      <c r="H944">
        <v>52</v>
      </c>
      <c r="J944" t="s">
        <v>999</v>
      </c>
      <c r="K944" t="b">
        <v>1</v>
      </c>
      <c r="L944">
        <f t="shared" si="14"/>
        <v>70</v>
      </c>
      <c r="M944">
        <f t="shared" si="14"/>
        <v>275</v>
      </c>
      <c r="N944" t="b">
        <v>0</v>
      </c>
      <c r="O944">
        <v>0.5</v>
      </c>
      <c r="P944" t="s">
        <v>77</v>
      </c>
      <c r="Q944">
        <v>30</v>
      </c>
      <c r="R944" t="b">
        <v>1</v>
      </c>
    </row>
    <row r="945" spans="1:18">
      <c r="A945" t="s">
        <v>2472</v>
      </c>
      <c r="B945" t="s">
        <v>2581</v>
      </c>
      <c r="C945" t="s">
        <v>2582</v>
      </c>
      <c r="E945">
        <v>48</v>
      </c>
      <c r="F945">
        <v>155</v>
      </c>
      <c r="G945">
        <v>22</v>
      </c>
      <c r="H945">
        <v>56</v>
      </c>
      <c r="J945" t="s">
        <v>22</v>
      </c>
      <c r="K945" t="b">
        <v>1</v>
      </c>
      <c r="L945">
        <f t="shared" si="14"/>
        <v>70</v>
      </c>
      <c r="M945">
        <f t="shared" si="14"/>
        <v>211</v>
      </c>
      <c r="N945" t="b">
        <v>0</v>
      </c>
      <c r="O945">
        <v>1</v>
      </c>
      <c r="P945" t="s">
        <v>2583</v>
      </c>
      <c r="Q945">
        <v>2</v>
      </c>
      <c r="R945" t="b">
        <v>1</v>
      </c>
    </row>
    <row r="946" spans="1:18" hidden="1">
      <c r="A946" t="s">
        <v>43</v>
      </c>
      <c r="B946" t="s">
        <v>2584</v>
      </c>
      <c r="C946" t="s">
        <v>2585</v>
      </c>
      <c r="E946">
        <v>38</v>
      </c>
      <c r="F946">
        <v>183</v>
      </c>
      <c r="G946">
        <v>32</v>
      </c>
      <c r="H946">
        <v>649</v>
      </c>
      <c r="J946" t="s">
        <v>93</v>
      </c>
      <c r="K946" t="b">
        <v>1</v>
      </c>
      <c r="L946">
        <f t="shared" si="14"/>
        <v>70</v>
      </c>
      <c r="M946">
        <f t="shared" si="14"/>
        <v>832</v>
      </c>
      <c r="N946" t="b">
        <v>0</v>
      </c>
      <c r="O946">
        <v>0</v>
      </c>
      <c r="Q946">
        <v>0</v>
      </c>
      <c r="R946" t="b">
        <v>0</v>
      </c>
    </row>
    <row r="947" spans="1:18">
      <c r="A947" t="s">
        <v>438</v>
      </c>
      <c r="B947" t="s">
        <v>2586</v>
      </c>
      <c r="C947" t="s">
        <v>2587</v>
      </c>
      <c r="E947">
        <v>57</v>
      </c>
      <c r="F947">
        <v>0</v>
      </c>
      <c r="G947">
        <v>12</v>
      </c>
      <c r="H947">
        <v>12</v>
      </c>
      <c r="J947" t="s">
        <v>22</v>
      </c>
      <c r="K947" t="b">
        <v>1</v>
      </c>
      <c r="L947">
        <f t="shared" si="14"/>
        <v>69</v>
      </c>
      <c r="M947">
        <f t="shared" si="14"/>
        <v>12</v>
      </c>
      <c r="N947" t="b">
        <v>0</v>
      </c>
      <c r="O947">
        <v>1</v>
      </c>
      <c r="P947" t="s">
        <v>2588</v>
      </c>
      <c r="Q947">
        <v>2</v>
      </c>
      <c r="R947" t="b">
        <v>1</v>
      </c>
    </row>
    <row r="948" spans="1:18">
      <c r="A948" t="s">
        <v>235</v>
      </c>
      <c r="B948" t="s">
        <v>2589</v>
      </c>
      <c r="C948" t="s">
        <v>2590</v>
      </c>
      <c r="E948">
        <v>48</v>
      </c>
      <c r="F948">
        <v>295</v>
      </c>
      <c r="G948">
        <v>21</v>
      </c>
      <c r="H948">
        <v>209</v>
      </c>
      <c r="J948" t="s">
        <v>22</v>
      </c>
      <c r="K948" t="b">
        <v>1</v>
      </c>
      <c r="L948">
        <f t="shared" si="14"/>
        <v>69</v>
      </c>
      <c r="M948">
        <f t="shared" si="14"/>
        <v>504</v>
      </c>
      <c r="N948" t="b">
        <v>0</v>
      </c>
      <c r="O948">
        <v>1</v>
      </c>
      <c r="P948" t="s">
        <v>2591</v>
      </c>
      <c r="Q948">
        <v>2</v>
      </c>
      <c r="R948" t="b">
        <v>1</v>
      </c>
    </row>
    <row r="949" spans="1:18">
      <c r="A949" t="s">
        <v>857</v>
      </c>
      <c r="B949" t="s">
        <v>2592</v>
      </c>
      <c r="C949" t="s">
        <v>2593</v>
      </c>
      <c r="E949">
        <v>43</v>
      </c>
      <c r="F949">
        <v>150</v>
      </c>
      <c r="G949">
        <v>26</v>
      </c>
      <c r="H949">
        <v>59</v>
      </c>
      <c r="J949" t="s">
        <v>22</v>
      </c>
      <c r="K949" t="b">
        <v>1</v>
      </c>
      <c r="L949">
        <f t="shared" si="14"/>
        <v>69</v>
      </c>
      <c r="M949">
        <f t="shared" si="14"/>
        <v>209</v>
      </c>
      <c r="N949" t="b">
        <v>0</v>
      </c>
      <c r="O949">
        <v>1</v>
      </c>
      <c r="P949" t="s">
        <v>2594</v>
      </c>
      <c r="Q949">
        <v>2</v>
      </c>
      <c r="R949" t="b">
        <v>1</v>
      </c>
    </row>
    <row r="950" spans="1:18">
      <c r="A950" t="s">
        <v>205</v>
      </c>
      <c r="B950" t="s">
        <v>2595</v>
      </c>
      <c r="C950" t="s">
        <v>2596</v>
      </c>
      <c r="E950">
        <v>49</v>
      </c>
      <c r="F950">
        <v>820</v>
      </c>
      <c r="G950">
        <v>20</v>
      </c>
      <c r="H950">
        <v>59</v>
      </c>
      <c r="J950" t="s">
        <v>22</v>
      </c>
      <c r="K950" t="b">
        <v>1</v>
      </c>
      <c r="L950">
        <f t="shared" si="14"/>
        <v>69</v>
      </c>
      <c r="M950">
        <f t="shared" si="14"/>
        <v>879</v>
      </c>
      <c r="N950" t="b">
        <v>0</v>
      </c>
      <c r="O950">
        <v>1</v>
      </c>
      <c r="P950" t="s">
        <v>1946</v>
      </c>
      <c r="Q950">
        <v>2</v>
      </c>
      <c r="R950" t="b">
        <v>1</v>
      </c>
    </row>
    <row r="951" spans="1:18">
      <c r="A951" t="s">
        <v>205</v>
      </c>
      <c r="B951" t="s">
        <v>2597</v>
      </c>
      <c r="C951" t="s">
        <v>2598</v>
      </c>
      <c r="E951">
        <v>31</v>
      </c>
      <c r="F951">
        <v>329</v>
      </c>
      <c r="G951">
        <v>38</v>
      </c>
      <c r="H951">
        <v>80</v>
      </c>
      <c r="J951" t="s">
        <v>22</v>
      </c>
      <c r="K951" t="b">
        <v>1</v>
      </c>
      <c r="L951">
        <f t="shared" si="14"/>
        <v>69</v>
      </c>
      <c r="M951">
        <f t="shared" si="14"/>
        <v>409</v>
      </c>
      <c r="N951" t="b">
        <v>0</v>
      </c>
      <c r="O951">
        <v>1</v>
      </c>
      <c r="P951" t="s">
        <v>2262</v>
      </c>
      <c r="Q951">
        <v>2</v>
      </c>
      <c r="R951" t="b">
        <v>1</v>
      </c>
    </row>
    <row r="952" spans="1:18">
      <c r="A952" t="s">
        <v>438</v>
      </c>
      <c r="B952" t="s">
        <v>2599</v>
      </c>
      <c r="C952" t="s">
        <v>2600</v>
      </c>
      <c r="E952">
        <v>48</v>
      </c>
      <c r="F952">
        <v>504</v>
      </c>
      <c r="G952">
        <v>20</v>
      </c>
      <c r="H952">
        <v>259</v>
      </c>
      <c r="J952" t="s">
        <v>22</v>
      </c>
      <c r="K952" t="b">
        <v>1</v>
      </c>
      <c r="L952">
        <f t="shared" si="14"/>
        <v>68</v>
      </c>
      <c r="M952">
        <f t="shared" si="14"/>
        <v>763</v>
      </c>
      <c r="N952" t="b">
        <v>0</v>
      </c>
      <c r="O952">
        <v>1</v>
      </c>
      <c r="P952" t="s">
        <v>2601</v>
      </c>
      <c r="Q952">
        <v>2</v>
      </c>
      <c r="R952" t="b">
        <v>1</v>
      </c>
    </row>
    <row r="953" spans="1:18">
      <c r="A953" t="s">
        <v>1191</v>
      </c>
      <c r="B953" t="s">
        <v>2602</v>
      </c>
      <c r="C953" t="s">
        <v>2603</v>
      </c>
      <c r="E953">
        <v>43</v>
      </c>
      <c r="F953">
        <v>291</v>
      </c>
      <c r="G953">
        <v>25</v>
      </c>
      <c r="H953">
        <v>187</v>
      </c>
      <c r="J953" t="s">
        <v>22</v>
      </c>
      <c r="K953" t="b">
        <v>1</v>
      </c>
      <c r="L953">
        <f t="shared" si="14"/>
        <v>68</v>
      </c>
      <c r="M953">
        <f t="shared" si="14"/>
        <v>478</v>
      </c>
      <c r="N953" t="b">
        <v>0</v>
      </c>
      <c r="O953">
        <v>1</v>
      </c>
      <c r="P953" t="s">
        <v>2604</v>
      </c>
      <c r="Q953">
        <v>2</v>
      </c>
      <c r="R953" t="b">
        <v>1</v>
      </c>
    </row>
    <row r="954" spans="1:18" hidden="1">
      <c r="A954" t="s">
        <v>1224</v>
      </c>
      <c r="B954" t="s">
        <v>2605</v>
      </c>
      <c r="C954" t="s">
        <v>2606</v>
      </c>
      <c r="E954">
        <v>41</v>
      </c>
      <c r="F954">
        <v>992</v>
      </c>
      <c r="G954">
        <v>27</v>
      </c>
      <c r="H954">
        <v>512</v>
      </c>
      <c r="J954" t="s">
        <v>93</v>
      </c>
      <c r="K954" t="b">
        <v>1</v>
      </c>
      <c r="L954">
        <f t="shared" si="14"/>
        <v>68</v>
      </c>
      <c r="M954">
        <f t="shared" si="14"/>
        <v>1504</v>
      </c>
      <c r="N954" t="b">
        <v>0</v>
      </c>
      <c r="O954">
        <v>0</v>
      </c>
      <c r="Q954">
        <v>0</v>
      </c>
      <c r="R954" t="b">
        <v>0</v>
      </c>
    </row>
    <row r="955" spans="1:18">
      <c r="A955" t="s">
        <v>59</v>
      </c>
      <c r="B955" t="s">
        <v>2607</v>
      </c>
      <c r="C955" t="s">
        <v>2608</v>
      </c>
      <c r="E955">
        <v>41</v>
      </c>
      <c r="F955">
        <v>481</v>
      </c>
      <c r="G955">
        <v>27</v>
      </c>
      <c r="H955">
        <v>183</v>
      </c>
      <c r="J955" t="s">
        <v>22</v>
      </c>
      <c r="K955" t="b">
        <v>1</v>
      </c>
      <c r="L955">
        <f t="shared" si="14"/>
        <v>68</v>
      </c>
      <c r="M955">
        <f t="shared" si="14"/>
        <v>664</v>
      </c>
      <c r="N955" t="b">
        <v>0</v>
      </c>
      <c r="O955">
        <v>1</v>
      </c>
      <c r="P955" t="s">
        <v>2609</v>
      </c>
      <c r="Q955">
        <v>2</v>
      </c>
      <c r="R955" t="b">
        <v>1</v>
      </c>
    </row>
    <row r="956" spans="1:18">
      <c r="A956" t="s">
        <v>192</v>
      </c>
      <c r="B956" t="s">
        <v>2610</v>
      </c>
      <c r="C956" t="s">
        <v>2611</v>
      </c>
      <c r="E956">
        <v>55</v>
      </c>
      <c r="F956">
        <v>2</v>
      </c>
      <c r="G956">
        <v>13</v>
      </c>
      <c r="H956">
        <v>13</v>
      </c>
      <c r="J956" t="s">
        <v>22</v>
      </c>
      <c r="K956" t="b">
        <v>1</v>
      </c>
      <c r="L956">
        <f t="shared" si="14"/>
        <v>68</v>
      </c>
      <c r="M956">
        <f t="shared" si="14"/>
        <v>15</v>
      </c>
      <c r="N956" t="b">
        <v>0</v>
      </c>
      <c r="O956">
        <v>1</v>
      </c>
      <c r="P956" t="s">
        <v>2612</v>
      </c>
      <c r="Q956">
        <v>2</v>
      </c>
      <c r="R956" t="b">
        <v>1</v>
      </c>
    </row>
    <row r="957" spans="1:18">
      <c r="A957" t="s">
        <v>87</v>
      </c>
      <c r="B957" t="s">
        <v>2613</v>
      </c>
      <c r="C957" t="s">
        <v>2614</v>
      </c>
      <c r="E957">
        <v>57</v>
      </c>
      <c r="F957">
        <v>1102</v>
      </c>
      <c r="G957">
        <v>11</v>
      </c>
      <c r="H957">
        <v>75</v>
      </c>
      <c r="J957" t="s">
        <v>22</v>
      </c>
      <c r="K957" t="b">
        <v>1</v>
      </c>
      <c r="L957">
        <f t="shared" si="14"/>
        <v>68</v>
      </c>
      <c r="M957">
        <f t="shared" si="14"/>
        <v>1177</v>
      </c>
      <c r="N957" t="b">
        <v>0</v>
      </c>
      <c r="O957">
        <v>1</v>
      </c>
      <c r="P957" t="s">
        <v>2615</v>
      </c>
      <c r="Q957">
        <v>2</v>
      </c>
      <c r="R957" t="b">
        <v>1</v>
      </c>
    </row>
    <row r="958" spans="1:18">
      <c r="A958" t="s">
        <v>1224</v>
      </c>
      <c r="B958" t="s">
        <v>2616</v>
      </c>
      <c r="C958" t="s">
        <v>2617</v>
      </c>
      <c r="E958">
        <v>51</v>
      </c>
      <c r="F958">
        <v>1140</v>
      </c>
      <c r="G958">
        <v>16</v>
      </c>
      <c r="H958">
        <v>138</v>
      </c>
      <c r="J958" t="s">
        <v>22</v>
      </c>
      <c r="K958" t="b">
        <v>1</v>
      </c>
      <c r="L958">
        <f t="shared" si="14"/>
        <v>67</v>
      </c>
      <c r="M958">
        <f t="shared" si="14"/>
        <v>1278</v>
      </c>
      <c r="N958" t="b">
        <v>0</v>
      </c>
      <c r="O958">
        <v>1</v>
      </c>
      <c r="P958" t="s">
        <v>2618</v>
      </c>
      <c r="Q958">
        <v>2</v>
      </c>
      <c r="R958" t="b">
        <v>1</v>
      </c>
    </row>
    <row r="959" spans="1:18">
      <c r="A959" t="s">
        <v>24</v>
      </c>
      <c r="B959" t="s">
        <v>2619</v>
      </c>
      <c r="C959" t="s">
        <v>2620</v>
      </c>
      <c r="E959">
        <v>35</v>
      </c>
      <c r="F959">
        <v>98</v>
      </c>
      <c r="G959">
        <v>32</v>
      </c>
      <c r="H959">
        <v>49</v>
      </c>
      <c r="J959" t="s">
        <v>22</v>
      </c>
      <c r="K959" t="b">
        <v>1</v>
      </c>
      <c r="L959">
        <f t="shared" si="14"/>
        <v>67</v>
      </c>
      <c r="M959">
        <f t="shared" si="14"/>
        <v>147</v>
      </c>
      <c r="N959" t="b">
        <v>0</v>
      </c>
      <c r="O959">
        <v>1</v>
      </c>
      <c r="P959" t="s">
        <v>2621</v>
      </c>
      <c r="Q959">
        <v>2</v>
      </c>
      <c r="R959" t="b">
        <v>1</v>
      </c>
    </row>
    <row r="960" spans="1:18" hidden="1">
      <c r="A960" t="s">
        <v>1424</v>
      </c>
      <c r="B960" t="s">
        <v>2622</v>
      </c>
      <c r="C960" t="s">
        <v>2623</v>
      </c>
      <c r="E960">
        <v>31</v>
      </c>
      <c r="F960">
        <v>669</v>
      </c>
      <c r="G960">
        <v>36</v>
      </c>
      <c r="H960">
        <v>337</v>
      </c>
      <c r="J960" t="s">
        <v>93</v>
      </c>
      <c r="K960" t="b">
        <v>0</v>
      </c>
      <c r="L960">
        <f t="shared" si="14"/>
        <v>67</v>
      </c>
      <c r="M960">
        <f t="shared" si="14"/>
        <v>1006</v>
      </c>
      <c r="N960" t="b">
        <v>0</v>
      </c>
      <c r="O960">
        <v>0</v>
      </c>
      <c r="Q960">
        <v>0</v>
      </c>
      <c r="R960" t="b">
        <v>0</v>
      </c>
    </row>
    <row r="961" spans="1:18" hidden="1">
      <c r="A961" t="s">
        <v>1424</v>
      </c>
      <c r="B961" t="s">
        <v>2624</v>
      </c>
      <c r="C961" t="s">
        <v>2625</v>
      </c>
      <c r="E961">
        <v>31</v>
      </c>
      <c r="F961">
        <v>669</v>
      </c>
      <c r="G961">
        <v>36</v>
      </c>
      <c r="H961">
        <v>337</v>
      </c>
      <c r="J961" t="s">
        <v>93</v>
      </c>
      <c r="K961" t="b">
        <v>0</v>
      </c>
      <c r="L961">
        <f t="shared" si="14"/>
        <v>67</v>
      </c>
      <c r="M961">
        <f t="shared" si="14"/>
        <v>1006</v>
      </c>
      <c r="N961" t="b">
        <v>0</v>
      </c>
      <c r="O961">
        <v>0</v>
      </c>
      <c r="Q961">
        <v>0</v>
      </c>
      <c r="R961" t="b">
        <v>0</v>
      </c>
    </row>
    <row r="962" spans="1:18" hidden="1">
      <c r="A962" t="s">
        <v>1424</v>
      </c>
      <c r="B962" t="s">
        <v>2626</v>
      </c>
      <c r="C962" t="s">
        <v>2627</v>
      </c>
      <c r="E962">
        <v>31</v>
      </c>
      <c r="F962">
        <v>669</v>
      </c>
      <c r="G962">
        <v>36</v>
      </c>
      <c r="H962">
        <v>337</v>
      </c>
      <c r="J962" t="s">
        <v>93</v>
      </c>
      <c r="K962" t="b">
        <v>0</v>
      </c>
      <c r="L962">
        <f t="shared" si="14"/>
        <v>67</v>
      </c>
      <c r="M962">
        <f t="shared" si="14"/>
        <v>1006</v>
      </c>
      <c r="N962" t="b">
        <v>0</v>
      </c>
      <c r="O962">
        <v>0</v>
      </c>
      <c r="Q962">
        <v>0</v>
      </c>
      <c r="R962" t="b">
        <v>0</v>
      </c>
    </row>
    <row r="963" spans="1:18" hidden="1">
      <c r="A963" t="s">
        <v>1424</v>
      </c>
      <c r="B963" t="s">
        <v>2628</v>
      </c>
      <c r="C963" t="s">
        <v>2629</v>
      </c>
      <c r="E963">
        <v>41</v>
      </c>
      <c r="F963">
        <v>159</v>
      </c>
      <c r="G963">
        <v>26</v>
      </c>
      <c r="H963">
        <v>266</v>
      </c>
      <c r="J963" t="s">
        <v>93</v>
      </c>
      <c r="K963" t="b">
        <v>0</v>
      </c>
      <c r="L963">
        <f t="shared" ref="L963:M1026" si="15">E963+G963</f>
        <v>67</v>
      </c>
      <c r="M963">
        <f t="shared" si="15"/>
        <v>425</v>
      </c>
      <c r="N963" t="b">
        <v>0</v>
      </c>
      <c r="O963">
        <v>0</v>
      </c>
      <c r="Q963">
        <v>0</v>
      </c>
      <c r="R963" t="b">
        <v>0</v>
      </c>
    </row>
    <row r="964" spans="1:18" hidden="1">
      <c r="A964" t="s">
        <v>2477</v>
      </c>
      <c r="B964" t="s">
        <v>2630</v>
      </c>
      <c r="C964" t="s">
        <v>2631</v>
      </c>
      <c r="E964">
        <v>29</v>
      </c>
      <c r="F964">
        <v>126</v>
      </c>
      <c r="G964">
        <v>38</v>
      </c>
      <c r="H964">
        <v>97</v>
      </c>
      <c r="J964" t="s">
        <v>93</v>
      </c>
      <c r="K964" t="b">
        <v>0</v>
      </c>
      <c r="L964">
        <f t="shared" si="15"/>
        <v>67</v>
      </c>
      <c r="M964">
        <f t="shared" si="15"/>
        <v>223</v>
      </c>
      <c r="N964" t="b">
        <v>0</v>
      </c>
      <c r="O964">
        <v>0</v>
      </c>
      <c r="Q964">
        <v>0</v>
      </c>
      <c r="R964" t="b">
        <v>0</v>
      </c>
    </row>
    <row r="965" spans="1:18">
      <c r="A965" t="s">
        <v>1334</v>
      </c>
      <c r="B965" t="s">
        <v>2632</v>
      </c>
      <c r="C965" t="s">
        <v>2633</v>
      </c>
      <c r="E965">
        <v>44</v>
      </c>
      <c r="F965">
        <v>302</v>
      </c>
      <c r="G965">
        <v>23</v>
      </c>
      <c r="H965">
        <v>147</v>
      </c>
      <c r="J965" t="s">
        <v>22</v>
      </c>
      <c r="K965" t="b">
        <v>1</v>
      </c>
      <c r="L965">
        <f t="shared" si="15"/>
        <v>67</v>
      </c>
      <c r="M965">
        <f t="shared" si="15"/>
        <v>449</v>
      </c>
      <c r="N965" t="b">
        <v>0</v>
      </c>
      <c r="O965">
        <v>1</v>
      </c>
      <c r="P965" t="s">
        <v>2634</v>
      </c>
      <c r="Q965">
        <v>1</v>
      </c>
      <c r="R965" t="b">
        <v>1</v>
      </c>
    </row>
    <row r="966" spans="1:18">
      <c r="A966" t="s">
        <v>1224</v>
      </c>
      <c r="B966" t="s">
        <v>2635</v>
      </c>
      <c r="C966" t="s">
        <v>2636</v>
      </c>
      <c r="E966">
        <v>49</v>
      </c>
      <c r="F966">
        <v>1153</v>
      </c>
      <c r="G966">
        <v>17</v>
      </c>
      <c r="H966">
        <v>126</v>
      </c>
      <c r="J966" t="s">
        <v>22</v>
      </c>
      <c r="K966" t="b">
        <v>1</v>
      </c>
      <c r="L966">
        <f t="shared" si="15"/>
        <v>66</v>
      </c>
      <c r="M966">
        <f t="shared" si="15"/>
        <v>1279</v>
      </c>
      <c r="N966" t="b">
        <v>0</v>
      </c>
      <c r="O966">
        <v>1</v>
      </c>
      <c r="P966" t="s">
        <v>2637</v>
      </c>
      <c r="Q966">
        <v>2</v>
      </c>
      <c r="R966" t="b">
        <v>1</v>
      </c>
    </row>
    <row r="967" spans="1:18">
      <c r="A967" t="s">
        <v>24</v>
      </c>
      <c r="B967" t="s">
        <v>2638</v>
      </c>
      <c r="C967" t="s">
        <v>2639</v>
      </c>
      <c r="E967">
        <v>45</v>
      </c>
      <c r="F967">
        <v>342</v>
      </c>
      <c r="G967">
        <v>21</v>
      </c>
      <c r="H967">
        <v>133</v>
      </c>
      <c r="J967" t="s">
        <v>22</v>
      </c>
      <c r="K967" t="b">
        <v>1</v>
      </c>
      <c r="L967">
        <f t="shared" si="15"/>
        <v>66</v>
      </c>
      <c r="M967">
        <f t="shared" si="15"/>
        <v>475</v>
      </c>
      <c r="N967" t="b">
        <v>0</v>
      </c>
      <c r="O967">
        <v>1</v>
      </c>
      <c r="P967" t="s">
        <v>2640</v>
      </c>
      <c r="Q967">
        <v>2</v>
      </c>
      <c r="R967" t="b">
        <v>1</v>
      </c>
    </row>
    <row r="968" spans="1:18" hidden="1">
      <c r="A968" t="s">
        <v>790</v>
      </c>
      <c r="B968" t="s">
        <v>2641</v>
      </c>
      <c r="C968" t="s">
        <v>2642</v>
      </c>
      <c r="E968">
        <v>46</v>
      </c>
      <c r="F968">
        <v>209</v>
      </c>
      <c r="G968">
        <v>20</v>
      </c>
      <c r="H968">
        <v>70</v>
      </c>
      <c r="J968" t="s">
        <v>93</v>
      </c>
      <c r="K968" t="b">
        <v>0</v>
      </c>
      <c r="L968">
        <f t="shared" si="15"/>
        <v>66</v>
      </c>
      <c r="M968">
        <f t="shared" si="15"/>
        <v>279</v>
      </c>
      <c r="N968" t="b">
        <v>0</v>
      </c>
      <c r="O968">
        <v>0</v>
      </c>
      <c r="Q968">
        <v>0</v>
      </c>
      <c r="R968" t="b">
        <v>0</v>
      </c>
    </row>
    <row r="969" spans="1:18">
      <c r="A969" t="s">
        <v>1143</v>
      </c>
      <c r="B969" t="s">
        <v>2643</v>
      </c>
      <c r="C969" t="s">
        <v>2644</v>
      </c>
      <c r="E969">
        <v>0</v>
      </c>
      <c r="F969">
        <v>0</v>
      </c>
      <c r="G969">
        <v>66</v>
      </c>
      <c r="H969">
        <v>371</v>
      </c>
      <c r="J969" t="s">
        <v>22</v>
      </c>
      <c r="K969" t="b">
        <v>1</v>
      </c>
      <c r="L969">
        <f t="shared" si="15"/>
        <v>66</v>
      </c>
      <c r="M969">
        <f t="shared" si="15"/>
        <v>371</v>
      </c>
      <c r="N969" t="b">
        <v>0</v>
      </c>
      <c r="O969">
        <v>1</v>
      </c>
      <c r="P969" t="s">
        <v>2645</v>
      </c>
      <c r="Q969">
        <v>2</v>
      </c>
      <c r="R969" t="b">
        <v>1</v>
      </c>
    </row>
    <row r="970" spans="1:18">
      <c r="A970" t="s">
        <v>1782</v>
      </c>
      <c r="B970" t="s">
        <v>2646</v>
      </c>
      <c r="C970" t="s">
        <v>2647</v>
      </c>
      <c r="E970">
        <v>66</v>
      </c>
      <c r="F970">
        <v>103</v>
      </c>
      <c r="G970">
        <v>0</v>
      </c>
      <c r="H970">
        <v>0</v>
      </c>
      <c r="J970" t="s">
        <v>22</v>
      </c>
      <c r="K970" t="b">
        <v>1</v>
      </c>
      <c r="L970">
        <f t="shared" si="15"/>
        <v>66</v>
      </c>
      <c r="M970">
        <f t="shared" si="15"/>
        <v>103</v>
      </c>
      <c r="N970" t="b">
        <v>0</v>
      </c>
      <c r="O970">
        <v>1</v>
      </c>
      <c r="P970" t="s">
        <v>2648</v>
      </c>
      <c r="Q970">
        <v>2</v>
      </c>
      <c r="R970" t="b">
        <v>1</v>
      </c>
    </row>
    <row r="971" spans="1:18">
      <c r="A971" t="s">
        <v>261</v>
      </c>
      <c r="B971" t="s">
        <v>2649</v>
      </c>
      <c r="C971" t="s">
        <v>2650</v>
      </c>
      <c r="E971">
        <v>57</v>
      </c>
      <c r="F971">
        <v>89</v>
      </c>
      <c r="G971">
        <v>8</v>
      </c>
      <c r="H971">
        <v>10</v>
      </c>
      <c r="J971" t="s">
        <v>22</v>
      </c>
      <c r="K971" t="b">
        <v>1</v>
      </c>
      <c r="L971">
        <f t="shared" si="15"/>
        <v>65</v>
      </c>
      <c r="M971">
        <f t="shared" si="15"/>
        <v>99</v>
      </c>
      <c r="N971" t="b">
        <v>0</v>
      </c>
      <c r="O971">
        <v>1</v>
      </c>
      <c r="P971" t="s">
        <v>2651</v>
      </c>
      <c r="Q971">
        <v>1</v>
      </c>
      <c r="R971" t="b">
        <v>1</v>
      </c>
    </row>
    <row r="972" spans="1:18">
      <c r="A972" t="s">
        <v>1224</v>
      </c>
      <c r="B972" t="s">
        <v>2652</v>
      </c>
      <c r="C972" t="s">
        <v>2653</v>
      </c>
      <c r="E972">
        <v>48</v>
      </c>
      <c r="F972">
        <v>1141</v>
      </c>
      <c r="G972">
        <v>17</v>
      </c>
      <c r="H972">
        <v>126</v>
      </c>
      <c r="J972" t="s">
        <v>22</v>
      </c>
      <c r="K972" t="b">
        <v>1</v>
      </c>
      <c r="L972">
        <f t="shared" si="15"/>
        <v>65</v>
      </c>
      <c r="M972">
        <f t="shared" si="15"/>
        <v>1267</v>
      </c>
      <c r="N972" t="b">
        <v>0</v>
      </c>
      <c r="O972">
        <v>1</v>
      </c>
      <c r="P972" t="s">
        <v>2654</v>
      </c>
      <c r="Q972">
        <v>2</v>
      </c>
      <c r="R972" t="b">
        <v>1</v>
      </c>
    </row>
    <row r="973" spans="1:18">
      <c r="A973" t="s">
        <v>24</v>
      </c>
      <c r="B973" t="s">
        <v>2655</v>
      </c>
      <c r="C973" t="s">
        <v>2656</v>
      </c>
      <c r="E973">
        <v>38</v>
      </c>
      <c r="F973">
        <v>896</v>
      </c>
      <c r="G973">
        <v>27</v>
      </c>
      <c r="H973">
        <v>1000</v>
      </c>
      <c r="J973" t="s">
        <v>22</v>
      </c>
      <c r="K973" t="b">
        <v>1</v>
      </c>
      <c r="L973">
        <f t="shared" si="15"/>
        <v>65</v>
      </c>
      <c r="M973">
        <f t="shared" si="15"/>
        <v>1896</v>
      </c>
      <c r="N973" t="b">
        <v>0</v>
      </c>
      <c r="O973">
        <v>1</v>
      </c>
      <c r="P973" t="s">
        <v>2657</v>
      </c>
      <c r="Q973">
        <v>2</v>
      </c>
      <c r="R973" t="b">
        <v>1</v>
      </c>
    </row>
    <row r="974" spans="1:18">
      <c r="A974" t="s">
        <v>205</v>
      </c>
      <c r="B974" t="s">
        <v>2658</v>
      </c>
      <c r="C974" t="s">
        <v>2659</v>
      </c>
      <c r="E974">
        <v>51</v>
      </c>
      <c r="F974">
        <v>151</v>
      </c>
      <c r="G974">
        <v>14</v>
      </c>
      <c r="H974">
        <v>959</v>
      </c>
      <c r="J974" t="s">
        <v>22</v>
      </c>
      <c r="K974" t="b">
        <v>1</v>
      </c>
      <c r="L974">
        <f t="shared" si="15"/>
        <v>65</v>
      </c>
      <c r="M974">
        <f t="shared" si="15"/>
        <v>1110</v>
      </c>
      <c r="N974" t="b">
        <v>0</v>
      </c>
      <c r="O974">
        <v>1</v>
      </c>
      <c r="P974" t="s">
        <v>1392</v>
      </c>
      <c r="Q974">
        <v>2</v>
      </c>
      <c r="R974" t="b">
        <v>1</v>
      </c>
    </row>
    <row r="975" spans="1:18" hidden="1">
      <c r="A975" t="s">
        <v>2477</v>
      </c>
      <c r="B975" t="s">
        <v>2660</v>
      </c>
      <c r="C975" t="s">
        <v>2661</v>
      </c>
      <c r="E975">
        <v>27</v>
      </c>
      <c r="F975">
        <v>128</v>
      </c>
      <c r="G975">
        <v>38</v>
      </c>
      <c r="H975">
        <v>93</v>
      </c>
      <c r="J975" t="s">
        <v>93</v>
      </c>
      <c r="K975" t="b">
        <v>0</v>
      </c>
      <c r="L975">
        <f t="shared" si="15"/>
        <v>65</v>
      </c>
      <c r="M975">
        <f t="shared" si="15"/>
        <v>221</v>
      </c>
      <c r="N975" t="b">
        <v>0</v>
      </c>
      <c r="O975">
        <v>0</v>
      </c>
      <c r="Q975">
        <v>0</v>
      </c>
      <c r="R975" t="b">
        <v>0</v>
      </c>
    </row>
    <row r="976" spans="1:18" hidden="1">
      <c r="A976" t="s">
        <v>2540</v>
      </c>
      <c r="B976" t="s">
        <v>2662</v>
      </c>
      <c r="C976" t="s">
        <v>2663</v>
      </c>
      <c r="E976">
        <v>35</v>
      </c>
      <c r="F976">
        <v>130</v>
      </c>
      <c r="G976">
        <v>30</v>
      </c>
      <c r="H976">
        <v>49</v>
      </c>
      <c r="J976" t="s">
        <v>93</v>
      </c>
      <c r="K976" t="b">
        <v>0</v>
      </c>
      <c r="L976">
        <f t="shared" si="15"/>
        <v>65</v>
      </c>
      <c r="M976">
        <f t="shared" si="15"/>
        <v>179</v>
      </c>
      <c r="N976" t="b">
        <v>0</v>
      </c>
      <c r="O976">
        <v>0</v>
      </c>
      <c r="Q976">
        <v>0</v>
      </c>
      <c r="R976" t="b">
        <v>0</v>
      </c>
    </row>
    <row r="977" spans="1:18">
      <c r="A977" t="s">
        <v>274</v>
      </c>
      <c r="B977" t="s">
        <v>2664</v>
      </c>
      <c r="C977" t="s">
        <v>2665</v>
      </c>
      <c r="E977">
        <v>57</v>
      </c>
      <c r="F977">
        <v>89</v>
      </c>
      <c r="G977">
        <v>8</v>
      </c>
      <c r="H977">
        <v>10</v>
      </c>
      <c r="J977" t="s">
        <v>22</v>
      </c>
      <c r="K977" t="b">
        <v>1</v>
      </c>
      <c r="L977">
        <f t="shared" si="15"/>
        <v>65</v>
      </c>
      <c r="M977">
        <f t="shared" si="15"/>
        <v>99</v>
      </c>
      <c r="N977" t="b">
        <v>0</v>
      </c>
      <c r="O977">
        <v>1</v>
      </c>
      <c r="P977" t="s">
        <v>2651</v>
      </c>
      <c r="Q977">
        <v>1</v>
      </c>
      <c r="R977" t="b">
        <v>1</v>
      </c>
    </row>
    <row r="978" spans="1:18">
      <c r="A978" t="s">
        <v>192</v>
      </c>
      <c r="B978" t="s">
        <v>2666</v>
      </c>
      <c r="C978" t="s">
        <v>2667</v>
      </c>
      <c r="E978">
        <v>38</v>
      </c>
      <c r="F978">
        <v>896</v>
      </c>
      <c r="G978">
        <v>27</v>
      </c>
      <c r="H978">
        <v>1000</v>
      </c>
      <c r="J978" t="s">
        <v>22</v>
      </c>
      <c r="K978" t="b">
        <v>1</v>
      </c>
      <c r="L978">
        <f t="shared" si="15"/>
        <v>65</v>
      </c>
      <c r="M978">
        <f t="shared" si="15"/>
        <v>1896</v>
      </c>
      <c r="N978" t="b">
        <v>0</v>
      </c>
      <c r="O978">
        <v>1</v>
      </c>
      <c r="P978" t="s">
        <v>2668</v>
      </c>
      <c r="Q978">
        <v>2</v>
      </c>
      <c r="R978" t="b">
        <v>1</v>
      </c>
    </row>
    <row r="979" spans="1:18">
      <c r="A979" t="s">
        <v>1224</v>
      </c>
      <c r="B979" t="s">
        <v>2669</v>
      </c>
      <c r="C979" t="s">
        <v>2670</v>
      </c>
      <c r="E979">
        <v>46</v>
      </c>
      <c r="F979">
        <v>1430</v>
      </c>
      <c r="G979">
        <v>18</v>
      </c>
      <c r="H979">
        <v>130</v>
      </c>
      <c r="J979" t="s">
        <v>22</v>
      </c>
      <c r="K979" t="b">
        <v>1</v>
      </c>
      <c r="L979">
        <f t="shared" si="15"/>
        <v>64</v>
      </c>
      <c r="M979">
        <f t="shared" si="15"/>
        <v>1560</v>
      </c>
      <c r="N979" t="b">
        <v>0</v>
      </c>
      <c r="O979">
        <v>1</v>
      </c>
      <c r="P979" t="s">
        <v>2671</v>
      </c>
      <c r="Q979">
        <v>2</v>
      </c>
      <c r="R979" t="b">
        <v>1</v>
      </c>
    </row>
    <row r="980" spans="1:18" hidden="1">
      <c r="A980" t="s">
        <v>1304</v>
      </c>
      <c r="B980" t="s">
        <v>2672</v>
      </c>
      <c r="C980" t="s">
        <v>2673</v>
      </c>
      <c r="E980">
        <v>38</v>
      </c>
      <c r="F980">
        <v>715</v>
      </c>
      <c r="G980">
        <v>26</v>
      </c>
      <c r="H980">
        <v>217</v>
      </c>
      <c r="J980" t="s">
        <v>93</v>
      </c>
      <c r="K980" t="b">
        <v>0</v>
      </c>
      <c r="L980">
        <f t="shared" si="15"/>
        <v>64</v>
      </c>
      <c r="M980">
        <f t="shared" si="15"/>
        <v>932</v>
      </c>
      <c r="N980" t="b">
        <v>0</v>
      </c>
      <c r="O980">
        <v>0</v>
      </c>
      <c r="Q980">
        <v>0</v>
      </c>
      <c r="R980" t="b">
        <v>0</v>
      </c>
    </row>
    <row r="981" spans="1:18" hidden="1">
      <c r="A981" t="s">
        <v>192</v>
      </c>
      <c r="B981" t="s">
        <v>2674</v>
      </c>
      <c r="C981" t="s">
        <v>2675</v>
      </c>
      <c r="E981">
        <v>38</v>
      </c>
      <c r="F981">
        <v>715</v>
      </c>
      <c r="G981">
        <v>26</v>
      </c>
      <c r="H981">
        <v>217</v>
      </c>
      <c r="J981" t="s">
        <v>93</v>
      </c>
      <c r="K981" t="b">
        <v>1</v>
      </c>
      <c r="L981">
        <f t="shared" si="15"/>
        <v>64</v>
      </c>
      <c r="M981">
        <f t="shared" si="15"/>
        <v>932</v>
      </c>
      <c r="N981" t="b">
        <v>0</v>
      </c>
      <c r="O981">
        <v>0</v>
      </c>
      <c r="Q981">
        <v>0</v>
      </c>
      <c r="R981" t="b">
        <v>0</v>
      </c>
    </row>
    <row r="982" spans="1:18">
      <c r="A982" t="s">
        <v>192</v>
      </c>
      <c r="B982" t="s">
        <v>2676</v>
      </c>
      <c r="C982" t="s">
        <v>2677</v>
      </c>
      <c r="E982">
        <v>64</v>
      </c>
      <c r="F982">
        <v>0</v>
      </c>
      <c r="G982">
        <v>0</v>
      </c>
      <c r="H982">
        <v>0</v>
      </c>
      <c r="J982" t="s">
        <v>22</v>
      </c>
      <c r="K982" t="b">
        <v>1</v>
      </c>
      <c r="L982">
        <f t="shared" si="15"/>
        <v>64</v>
      </c>
      <c r="M982">
        <f t="shared" si="15"/>
        <v>0</v>
      </c>
      <c r="N982" t="b">
        <v>0</v>
      </c>
      <c r="O982">
        <v>1</v>
      </c>
      <c r="P982" t="s">
        <v>2678</v>
      </c>
      <c r="Q982">
        <v>2</v>
      </c>
      <c r="R982" t="b">
        <v>1</v>
      </c>
    </row>
    <row r="983" spans="1:18">
      <c r="A983" t="s">
        <v>274</v>
      </c>
      <c r="B983" t="s">
        <v>2679</v>
      </c>
      <c r="C983" t="s">
        <v>2680</v>
      </c>
      <c r="E983">
        <v>54</v>
      </c>
      <c r="F983">
        <v>6</v>
      </c>
      <c r="G983">
        <v>9</v>
      </c>
      <c r="H983">
        <v>11</v>
      </c>
      <c r="J983" t="s">
        <v>22</v>
      </c>
      <c r="K983" t="b">
        <v>1</v>
      </c>
      <c r="L983">
        <f t="shared" si="15"/>
        <v>63</v>
      </c>
      <c r="M983">
        <f t="shared" si="15"/>
        <v>17</v>
      </c>
      <c r="N983" t="b">
        <v>0</v>
      </c>
      <c r="O983">
        <v>1</v>
      </c>
      <c r="P983" t="s">
        <v>2681</v>
      </c>
      <c r="Q983">
        <v>1</v>
      </c>
      <c r="R983" t="b">
        <v>1</v>
      </c>
    </row>
    <row r="984" spans="1:18">
      <c r="A984" t="s">
        <v>261</v>
      </c>
      <c r="B984" t="s">
        <v>2682</v>
      </c>
      <c r="C984" t="s">
        <v>2683</v>
      </c>
      <c r="E984">
        <v>54</v>
      </c>
      <c r="F984">
        <v>6</v>
      </c>
      <c r="G984">
        <v>9</v>
      </c>
      <c r="H984">
        <v>11</v>
      </c>
      <c r="J984" t="s">
        <v>22</v>
      </c>
      <c r="K984" t="b">
        <v>1</v>
      </c>
      <c r="L984">
        <f t="shared" si="15"/>
        <v>63</v>
      </c>
      <c r="M984">
        <f t="shared" si="15"/>
        <v>17</v>
      </c>
      <c r="N984" t="b">
        <v>0</v>
      </c>
      <c r="O984">
        <v>1</v>
      </c>
      <c r="P984" t="s">
        <v>2681</v>
      </c>
      <c r="Q984">
        <v>1</v>
      </c>
      <c r="R984" t="b">
        <v>1</v>
      </c>
    </row>
    <row r="985" spans="1:18">
      <c r="A985" t="s">
        <v>857</v>
      </c>
      <c r="B985" t="s">
        <v>2684</v>
      </c>
      <c r="C985" t="s">
        <v>2685</v>
      </c>
      <c r="E985">
        <v>35</v>
      </c>
      <c r="F985">
        <v>96</v>
      </c>
      <c r="G985">
        <v>28</v>
      </c>
      <c r="H985">
        <v>147</v>
      </c>
      <c r="J985" t="s">
        <v>22</v>
      </c>
      <c r="K985" t="b">
        <v>1</v>
      </c>
      <c r="L985">
        <f t="shared" si="15"/>
        <v>63</v>
      </c>
      <c r="M985">
        <f t="shared" si="15"/>
        <v>243</v>
      </c>
      <c r="N985" t="b">
        <v>0</v>
      </c>
      <c r="O985">
        <v>1</v>
      </c>
      <c r="P985" t="s">
        <v>2686</v>
      </c>
      <c r="Q985">
        <v>2</v>
      </c>
      <c r="R985" t="b">
        <v>1</v>
      </c>
    </row>
    <row r="986" spans="1:18" hidden="1">
      <c r="A986" t="s">
        <v>1224</v>
      </c>
      <c r="B986" t="s">
        <v>2687</v>
      </c>
      <c r="C986" s="9" t="s">
        <v>2688</v>
      </c>
      <c r="D986" t="s">
        <v>93</v>
      </c>
      <c r="E986">
        <v>41</v>
      </c>
      <c r="F986">
        <v>1122</v>
      </c>
      <c r="G986">
        <v>22</v>
      </c>
      <c r="H986">
        <v>1281</v>
      </c>
      <c r="I986" t="s">
        <v>2158</v>
      </c>
      <c r="J986" t="s">
        <v>93</v>
      </c>
      <c r="K986" t="b">
        <v>1</v>
      </c>
      <c r="L986">
        <f t="shared" si="15"/>
        <v>63</v>
      </c>
      <c r="M986">
        <f t="shared" si="15"/>
        <v>2403</v>
      </c>
      <c r="N986" t="b">
        <v>0</v>
      </c>
      <c r="O986">
        <v>0</v>
      </c>
      <c r="Q986">
        <v>0</v>
      </c>
      <c r="R986" t="b">
        <v>0</v>
      </c>
    </row>
    <row r="987" spans="1:18">
      <c r="A987" t="s">
        <v>192</v>
      </c>
      <c r="B987" t="s">
        <v>2689</v>
      </c>
      <c r="C987" t="s">
        <v>2690</v>
      </c>
      <c r="E987">
        <v>56</v>
      </c>
      <c r="F987">
        <v>4</v>
      </c>
      <c r="G987">
        <v>7</v>
      </c>
      <c r="H987">
        <v>7</v>
      </c>
      <c r="J987" t="s">
        <v>22</v>
      </c>
      <c r="K987" t="b">
        <v>1</v>
      </c>
      <c r="L987">
        <f t="shared" si="15"/>
        <v>63</v>
      </c>
      <c r="M987">
        <f t="shared" si="15"/>
        <v>11</v>
      </c>
      <c r="N987" t="b">
        <v>0</v>
      </c>
      <c r="O987">
        <v>1</v>
      </c>
      <c r="P987" t="s">
        <v>2691</v>
      </c>
      <c r="Q987">
        <v>2</v>
      </c>
      <c r="R987" t="b">
        <v>1</v>
      </c>
    </row>
    <row r="988" spans="1:18">
      <c r="A988" t="s">
        <v>573</v>
      </c>
      <c r="B988" t="s">
        <v>2692</v>
      </c>
      <c r="C988" t="s">
        <v>2693</v>
      </c>
      <c r="E988">
        <v>54</v>
      </c>
      <c r="F988">
        <v>5</v>
      </c>
      <c r="G988">
        <v>8</v>
      </c>
      <c r="H988">
        <v>9</v>
      </c>
      <c r="J988" t="s">
        <v>22</v>
      </c>
      <c r="K988" t="b">
        <v>1</v>
      </c>
      <c r="L988">
        <f t="shared" si="15"/>
        <v>62</v>
      </c>
      <c r="M988">
        <f t="shared" si="15"/>
        <v>14</v>
      </c>
      <c r="N988" t="b">
        <v>0</v>
      </c>
      <c r="O988">
        <v>1</v>
      </c>
      <c r="P988" t="s">
        <v>2694</v>
      </c>
      <c r="Q988">
        <v>2</v>
      </c>
      <c r="R988" t="b">
        <v>1</v>
      </c>
    </row>
    <row r="989" spans="1:18" hidden="1">
      <c r="A989" t="s">
        <v>1424</v>
      </c>
      <c r="B989" t="s">
        <v>2695</v>
      </c>
      <c r="C989" t="s">
        <v>2696</v>
      </c>
      <c r="E989">
        <v>29</v>
      </c>
      <c r="F989">
        <v>669</v>
      </c>
      <c r="G989">
        <v>33</v>
      </c>
      <c r="H989">
        <v>333</v>
      </c>
      <c r="J989" t="s">
        <v>93</v>
      </c>
      <c r="K989" t="b">
        <v>0</v>
      </c>
      <c r="L989">
        <f t="shared" si="15"/>
        <v>62</v>
      </c>
      <c r="M989">
        <f t="shared" si="15"/>
        <v>1002</v>
      </c>
      <c r="N989" t="b">
        <v>0</v>
      </c>
      <c r="O989">
        <v>0</v>
      </c>
      <c r="Q989">
        <v>0</v>
      </c>
      <c r="R989" t="b">
        <v>0</v>
      </c>
    </row>
    <row r="990" spans="1:18" hidden="1">
      <c r="A990" t="s">
        <v>43</v>
      </c>
      <c r="B990" t="s">
        <v>2697</v>
      </c>
      <c r="C990" t="s">
        <v>2698</v>
      </c>
      <c r="E990">
        <v>44</v>
      </c>
      <c r="F990">
        <v>74</v>
      </c>
      <c r="G990">
        <v>18</v>
      </c>
      <c r="H990">
        <v>43</v>
      </c>
      <c r="J990" t="s">
        <v>93</v>
      </c>
      <c r="K990" t="b">
        <v>1</v>
      </c>
      <c r="L990">
        <f t="shared" si="15"/>
        <v>62</v>
      </c>
      <c r="M990">
        <f t="shared" si="15"/>
        <v>117</v>
      </c>
      <c r="N990" t="b">
        <v>0</v>
      </c>
      <c r="O990">
        <v>0</v>
      </c>
      <c r="Q990">
        <v>0</v>
      </c>
      <c r="R990" t="b">
        <v>0</v>
      </c>
    </row>
    <row r="991" spans="1:18" hidden="1">
      <c r="A991" t="s">
        <v>43</v>
      </c>
      <c r="B991" t="s">
        <v>2699</v>
      </c>
      <c r="C991" t="s">
        <v>2700</v>
      </c>
      <c r="E991">
        <v>44</v>
      </c>
      <c r="F991">
        <v>74</v>
      </c>
      <c r="G991">
        <v>18</v>
      </c>
      <c r="H991">
        <v>43</v>
      </c>
      <c r="J991" t="s">
        <v>93</v>
      </c>
      <c r="K991" t="b">
        <v>1</v>
      </c>
      <c r="L991">
        <f t="shared" si="15"/>
        <v>62</v>
      </c>
      <c r="M991">
        <f t="shared" si="15"/>
        <v>117</v>
      </c>
      <c r="N991" t="b">
        <v>0</v>
      </c>
      <c r="O991">
        <v>0.5</v>
      </c>
      <c r="P991" t="s">
        <v>201</v>
      </c>
      <c r="Q991">
        <v>2</v>
      </c>
      <c r="R991" t="b">
        <v>1</v>
      </c>
    </row>
    <row r="992" spans="1:18" hidden="1">
      <c r="A992" t="s">
        <v>87</v>
      </c>
      <c r="B992" t="s">
        <v>2701</v>
      </c>
      <c r="C992" t="s">
        <v>2702</v>
      </c>
      <c r="E992">
        <v>56</v>
      </c>
      <c r="F992">
        <v>1368</v>
      </c>
      <c r="G992">
        <v>6</v>
      </c>
      <c r="H992">
        <v>152</v>
      </c>
      <c r="J992" t="s">
        <v>93</v>
      </c>
      <c r="K992" t="b">
        <v>1</v>
      </c>
      <c r="L992">
        <f t="shared" si="15"/>
        <v>62</v>
      </c>
      <c r="M992">
        <f t="shared" si="15"/>
        <v>1520</v>
      </c>
      <c r="N992" t="b">
        <v>0</v>
      </c>
      <c r="O992">
        <v>0</v>
      </c>
      <c r="Q992">
        <v>0</v>
      </c>
      <c r="R992" t="b">
        <v>0</v>
      </c>
    </row>
    <row r="993" spans="1:18">
      <c r="A993" t="s">
        <v>907</v>
      </c>
      <c r="B993" t="s">
        <v>2703</v>
      </c>
      <c r="C993" t="s">
        <v>2704</v>
      </c>
      <c r="E993">
        <v>40</v>
      </c>
      <c r="F993">
        <v>367</v>
      </c>
      <c r="G993">
        <v>22</v>
      </c>
      <c r="H993">
        <v>253</v>
      </c>
      <c r="J993" t="s">
        <v>22</v>
      </c>
      <c r="K993" t="b">
        <v>1</v>
      </c>
      <c r="L993">
        <f t="shared" si="15"/>
        <v>62</v>
      </c>
      <c r="M993">
        <f t="shared" si="15"/>
        <v>620</v>
      </c>
      <c r="N993" t="b">
        <v>0</v>
      </c>
      <c r="O993">
        <v>1</v>
      </c>
      <c r="P993" t="s">
        <v>2705</v>
      </c>
      <c r="Q993">
        <v>1</v>
      </c>
      <c r="R993" t="b">
        <v>1</v>
      </c>
    </row>
    <row r="994" spans="1:18" hidden="1">
      <c r="A994" t="s">
        <v>882</v>
      </c>
      <c r="B994" t="s">
        <v>2706</v>
      </c>
      <c r="C994" t="s">
        <v>2707</v>
      </c>
      <c r="E994">
        <v>44</v>
      </c>
      <c r="F994">
        <v>1081</v>
      </c>
      <c r="G994">
        <v>17</v>
      </c>
      <c r="H994">
        <v>324</v>
      </c>
      <c r="J994" t="s">
        <v>93</v>
      </c>
      <c r="K994" t="b">
        <v>0</v>
      </c>
      <c r="L994">
        <f t="shared" si="15"/>
        <v>61</v>
      </c>
      <c r="M994">
        <f t="shared" si="15"/>
        <v>1405</v>
      </c>
      <c r="N994" t="b">
        <v>0</v>
      </c>
      <c r="O994">
        <v>0</v>
      </c>
      <c r="Q994">
        <v>0</v>
      </c>
      <c r="R994" t="b">
        <v>0</v>
      </c>
    </row>
    <row r="995" spans="1:18" hidden="1">
      <c r="A995" t="s">
        <v>37</v>
      </c>
      <c r="B995" t="s">
        <v>2708</v>
      </c>
      <c r="C995" t="s">
        <v>2709</v>
      </c>
      <c r="E995">
        <v>31</v>
      </c>
      <c r="F995">
        <v>184</v>
      </c>
      <c r="G995">
        <v>30</v>
      </c>
      <c r="H995">
        <v>246</v>
      </c>
      <c r="J995" t="s">
        <v>93</v>
      </c>
      <c r="K995" t="b">
        <v>1</v>
      </c>
      <c r="L995">
        <f t="shared" si="15"/>
        <v>61</v>
      </c>
      <c r="M995">
        <f t="shared" si="15"/>
        <v>430</v>
      </c>
      <c r="N995" t="b">
        <v>0</v>
      </c>
      <c r="O995">
        <v>0</v>
      </c>
      <c r="Q995">
        <v>0</v>
      </c>
      <c r="R995" t="b">
        <v>0</v>
      </c>
    </row>
    <row r="996" spans="1:18">
      <c r="A996" t="s">
        <v>1191</v>
      </c>
      <c r="B996" t="s">
        <v>2710</v>
      </c>
      <c r="C996" t="s">
        <v>2711</v>
      </c>
      <c r="E996">
        <v>42</v>
      </c>
      <c r="F996">
        <v>100</v>
      </c>
      <c r="G996">
        <v>18</v>
      </c>
      <c r="H996">
        <v>29</v>
      </c>
      <c r="J996" t="s">
        <v>22</v>
      </c>
      <c r="K996" t="b">
        <v>1</v>
      </c>
      <c r="L996">
        <f t="shared" si="15"/>
        <v>60</v>
      </c>
      <c r="M996">
        <f t="shared" si="15"/>
        <v>129</v>
      </c>
      <c r="N996" t="b">
        <v>0</v>
      </c>
      <c r="O996">
        <v>1</v>
      </c>
      <c r="P996" t="s">
        <v>2712</v>
      </c>
      <c r="Q996">
        <v>2</v>
      </c>
      <c r="R996" t="b">
        <v>1</v>
      </c>
    </row>
    <row r="997" spans="1:18">
      <c r="A997" t="s">
        <v>1224</v>
      </c>
      <c r="B997" t="s">
        <v>2713</v>
      </c>
      <c r="C997" t="s">
        <v>2714</v>
      </c>
      <c r="E997">
        <v>45</v>
      </c>
      <c r="F997">
        <v>898</v>
      </c>
      <c r="G997">
        <v>15</v>
      </c>
      <c r="H997">
        <v>123</v>
      </c>
      <c r="J997" t="s">
        <v>22</v>
      </c>
      <c r="K997" t="b">
        <v>1</v>
      </c>
      <c r="L997">
        <f t="shared" si="15"/>
        <v>60</v>
      </c>
      <c r="M997">
        <f t="shared" si="15"/>
        <v>1021</v>
      </c>
      <c r="N997" t="b">
        <v>0</v>
      </c>
      <c r="O997">
        <v>1</v>
      </c>
      <c r="P997" t="s">
        <v>2715</v>
      </c>
      <c r="Q997">
        <v>2</v>
      </c>
      <c r="R997" t="b">
        <v>1</v>
      </c>
    </row>
    <row r="998" spans="1:18">
      <c r="A998" t="s">
        <v>24</v>
      </c>
      <c r="B998" t="s">
        <v>2716</v>
      </c>
      <c r="C998" t="s">
        <v>2717</v>
      </c>
      <c r="E998">
        <v>38</v>
      </c>
      <c r="F998">
        <v>79</v>
      </c>
      <c r="G998">
        <v>22</v>
      </c>
      <c r="H998">
        <v>62</v>
      </c>
      <c r="J998" t="s">
        <v>22</v>
      </c>
      <c r="K998" t="b">
        <v>1</v>
      </c>
      <c r="L998">
        <f t="shared" si="15"/>
        <v>60</v>
      </c>
      <c r="M998">
        <f t="shared" si="15"/>
        <v>141</v>
      </c>
      <c r="N998" t="b">
        <v>0</v>
      </c>
      <c r="O998">
        <v>1</v>
      </c>
      <c r="P998" t="s">
        <v>2718</v>
      </c>
      <c r="Q998">
        <v>2</v>
      </c>
      <c r="R998" t="b">
        <v>1</v>
      </c>
    </row>
    <row r="999" spans="1:18" hidden="1">
      <c r="A999" t="s">
        <v>1847</v>
      </c>
      <c r="B999" t="s">
        <v>2719</v>
      </c>
      <c r="C999" t="s">
        <v>2720</v>
      </c>
      <c r="E999">
        <v>41</v>
      </c>
      <c r="F999">
        <v>649</v>
      </c>
      <c r="G999">
        <v>19</v>
      </c>
      <c r="H999">
        <v>165</v>
      </c>
      <c r="J999" t="s">
        <v>93</v>
      </c>
      <c r="K999" t="b">
        <v>0</v>
      </c>
      <c r="L999">
        <f t="shared" si="15"/>
        <v>60</v>
      </c>
      <c r="M999">
        <f t="shared" si="15"/>
        <v>814</v>
      </c>
      <c r="N999" t="b">
        <v>0</v>
      </c>
      <c r="O999">
        <v>0</v>
      </c>
      <c r="Q999">
        <v>0</v>
      </c>
      <c r="R999" t="b">
        <v>0</v>
      </c>
    </row>
    <row r="1000" spans="1:18" hidden="1">
      <c r="A1000" t="s">
        <v>2721</v>
      </c>
      <c r="B1000" t="s">
        <v>2722</v>
      </c>
      <c r="C1000" t="s">
        <v>2723</v>
      </c>
      <c r="E1000">
        <v>51</v>
      </c>
      <c r="F1000">
        <v>133</v>
      </c>
      <c r="G1000">
        <v>9</v>
      </c>
      <c r="H1000">
        <v>149</v>
      </c>
      <c r="J1000" t="s">
        <v>93</v>
      </c>
      <c r="K1000" t="b">
        <v>0</v>
      </c>
      <c r="L1000">
        <f t="shared" si="15"/>
        <v>60</v>
      </c>
      <c r="M1000">
        <f t="shared" si="15"/>
        <v>282</v>
      </c>
      <c r="N1000" t="b">
        <v>0</v>
      </c>
      <c r="O1000">
        <v>0</v>
      </c>
      <c r="Q1000">
        <v>0</v>
      </c>
      <c r="R1000" t="b">
        <v>0</v>
      </c>
    </row>
    <row r="1001" spans="1:18" hidden="1">
      <c r="A1001" t="s">
        <v>2721</v>
      </c>
      <c r="B1001" t="s">
        <v>2724</v>
      </c>
      <c r="C1001" t="s">
        <v>2725</v>
      </c>
      <c r="E1001">
        <v>51</v>
      </c>
      <c r="F1001">
        <v>133</v>
      </c>
      <c r="G1001">
        <v>9</v>
      </c>
      <c r="H1001">
        <v>149</v>
      </c>
      <c r="J1001" t="s">
        <v>93</v>
      </c>
      <c r="K1001" t="b">
        <v>0</v>
      </c>
      <c r="L1001">
        <f t="shared" si="15"/>
        <v>60</v>
      </c>
      <c r="M1001">
        <f t="shared" si="15"/>
        <v>282</v>
      </c>
      <c r="N1001" t="b">
        <v>0</v>
      </c>
      <c r="O1001">
        <v>0</v>
      </c>
      <c r="Q1001">
        <v>0</v>
      </c>
      <c r="R1001" t="b">
        <v>0</v>
      </c>
    </row>
    <row r="1002" spans="1:18" hidden="1">
      <c r="A1002" t="s">
        <v>378</v>
      </c>
      <c r="B1002" t="s">
        <v>2726</v>
      </c>
      <c r="C1002" t="s">
        <v>2727</v>
      </c>
      <c r="E1002">
        <v>32</v>
      </c>
      <c r="F1002">
        <v>583</v>
      </c>
      <c r="G1002">
        <v>28</v>
      </c>
      <c r="H1002">
        <v>377</v>
      </c>
      <c r="J1002" t="s">
        <v>93</v>
      </c>
      <c r="K1002" t="b">
        <v>1</v>
      </c>
      <c r="L1002">
        <f t="shared" si="15"/>
        <v>60</v>
      </c>
      <c r="M1002">
        <f t="shared" si="15"/>
        <v>960</v>
      </c>
      <c r="N1002" t="b">
        <v>0</v>
      </c>
      <c r="O1002">
        <v>0.16669999999999999</v>
      </c>
      <c r="P1002" t="s">
        <v>2033</v>
      </c>
      <c r="Q1002">
        <v>2</v>
      </c>
      <c r="R1002" t="b">
        <v>1</v>
      </c>
    </row>
    <row r="1003" spans="1:18" hidden="1">
      <c r="A1003" t="s">
        <v>87</v>
      </c>
      <c r="B1003" t="s">
        <v>2728</v>
      </c>
      <c r="C1003" t="s">
        <v>2729</v>
      </c>
      <c r="E1003">
        <v>46</v>
      </c>
      <c r="F1003">
        <v>285</v>
      </c>
      <c r="G1003">
        <v>14</v>
      </c>
      <c r="H1003">
        <v>38</v>
      </c>
      <c r="J1003" t="s">
        <v>93</v>
      </c>
      <c r="K1003" t="b">
        <v>1</v>
      </c>
      <c r="L1003">
        <f t="shared" si="15"/>
        <v>60</v>
      </c>
      <c r="M1003">
        <f t="shared" si="15"/>
        <v>323</v>
      </c>
      <c r="N1003" t="b">
        <v>0</v>
      </c>
      <c r="O1003">
        <v>0.5</v>
      </c>
      <c r="P1003" t="s">
        <v>2730</v>
      </c>
      <c r="Q1003">
        <v>10</v>
      </c>
      <c r="R1003" t="b">
        <v>1</v>
      </c>
    </row>
    <row r="1004" spans="1:18">
      <c r="A1004" t="s">
        <v>1384</v>
      </c>
      <c r="B1004" t="s">
        <v>2731</v>
      </c>
      <c r="C1004" t="s">
        <v>2732</v>
      </c>
      <c r="E1004">
        <v>42</v>
      </c>
      <c r="F1004">
        <v>123</v>
      </c>
      <c r="G1004">
        <v>17</v>
      </c>
      <c r="H1004">
        <v>40</v>
      </c>
      <c r="J1004" t="s">
        <v>22</v>
      </c>
      <c r="K1004" t="b">
        <v>1</v>
      </c>
      <c r="L1004">
        <f t="shared" si="15"/>
        <v>59</v>
      </c>
      <c r="M1004">
        <f t="shared" si="15"/>
        <v>163</v>
      </c>
      <c r="N1004" t="b">
        <v>0</v>
      </c>
      <c r="O1004">
        <v>1</v>
      </c>
      <c r="P1004" t="s">
        <v>2733</v>
      </c>
      <c r="Q1004">
        <v>2</v>
      </c>
      <c r="R1004" t="b">
        <v>1</v>
      </c>
    </row>
    <row r="1005" spans="1:18">
      <c r="A1005" t="s">
        <v>1224</v>
      </c>
      <c r="B1005" t="s">
        <v>2734</v>
      </c>
      <c r="C1005" t="s">
        <v>2735</v>
      </c>
      <c r="E1005">
        <v>45</v>
      </c>
      <c r="F1005">
        <v>884</v>
      </c>
      <c r="G1005">
        <v>13</v>
      </c>
      <c r="H1005">
        <v>129</v>
      </c>
      <c r="J1005" t="s">
        <v>22</v>
      </c>
      <c r="K1005" t="b">
        <v>1</v>
      </c>
      <c r="L1005">
        <f t="shared" si="15"/>
        <v>58</v>
      </c>
      <c r="M1005">
        <f t="shared" si="15"/>
        <v>1013</v>
      </c>
      <c r="N1005" t="b">
        <v>0</v>
      </c>
      <c r="O1005">
        <v>1</v>
      </c>
      <c r="P1005" t="s">
        <v>2736</v>
      </c>
      <c r="Q1005">
        <v>2</v>
      </c>
      <c r="R1005" t="b">
        <v>1</v>
      </c>
    </row>
    <row r="1006" spans="1:18" hidden="1">
      <c r="A1006" t="s">
        <v>2278</v>
      </c>
      <c r="B1006" t="s">
        <v>2737</v>
      </c>
      <c r="C1006" t="s">
        <v>2738</v>
      </c>
      <c r="E1006">
        <v>38</v>
      </c>
      <c r="F1006">
        <v>764</v>
      </c>
      <c r="G1006">
        <v>20</v>
      </c>
      <c r="H1006">
        <v>535</v>
      </c>
      <c r="J1006" t="s">
        <v>93</v>
      </c>
      <c r="K1006" t="b">
        <v>0</v>
      </c>
      <c r="L1006">
        <f t="shared" si="15"/>
        <v>58</v>
      </c>
      <c r="M1006">
        <f t="shared" si="15"/>
        <v>1299</v>
      </c>
      <c r="N1006" t="b">
        <v>0</v>
      </c>
      <c r="O1006">
        <v>0</v>
      </c>
      <c r="Q1006">
        <v>0</v>
      </c>
      <c r="R1006" t="b">
        <v>0</v>
      </c>
    </row>
    <row r="1007" spans="1:18">
      <c r="A1007" t="s">
        <v>24</v>
      </c>
      <c r="B1007" t="s">
        <v>2739</v>
      </c>
      <c r="C1007" t="s">
        <v>2740</v>
      </c>
      <c r="E1007">
        <v>36</v>
      </c>
      <c r="F1007">
        <v>76</v>
      </c>
      <c r="G1007">
        <v>22</v>
      </c>
      <c r="H1007">
        <v>62</v>
      </c>
      <c r="J1007" t="s">
        <v>22</v>
      </c>
      <c r="K1007" t="b">
        <v>1</v>
      </c>
      <c r="L1007">
        <f t="shared" si="15"/>
        <v>58</v>
      </c>
      <c r="M1007">
        <f t="shared" si="15"/>
        <v>138</v>
      </c>
      <c r="N1007" t="b">
        <v>0</v>
      </c>
      <c r="O1007">
        <v>1</v>
      </c>
      <c r="P1007" t="s">
        <v>2741</v>
      </c>
      <c r="Q1007">
        <v>2</v>
      </c>
      <c r="R1007" t="b">
        <v>1</v>
      </c>
    </row>
    <row r="1008" spans="1:18" hidden="1">
      <c r="A1008" t="s">
        <v>2477</v>
      </c>
      <c r="B1008" t="s">
        <v>2742</v>
      </c>
      <c r="C1008" t="s">
        <v>2743</v>
      </c>
      <c r="E1008">
        <v>30</v>
      </c>
      <c r="F1008">
        <v>109</v>
      </c>
      <c r="G1008">
        <v>28</v>
      </c>
      <c r="H1008">
        <v>67</v>
      </c>
      <c r="J1008" t="s">
        <v>93</v>
      </c>
      <c r="K1008" t="b">
        <v>0</v>
      </c>
      <c r="L1008">
        <f t="shared" si="15"/>
        <v>58</v>
      </c>
      <c r="M1008">
        <f t="shared" si="15"/>
        <v>176</v>
      </c>
      <c r="N1008" t="b">
        <v>0</v>
      </c>
      <c r="O1008">
        <v>0</v>
      </c>
      <c r="Q1008">
        <v>0</v>
      </c>
      <c r="R1008" t="b">
        <v>0</v>
      </c>
    </row>
    <row r="1009" spans="1:18">
      <c r="A1009" t="s">
        <v>274</v>
      </c>
      <c r="B1009" t="s">
        <v>2744</v>
      </c>
      <c r="C1009" t="s">
        <v>2745</v>
      </c>
      <c r="E1009">
        <v>47</v>
      </c>
      <c r="F1009">
        <v>8</v>
      </c>
      <c r="G1009">
        <v>10</v>
      </c>
      <c r="H1009">
        <v>12</v>
      </c>
      <c r="J1009" t="s">
        <v>22</v>
      </c>
      <c r="K1009" t="b">
        <v>1</v>
      </c>
      <c r="L1009">
        <f t="shared" si="15"/>
        <v>57</v>
      </c>
      <c r="M1009">
        <f t="shared" si="15"/>
        <v>20</v>
      </c>
      <c r="N1009" t="b">
        <v>0</v>
      </c>
      <c r="O1009">
        <v>1</v>
      </c>
      <c r="P1009" t="s">
        <v>2746</v>
      </c>
      <c r="Q1009">
        <v>1</v>
      </c>
      <c r="R1009" t="b">
        <v>1</v>
      </c>
    </row>
    <row r="1010" spans="1:18">
      <c r="A1010" t="s">
        <v>1224</v>
      </c>
      <c r="B1010" t="s">
        <v>2747</v>
      </c>
      <c r="C1010" t="s">
        <v>2748</v>
      </c>
      <c r="E1010">
        <v>44</v>
      </c>
      <c r="F1010">
        <v>873</v>
      </c>
      <c r="G1010">
        <v>13</v>
      </c>
      <c r="H1010">
        <v>116</v>
      </c>
      <c r="J1010" t="s">
        <v>22</v>
      </c>
      <c r="K1010" t="b">
        <v>1</v>
      </c>
      <c r="L1010">
        <f t="shared" si="15"/>
        <v>57</v>
      </c>
      <c r="M1010">
        <f t="shared" si="15"/>
        <v>989</v>
      </c>
      <c r="N1010" t="b">
        <v>0</v>
      </c>
      <c r="O1010">
        <v>1</v>
      </c>
      <c r="P1010" t="s">
        <v>2749</v>
      </c>
      <c r="Q1010">
        <v>2</v>
      </c>
      <c r="R1010" t="b">
        <v>1</v>
      </c>
    </row>
    <row r="1011" spans="1:18" hidden="1">
      <c r="A1011" t="s">
        <v>24</v>
      </c>
      <c r="B1011" t="s">
        <v>2750</v>
      </c>
      <c r="C1011" t="s">
        <v>2751</v>
      </c>
      <c r="E1011">
        <v>27</v>
      </c>
      <c r="F1011">
        <v>90</v>
      </c>
      <c r="G1011">
        <v>30</v>
      </c>
      <c r="H1011">
        <v>93</v>
      </c>
      <c r="J1011" t="s">
        <v>93</v>
      </c>
      <c r="K1011" t="b">
        <v>1</v>
      </c>
      <c r="L1011">
        <f t="shared" si="15"/>
        <v>57</v>
      </c>
      <c r="M1011">
        <f t="shared" si="15"/>
        <v>183</v>
      </c>
      <c r="N1011" t="b">
        <v>0</v>
      </c>
      <c r="O1011">
        <v>0</v>
      </c>
      <c r="Q1011">
        <v>0</v>
      </c>
      <c r="R1011" t="b">
        <v>0</v>
      </c>
    </row>
    <row r="1012" spans="1:18">
      <c r="A1012" t="s">
        <v>24</v>
      </c>
      <c r="B1012" t="s">
        <v>2752</v>
      </c>
      <c r="C1012" t="s">
        <v>2753</v>
      </c>
      <c r="E1012">
        <v>44</v>
      </c>
      <c r="F1012">
        <v>98</v>
      </c>
      <c r="G1012">
        <v>13</v>
      </c>
      <c r="H1012">
        <v>22</v>
      </c>
      <c r="J1012" t="s">
        <v>22</v>
      </c>
      <c r="K1012" t="b">
        <v>1</v>
      </c>
      <c r="L1012">
        <f t="shared" si="15"/>
        <v>57</v>
      </c>
      <c r="M1012">
        <f t="shared" si="15"/>
        <v>120</v>
      </c>
      <c r="N1012" t="b">
        <v>0</v>
      </c>
      <c r="O1012">
        <v>1</v>
      </c>
      <c r="P1012" t="s">
        <v>2754</v>
      </c>
      <c r="Q1012">
        <v>2</v>
      </c>
      <c r="R1012" t="b">
        <v>1</v>
      </c>
    </row>
    <row r="1013" spans="1:18" hidden="1">
      <c r="A1013" t="s">
        <v>1227</v>
      </c>
      <c r="B1013" t="s">
        <v>2755</v>
      </c>
      <c r="C1013" t="s">
        <v>2756</v>
      </c>
      <c r="E1013">
        <v>57</v>
      </c>
      <c r="F1013">
        <v>377</v>
      </c>
      <c r="G1013">
        <v>0</v>
      </c>
      <c r="H1013">
        <v>0</v>
      </c>
      <c r="J1013" t="s">
        <v>93</v>
      </c>
      <c r="K1013" t="b">
        <v>0</v>
      </c>
      <c r="L1013">
        <f t="shared" si="15"/>
        <v>57</v>
      </c>
      <c r="M1013">
        <f t="shared" si="15"/>
        <v>377</v>
      </c>
      <c r="N1013" t="b">
        <v>0</v>
      </c>
      <c r="O1013">
        <v>0</v>
      </c>
      <c r="Q1013">
        <v>0</v>
      </c>
      <c r="R1013" t="b">
        <v>0</v>
      </c>
    </row>
    <row r="1014" spans="1:18" hidden="1">
      <c r="A1014" t="s">
        <v>1227</v>
      </c>
      <c r="B1014" t="s">
        <v>2757</v>
      </c>
      <c r="C1014" t="s">
        <v>2758</v>
      </c>
      <c r="E1014">
        <v>57</v>
      </c>
      <c r="F1014">
        <v>377</v>
      </c>
      <c r="G1014">
        <v>0</v>
      </c>
      <c r="H1014">
        <v>0</v>
      </c>
      <c r="J1014" t="s">
        <v>93</v>
      </c>
      <c r="K1014" t="b">
        <v>0</v>
      </c>
      <c r="L1014">
        <f t="shared" si="15"/>
        <v>57</v>
      </c>
      <c r="M1014">
        <f t="shared" si="15"/>
        <v>377</v>
      </c>
      <c r="N1014" t="b">
        <v>0</v>
      </c>
      <c r="O1014">
        <v>0</v>
      </c>
      <c r="Q1014">
        <v>0</v>
      </c>
      <c r="R1014" t="b">
        <v>0</v>
      </c>
    </row>
    <row r="1015" spans="1:18">
      <c r="A1015" t="s">
        <v>2759</v>
      </c>
      <c r="B1015" t="s">
        <v>2760</v>
      </c>
      <c r="C1015" t="s">
        <v>2761</v>
      </c>
      <c r="E1015">
        <v>39</v>
      </c>
      <c r="F1015">
        <v>266</v>
      </c>
      <c r="G1015">
        <v>18</v>
      </c>
      <c r="H1015">
        <v>20</v>
      </c>
      <c r="J1015" t="s">
        <v>22</v>
      </c>
      <c r="K1015" t="b">
        <v>1</v>
      </c>
      <c r="L1015">
        <f t="shared" si="15"/>
        <v>57</v>
      </c>
      <c r="M1015">
        <f t="shared" si="15"/>
        <v>286</v>
      </c>
      <c r="N1015" t="b">
        <v>0</v>
      </c>
      <c r="O1015">
        <v>1</v>
      </c>
      <c r="P1015" t="s">
        <v>33</v>
      </c>
      <c r="Q1015">
        <v>2</v>
      </c>
      <c r="R1015" t="b">
        <v>1</v>
      </c>
    </row>
    <row r="1016" spans="1:18">
      <c r="A1016" t="s">
        <v>30</v>
      </c>
      <c r="B1016" t="s">
        <v>2762</v>
      </c>
      <c r="C1016" t="s">
        <v>2763</v>
      </c>
      <c r="E1016">
        <v>52</v>
      </c>
      <c r="F1016">
        <v>1</v>
      </c>
      <c r="G1016">
        <v>5</v>
      </c>
      <c r="H1016">
        <v>5</v>
      </c>
      <c r="J1016" t="s">
        <v>22</v>
      </c>
      <c r="K1016" t="b">
        <v>1</v>
      </c>
      <c r="L1016">
        <f t="shared" si="15"/>
        <v>57</v>
      </c>
      <c r="M1016">
        <f t="shared" si="15"/>
        <v>6</v>
      </c>
      <c r="N1016" t="b">
        <v>0</v>
      </c>
      <c r="O1016">
        <v>1</v>
      </c>
      <c r="P1016" t="s">
        <v>2764</v>
      </c>
      <c r="Q1016">
        <v>2</v>
      </c>
      <c r="R1016" t="b">
        <v>1</v>
      </c>
    </row>
    <row r="1017" spans="1:18">
      <c r="A1017" t="s">
        <v>24</v>
      </c>
      <c r="B1017" t="s">
        <v>2765</v>
      </c>
      <c r="C1017" t="s">
        <v>2766</v>
      </c>
      <c r="E1017">
        <v>28</v>
      </c>
      <c r="F1017">
        <v>215</v>
      </c>
      <c r="G1017">
        <v>28</v>
      </c>
      <c r="H1017">
        <v>480</v>
      </c>
      <c r="J1017" t="s">
        <v>22</v>
      </c>
      <c r="K1017" t="b">
        <v>1</v>
      </c>
      <c r="L1017">
        <f t="shared" si="15"/>
        <v>56</v>
      </c>
      <c r="M1017">
        <f t="shared" si="15"/>
        <v>695</v>
      </c>
      <c r="N1017" t="b">
        <v>0</v>
      </c>
      <c r="O1017">
        <v>1</v>
      </c>
      <c r="P1017" t="s">
        <v>2767</v>
      </c>
      <c r="Q1017">
        <v>2</v>
      </c>
      <c r="R1017" t="b">
        <v>1</v>
      </c>
    </row>
    <row r="1018" spans="1:18" hidden="1">
      <c r="A1018" t="s">
        <v>2472</v>
      </c>
      <c r="B1018" t="s">
        <v>2768</v>
      </c>
      <c r="C1018" t="s">
        <v>2769</v>
      </c>
      <c r="E1018">
        <v>40</v>
      </c>
      <c r="F1018">
        <v>140</v>
      </c>
      <c r="G1018">
        <v>16</v>
      </c>
      <c r="H1018">
        <v>46</v>
      </c>
      <c r="J1018" t="s">
        <v>93</v>
      </c>
      <c r="K1018" t="b">
        <v>1</v>
      </c>
      <c r="L1018">
        <f t="shared" si="15"/>
        <v>56</v>
      </c>
      <c r="M1018">
        <f t="shared" si="15"/>
        <v>186</v>
      </c>
      <c r="N1018" t="b">
        <v>0</v>
      </c>
      <c r="O1018">
        <v>0</v>
      </c>
      <c r="Q1018">
        <v>0</v>
      </c>
      <c r="R1018" t="b">
        <v>0</v>
      </c>
    </row>
    <row r="1019" spans="1:18">
      <c r="A1019" t="s">
        <v>2472</v>
      </c>
      <c r="B1019" t="s">
        <v>2770</v>
      </c>
      <c r="C1019" t="s">
        <v>2771</v>
      </c>
      <c r="E1019">
        <v>40</v>
      </c>
      <c r="F1019">
        <v>140</v>
      </c>
      <c r="G1019">
        <v>16</v>
      </c>
      <c r="H1019">
        <v>46</v>
      </c>
      <c r="J1019" t="s">
        <v>22</v>
      </c>
      <c r="K1019" t="b">
        <v>1</v>
      </c>
      <c r="L1019">
        <f t="shared" si="15"/>
        <v>56</v>
      </c>
      <c r="M1019">
        <f t="shared" si="15"/>
        <v>186</v>
      </c>
      <c r="N1019" t="b">
        <v>0</v>
      </c>
      <c r="O1019">
        <v>0</v>
      </c>
      <c r="Q1019">
        <v>0</v>
      </c>
      <c r="R1019" t="b">
        <v>0</v>
      </c>
    </row>
    <row r="1020" spans="1:18">
      <c r="A1020" t="s">
        <v>59</v>
      </c>
      <c r="B1020" t="s">
        <v>2772</v>
      </c>
      <c r="C1020" t="s">
        <v>2773</v>
      </c>
      <c r="E1020">
        <v>33</v>
      </c>
      <c r="F1020">
        <v>100</v>
      </c>
      <c r="G1020">
        <v>23</v>
      </c>
      <c r="H1020">
        <v>94</v>
      </c>
      <c r="J1020" t="s">
        <v>22</v>
      </c>
      <c r="K1020" t="b">
        <v>1</v>
      </c>
      <c r="L1020">
        <f t="shared" si="15"/>
        <v>56</v>
      </c>
      <c r="M1020">
        <f t="shared" si="15"/>
        <v>194</v>
      </c>
      <c r="N1020" t="b">
        <v>0</v>
      </c>
      <c r="O1020">
        <v>1</v>
      </c>
      <c r="P1020" t="s">
        <v>2774</v>
      </c>
      <c r="Q1020">
        <v>2</v>
      </c>
      <c r="R1020" t="b">
        <v>1</v>
      </c>
    </row>
    <row r="1021" spans="1:18">
      <c r="A1021" t="s">
        <v>2775</v>
      </c>
      <c r="B1021" t="s">
        <v>2776</v>
      </c>
      <c r="C1021" t="s">
        <v>2777</v>
      </c>
      <c r="E1021">
        <v>36</v>
      </c>
      <c r="F1021">
        <v>282</v>
      </c>
      <c r="G1021">
        <v>20</v>
      </c>
      <c r="H1021">
        <v>46</v>
      </c>
      <c r="J1021" t="s">
        <v>22</v>
      </c>
      <c r="K1021" t="b">
        <v>1</v>
      </c>
      <c r="L1021">
        <f t="shared" si="15"/>
        <v>56</v>
      </c>
      <c r="M1021">
        <f t="shared" si="15"/>
        <v>328</v>
      </c>
      <c r="N1021" t="b">
        <v>0</v>
      </c>
      <c r="O1021">
        <v>1</v>
      </c>
      <c r="P1021" t="s">
        <v>33</v>
      </c>
      <c r="Q1021">
        <v>2</v>
      </c>
      <c r="R1021" t="b">
        <v>1</v>
      </c>
    </row>
    <row r="1022" spans="1:18">
      <c r="A1022" t="s">
        <v>1334</v>
      </c>
      <c r="B1022" t="s">
        <v>2778</v>
      </c>
      <c r="C1022" t="s">
        <v>2779</v>
      </c>
      <c r="E1022">
        <v>39</v>
      </c>
      <c r="F1022">
        <v>61</v>
      </c>
      <c r="G1022">
        <v>17</v>
      </c>
      <c r="H1022">
        <v>41</v>
      </c>
      <c r="J1022" t="s">
        <v>22</v>
      </c>
      <c r="K1022" t="b">
        <v>1</v>
      </c>
      <c r="L1022">
        <f t="shared" si="15"/>
        <v>56</v>
      </c>
      <c r="M1022">
        <f t="shared" si="15"/>
        <v>102</v>
      </c>
      <c r="N1022" t="b">
        <v>0</v>
      </c>
      <c r="O1022">
        <v>1</v>
      </c>
      <c r="P1022" t="s">
        <v>2780</v>
      </c>
      <c r="Q1022">
        <v>1</v>
      </c>
      <c r="R1022" t="b">
        <v>1</v>
      </c>
    </row>
    <row r="1023" spans="1:18">
      <c r="A1023" t="s">
        <v>1334</v>
      </c>
      <c r="B1023" t="s">
        <v>2781</v>
      </c>
      <c r="C1023" t="s">
        <v>2782</v>
      </c>
      <c r="E1023">
        <v>39</v>
      </c>
      <c r="F1023">
        <v>61</v>
      </c>
      <c r="G1023">
        <v>17</v>
      </c>
      <c r="H1023">
        <v>41</v>
      </c>
      <c r="J1023" t="s">
        <v>22</v>
      </c>
      <c r="K1023" t="b">
        <v>1</v>
      </c>
      <c r="L1023">
        <f t="shared" si="15"/>
        <v>56</v>
      </c>
      <c r="M1023">
        <f t="shared" si="15"/>
        <v>102</v>
      </c>
      <c r="N1023" t="b">
        <v>0</v>
      </c>
      <c r="O1023">
        <v>1</v>
      </c>
      <c r="P1023" t="s">
        <v>2783</v>
      </c>
      <c r="Q1023">
        <v>1</v>
      </c>
      <c r="R1023" t="b">
        <v>1</v>
      </c>
    </row>
    <row r="1024" spans="1:18">
      <c r="A1024" t="s">
        <v>261</v>
      </c>
      <c r="B1024" t="s">
        <v>2784</v>
      </c>
      <c r="C1024" t="s">
        <v>2785</v>
      </c>
      <c r="E1024">
        <v>47</v>
      </c>
      <c r="F1024">
        <v>8</v>
      </c>
      <c r="G1024">
        <v>8</v>
      </c>
      <c r="H1024">
        <v>10</v>
      </c>
      <c r="J1024" t="s">
        <v>22</v>
      </c>
      <c r="K1024" t="b">
        <v>1</v>
      </c>
      <c r="L1024">
        <f t="shared" si="15"/>
        <v>55</v>
      </c>
      <c r="M1024">
        <f t="shared" si="15"/>
        <v>18</v>
      </c>
      <c r="N1024" t="b">
        <v>0</v>
      </c>
      <c r="O1024">
        <v>1</v>
      </c>
      <c r="P1024" t="s">
        <v>2746</v>
      </c>
      <c r="Q1024">
        <v>1</v>
      </c>
      <c r="R1024" t="b">
        <v>1</v>
      </c>
    </row>
    <row r="1025" spans="1:18">
      <c r="A1025" t="s">
        <v>1224</v>
      </c>
      <c r="B1025" t="s">
        <v>2786</v>
      </c>
      <c r="C1025" t="s">
        <v>2787</v>
      </c>
      <c r="E1025">
        <v>41</v>
      </c>
      <c r="F1025">
        <v>1128</v>
      </c>
      <c r="G1025">
        <v>14</v>
      </c>
      <c r="H1025">
        <v>117</v>
      </c>
      <c r="J1025" t="s">
        <v>22</v>
      </c>
      <c r="K1025" t="b">
        <v>1</v>
      </c>
      <c r="L1025">
        <f t="shared" si="15"/>
        <v>55</v>
      </c>
      <c r="M1025">
        <f t="shared" si="15"/>
        <v>1245</v>
      </c>
      <c r="N1025" t="b">
        <v>0</v>
      </c>
      <c r="O1025">
        <v>1</v>
      </c>
      <c r="P1025" t="s">
        <v>2788</v>
      </c>
      <c r="Q1025">
        <v>2</v>
      </c>
      <c r="R1025" t="b">
        <v>1</v>
      </c>
    </row>
    <row r="1026" spans="1:18" hidden="1">
      <c r="A1026" t="s">
        <v>24</v>
      </c>
      <c r="B1026" t="s">
        <v>2789</v>
      </c>
      <c r="C1026" t="s">
        <v>2790</v>
      </c>
      <c r="E1026">
        <v>36</v>
      </c>
      <c r="F1026">
        <v>164</v>
      </c>
      <c r="G1026">
        <v>19</v>
      </c>
      <c r="H1026">
        <v>91</v>
      </c>
      <c r="J1026" t="s">
        <v>93</v>
      </c>
      <c r="K1026" t="b">
        <v>1</v>
      </c>
      <c r="L1026">
        <f t="shared" si="15"/>
        <v>55</v>
      </c>
      <c r="M1026">
        <f t="shared" si="15"/>
        <v>255</v>
      </c>
      <c r="N1026" t="b">
        <v>0</v>
      </c>
      <c r="O1026">
        <v>0</v>
      </c>
      <c r="Q1026">
        <v>0</v>
      </c>
      <c r="R1026" t="b">
        <v>0</v>
      </c>
    </row>
    <row r="1027" spans="1:18">
      <c r="A1027" t="s">
        <v>854</v>
      </c>
      <c r="B1027" t="s">
        <v>2791</v>
      </c>
      <c r="C1027" t="s">
        <v>2792</v>
      </c>
      <c r="E1027">
        <v>26</v>
      </c>
      <c r="F1027">
        <v>561</v>
      </c>
      <c r="G1027">
        <v>29</v>
      </c>
      <c r="H1027">
        <v>73</v>
      </c>
      <c r="J1027" t="s">
        <v>22</v>
      </c>
      <c r="K1027" t="b">
        <v>1</v>
      </c>
      <c r="L1027">
        <f t="shared" ref="L1027:M1090" si="16">E1027+G1027</f>
        <v>55</v>
      </c>
      <c r="M1027">
        <f t="shared" si="16"/>
        <v>634</v>
      </c>
      <c r="N1027" t="b">
        <v>0</v>
      </c>
      <c r="O1027">
        <v>1</v>
      </c>
      <c r="P1027" t="s">
        <v>1554</v>
      </c>
      <c r="Q1027">
        <v>2</v>
      </c>
      <c r="R1027" t="b">
        <v>1</v>
      </c>
    </row>
    <row r="1028" spans="1:18" hidden="1">
      <c r="A1028" t="s">
        <v>1269</v>
      </c>
      <c r="B1028" t="s">
        <v>2793</v>
      </c>
      <c r="C1028" t="s">
        <v>2794</v>
      </c>
      <c r="E1028">
        <v>55</v>
      </c>
      <c r="F1028">
        <v>340</v>
      </c>
      <c r="G1028">
        <v>0</v>
      </c>
      <c r="H1028">
        <v>0</v>
      </c>
      <c r="J1028" t="s">
        <v>93</v>
      </c>
      <c r="K1028" t="b">
        <v>0</v>
      </c>
      <c r="L1028">
        <f t="shared" si="16"/>
        <v>55</v>
      </c>
      <c r="M1028">
        <f t="shared" si="16"/>
        <v>340</v>
      </c>
      <c r="N1028" t="b">
        <v>0</v>
      </c>
      <c r="O1028">
        <v>0</v>
      </c>
      <c r="Q1028">
        <v>0</v>
      </c>
      <c r="R1028" t="b">
        <v>0</v>
      </c>
    </row>
    <row r="1029" spans="1:18">
      <c r="A1029" t="s">
        <v>1191</v>
      </c>
      <c r="B1029" t="s">
        <v>2795</v>
      </c>
      <c r="C1029" t="s">
        <v>2796</v>
      </c>
      <c r="E1029">
        <v>35</v>
      </c>
      <c r="F1029">
        <v>140</v>
      </c>
      <c r="G1029">
        <v>19</v>
      </c>
      <c r="H1029">
        <v>212</v>
      </c>
      <c r="J1029" t="s">
        <v>22</v>
      </c>
      <c r="K1029" t="b">
        <v>1</v>
      </c>
      <c r="L1029">
        <f t="shared" si="16"/>
        <v>54</v>
      </c>
      <c r="M1029">
        <f t="shared" si="16"/>
        <v>352</v>
      </c>
      <c r="N1029" t="b">
        <v>0</v>
      </c>
      <c r="O1029">
        <v>1</v>
      </c>
      <c r="P1029" t="s">
        <v>2797</v>
      </c>
      <c r="Q1029">
        <v>2</v>
      </c>
      <c r="R1029" t="b">
        <v>1</v>
      </c>
    </row>
    <row r="1030" spans="1:18">
      <c r="A1030" t="s">
        <v>1191</v>
      </c>
      <c r="B1030" t="s">
        <v>2798</v>
      </c>
      <c r="C1030" t="s">
        <v>2799</v>
      </c>
      <c r="E1030">
        <v>35</v>
      </c>
      <c r="F1030">
        <v>140</v>
      </c>
      <c r="G1030">
        <v>19</v>
      </c>
      <c r="H1030">
        <v>212</v>
      </c>
      <c r="J1030" t="s">
        <v>22</v>
      </c>
      <c r="K1030" t="b">
        <v>1</v>
      </c>
      <c r="L1030">
        <f t="shared" si="16"/>
        <v>54</v>
      </c>
      <c r="M1030">
        <f t="shared" si="16"/>
        <v>352</v>
      </c>
      <c r="N1030" t="b">
        <v>0</v>
      </c>
      <c r="O1030">
        <v>1</v>
      </c>
      <c r="P1030" t="s">
        <v>2800</v>
      </c>
      <c r="Q1030">
        <v>2</v>
      </c>
      <c r="R1030" t="b">
        <v>1</v>
      </c>
    </row>
    <row r="1031" spans="1:18" hidden="1">
      <c r="A1031" t="s">
        <v>248</v>
      </c>
      <c r="B1031" t="s">
        <v>2801</v>
      </c>
      <c r="C1031" t="s">
        <v>2802</v>
      </c>
      <c r="E1031">
        <v>21</v>
      </c>
      <c r="F1031">
        <v>118</v>
      </c>
      <c r="G1031">
        <v>33</v>
      </c>
      <c r="H1031">
        <v>427</v>
      </c>
      <c r="J1031" t="s">
        <v>93</v>
      </c>
      <c r="K1031" t="b">
        <v>1</v>
      </c>
      <c r="L1031">
        <f t="shared" si="16"/>
        <v>54</v>
      </c>
      <c r="M1031">
        <f t="shared" si="16"/>
        <v>545</v>
      </c>
      <c r="N1031" t="b">
        <v>0</v>
      </c>
      <c r="O1031">
        <v>0</v>
      </c>
      <c r="Q1031">
        <v>0</v>
      </c>
      <c r="R1031" t="b">
        <v>0</v>
      </c>
    </row>
    <row r="1032" spans="1:18" hidden="1">
      <c r="A1032" t="s">
        <v>24</v>
      </c>
      <c r="B1032" t="s">
        <v>2803</v>
      </c>
      <c r="C1032" t="s">
        <v>2804</v>
      </c>
      <c r="E1032">
        <v>37</v>
      </c>
      <c r="F1032">
        <v>106</v>
      </c>
      <c r="G1032">
        <v>16</v>
      </c>
      <c r="H1032">
        <v>21</v>
      </c>
      <c r="J1032" t="s">
        <v>93</v>
      </c>
      <c r="K1032" t="b">
        <v>1</v>
      </c>
      <c r="L1032">
        <f t="shared" si="16"/>
        <v>53</v>
      </c>
      <c r="M1032">
        <f t="shared" si="16"/>
        <v>127</v>
      </c>
      <c r="N1032" t="b">
        <v>0</v>
      </c>
      <c r="O1032">
        <v>0</v>
      </c>
      <c r="Q1032">
        <v>0</v>
      </c>
      <c r="R1032" t="b">
        <v>0</v>
      </c>
    </row>
    <row r="1033" spans="1:18">
      <c r="A1033" t="s">
        <v>2805</v>
      </c>
      <c r="B1033" t="s">
        <v>2806</v>
      </c>
      <c r="C1033" t="s">
        <v>2807</v>
      </c>
      <c r="E1033">
        <v>0</v>
      </c>
      <c r="F1033">
        <v>0</v>
      </c>
      <c r="G1033">
        <v>53</v>
      </c>
      <c r="H1033">
        <v>245</v>
      </c>
      <c r="J1033" t="s">
        <v>22</v>
      </c>
      <c r="K1033" t="b">
        <v>1</v>
      </c>
      <c r="L1033">
        <f t="shared" si="16"/>
        <v>53</v>
      </c>
      <c r="M1033">
        <f t="shared" si="16"/>
        <v>245</v>
      </c>
      <c r="N1033" t="b">
        <v>0</v>
      </c>
      <c r="O1033">
        <v>1</v>
      </c>
      <c r="P1033" t="s">
        <v>33</v>
      </c>
      <c r="Q1033">
        <v>2</v>
      </c>
      <c r="R1033" t="b">
        <v>1</v>
      </c>
    </row>
    <row r="1034" spans="1:18" hidden="1">
      <c r="A1034" t="s">
        <v>361</v>
      </c>
      <c r="B1034" t="s">
        <v>2808</v>
      </c>
      <c r="C1034" t="s">
        <v>2809</v>
      </c>
      <c r="D1034" t="s">
        <v>519</v>
      </c>
      <c r="E1034">
        <v>29</v>
      </c>
      <c r="F1034">
        <v>63</v>
      </c>
      <c r="G1034">
        <v>24</v>
      </c>
      <c r="H1034">
        <v>180</v>
      </c>
      <c r="I1034" t="s">
        <v>520</v>
      </c>
      <c r="J1034" t="s">
        <v>93</v>
      </c>
      <c r="K1034" t="b">
        <v>0</v>
      </c>
      <c r="L1034">
        <f t="shared" si="16"/>
        <v>53</v>
      </c>
      <c r="M1034">
        <f t="shared" si="16"/>
        <v>243</v>
      </c>
      <c r="N1034" t="b">
        <v>0</v>
      </c>
      <c r="O1034">
        <v>0</v>
      </c>
      <c r="Q1034">
        <v>0</v>
      </c>
      <c r="R1034" t="b">
        <v>0</v>
      </c>
    </row>
    <row r="1035" spans="1:18" hidden="1">
      <c r="A1035" t="s">
        <v>87</v>
      </c>
      <c r="B1035" t="s">
        <v>2810</v>
      </c>
      <c r="C1035" t="s">
        <v>2811</v>
      </c>
      <c r="E1035">
        <v>29</v>
      </c>
      <c r="F1035">
        <v>63</v>
      </c>
      <c r="G1035">
        <v>24</v>
      </c>
      <c r="H1035">
        <v>180</v>
      </c>
      <c r="J1035" t="s">
        <v>93</v>
      </c>
      <c r="K1035" t="b">
        <v>1</v>
      </c>
      <c r="L1035">
        <f t="shared" si="16"/>
        <v>53</v>
      </c>
      <c r="M1035">
        <f t="shared" si="16"/>
        <v>243</v>
      </c>
      <c r="N1035" t="b">
        <v>0</v>
      </c>
      <c r="O1035">
        <v>0</v>
      </c>
      <c r="Q1035">
        <v>0</v>
      </c>
      <c r="R1035" t="b">
        <v>0</v>
      </c>
    </row>
    <row r="1036" spans="1:18">
      <c r="A1036" t="s">
        <v>1191</v>
      </c>
      <c r="B1036" t="s">
        <v>2812</v>
      </c>
      <c r="C1036" t="s">
        <v>2813</v>
      </c>
      <c r="E1036">
        <v>35</v>
      </c>
      <c r="F1036">
        <v>100</v>
      </c>
      <c r="G1036">
        <v>17</v>
      </c>
      <c r="H1036">
        <v>59</v>
      </c>
      <c r="J1036" t="s">
        <v>22</v>
      </c>
      <c r="K1036" t="b">
        <v>1</v>
      </c>
      <c r="L1036">
        <f t="shared" si="16"/>
        <v>52</v>
      </c>
      <c r="M1036">
        <f t="shared" si="16"/>
        <v>159</v>
      </c>
      <c r="N1036" t="b">
        <v>0</v>
      </c>
      <c r="O1036">
        <v>1</v>
      </c>
      <c r="P1036" t="s">
        <v>2814</v>
      </c>
      <c r="Q1036">
        <v>2</v>
      </c>
      <c r="R1036" t="b">
        <v>1</v>
      </c>
    </row>
    <row r="1037" spans="1:18">
      <c r="A1037" t="s">
        <v>1224</v>
      </c>
      <c r="B1037" t="s">
        <v>2815</v>
      </c>
      <c r="C1037" t="s">
        <v>2816</v>
      </c>
      <c r="E1037">
        <v>38</v>
      </c>
      <c r="F1037">
        <v>1129</v>
      </c>
      <c r="G1037">
        <v>14</v>
      </c>
      <c r="H1037">
        <v>117</v>
      </c>
      <c r="J1037" t="s">
        <v>22</v>
      </c>
      <c r="K1037" t="b">
        <v>1</v>
      </c>
      <c r="L1037">
        <f t="shared" si="16"/>
        <v>52</v>
      </c>
      <c r="M1037">
        <f t="shared" si="16"/>
        <v>1246</v>
      </c>
      <c r="N1037" t="b">
        <v>0</v>
      </c>
      <c r="O1037">
        <v>1</v>
      </c>
      <c r="P1037" t="s">
        <v>2817</v>
      </c>
      <c r="Q1037">
        <v>2</v>
      </c>
      <c r="R1037" t="b">
        <v>1</v>
      </c>
    </row>
    <row r="1038" spans="1:18">
      <c r="A1038" t="s">
        <v>1224</v>
      </c>
      <c r="B1038" t="s">
        <v>2818</v>
      </c>
      <c r="C1038" t="s">
        <v>2819</v>
      </c>
      <c r="E1038">
        <v>38</v>
      </c>
      <c r="F1038">
        <v>1129</v>
      </c>
      <c r="G1038">
        <v>14</v>
      </c>
      <c r="H1038">
        <v>117</v>
      </c>
      <c r="J1038" t="s">
        <v>22</v>
      </c>
      <c r="K1038" t="b">
        <v>1</v>
      </c>
      <c r="L1038">
        <f t="shared" si="16"/>
        <v>52</v>
      </c>
      <c r="M1038">
        <f t="shared" si="16"/>
        <v>1246</v>
      </c>
      <c r="N1038" t="b">
        <v>0</v>
      </c>
      <c r="O1038">
        <v>1</v>
      </c>
      <c r="P1038" t="s">
        <v>2820</v>
      </c>
      <c r="Q1038">
        <v>2</v>
      </c>
      <c r="R1038" t="b">
        <v>1</v>
      </c>
    </row>
    <row r="1039" spans="1:18">
      <c r="A1039" t="s">
        <v>205</v>
      </c>
      <c r="B1039" t="s">
        <v>2821</v>
      </c>
      <c r="C1039" t="s">
        <v>2822</v>
      </c>
      <c r="E1039">
        <v>32</v>
      </c>
      <c r="F1039">
        <v>209</v>
      </c>
      <c r="G1039">
        <v>20</v>
      </c>
      <c r="H1039">
        <v>89</v>
      </c>
      <c r="J1039" t="s">
        <v>22</v>
      </c>
      <c r="K1039" t="b">
        <v>1</v>
      </c>
      <c r="L1039">
        <f t="shared" si="16"/>
        <v>52</v>
      </c>
      <c r="M1039">
        <f t="shared" si="16"/>
        <v>298</v>
      </c>
      <c r="N1039" t="b">
        <v>0</v>
      </c>
      <c r="O1039">
        <v>1</v>
      </c>
      <c r="P1039" t="s">
        <v>803</v>
      </c>
      <c r="Q1039">
        <v>2</v>
      </c>
      <c r="R1039" t="b">
        <v>1</v>
      </c>
    </row>
    <row r="1040" spans="1:18">
      <c r="A1040" t="s">
        <v>59</v>
      </c>
      <c r="B1040" t="s">
        <v>2823</v>
      </c>
      <c r="C1040" t="s">
        <v>2824</v>
      </c>
      <c r="E1040">
        <v>35</v>
      </c>
      <c r="F1040">
        <v>254</v>
      </c>
      <c r="G1040">
        <v>17</v>
      </c>
      <c r="H1040">
        <v>190</v>
      </c>
      <c r="J1040" t="s">
        <v>22</v>
      </c>
      <c r="K1040" t="b">
        <v>1</v>
      </c>
      <c r="L1040">
        <f t="shared" si="16"/>
        <v>52</v>
      </c>
      <c r="M1040">
        <f t="shared" si="16"/>
        <v>444</v>
      </c>
      <c r="N1040" t="b">
        <v>0</v>
      </c>
      <c r="O1040">
        <v>1</v>
      </c>
      <c r="P1040" t="s">
        <v>2825</v>
      </c>
      <c r="Q1040">
        <v>2</v>
      </c>
      <c r="R1040" t="b">
        <v>1</v>
      </c>
    </row>
    <row r="1041" spans="1:18">
      <c r="A1041" t="s">
        <v>24</v>
      </c>
      <c r="B1041" t="s">
        <v>2826</v>
      </c>
      <c r="C1041" t="s">
        <v>2827</v>
      </c>
      <c r="E1041">
        <v>35</v>
      </c>
      <c r="F1041">
        <v>288</v>
      </c>
      <c r="G1041">
        <v>16</v>
      </c>
      <c r="H1041">
        <v>120</v>
      </c>
      <c r="J1041" t="s">
        <v>22</v>
      </c>
      <c r="K1041" t="b">
        <v>1</v>
      </c>
      <c r="L1041">
        <f t="shared" si="16"/>
        <v>51</v>
      </c>
      <c r="M1041">
        <f t="shared" si="16"/>
        <v>408</v>
      </c>
      <c r="N1041" t="b">
        <v>0</v>
      </c>
      <c r="O1041">
        <v>1</v>
      </c>
      <c r="P1041" t="s">
        <v>2828</v>
      </c>
      <c r="Q1041">
        <v>2</v>
      </c>
      <c r="R1041" t="b">
        <v>1</v>
      </c>
    </row>
    <row r="1042" spans="1:18">
      <c r="A1042" t="s">
        <v>205</v>
      </c>
      <c r="B1042" t="s">
        <v>2829</v>
      </c>
      <c r="C1042" t="s">
        <v>2830</v>
      </c>
      <c r="E1042">
        <v>40</v>
      </c>
      <c r="F1042">
        <v>126</v>
      </c>
      <c r="G1042">
        <v>11</v>
      </c>
      <c r="H1042">
        <v>15</v>
      </c>
      <c r="J1042" t="s">
        <v>22</v>
      </c>
      <c r="K1042" t="b">
        <v>1</v>
      </c>
      <c r="L1042">
        <f t="shared" si="16"/>
        <v>51</v>
      </c>
      <c r="M1042">
        <f t="shared" si="16"/>
        <v>141</v>
      </c>
      <c r="N1042" t="b">
        <v>0</v>
      </c>
      <c r="O1042">
        <v>1</v>
      </c>
      <c r="P1042" t="s">
        <v>1775</v>
      </c>
      <c r="Q1042">
        <v>2</v>
      </c>
      <c r="R1042" t="b">
        <v>1</v>
      </c>
    </row>
    <row r="1043" spans="1:18" hidden="1">
      <c r="A1043" t="s">
        <v>1293</v>
      </c>
      <c r="B1043" t="s">
        <v>2831</v>
      </c>
      <c r="C1043" t="s">
        <v>2832</v>
      </c>
      <c r="E1043">
        <v>32</v>
      </c>
      <c r="F1043">
        <v>196</v>
      </c>
      <c r="G1043">
        <v>19</v>
      </c>
      <c r="H1043">
        <v>130</v>
      </c>
      <c r="J1043" t="s">
        <v>93</v>
      </c>
      <c r="K1043" t="b">
        <v>0</v>
      </c>
      <c r="L1043">
        <f t="shared" si="16"/>
        <v>51</v>
      </c>
      <c r="M1043">
        <f t="shared" si="16"/>
        <v>326</v>
      </c>
      <c r="N1043" t="b">
        <v>0</v>
      </c>
      <c r="O1043">
        <v>0</v>
      </c>
      <c r="Q1043">
        <v>0</v>
      </c>
      <c r="R1043" t="b">
        <v>0</v>
      </c>
    </row>
    <row r="1044" spans="1:18">
      <c r="A1044" t="s">
        <v>2833</v>
      </c>
      <c r="B1044" t="s">
        <v>2834</v>
      </c>
      <c r="C1044" t="s">
        <v>2835</v>
      </c>
      <c r="E1044">
        <v>0</v>
      </c>
      <c r="F1044">
        <v>0</v>
      </c>
      <c r="G1044">
        <v>51</v>
      </c>
      <c r="H1044">
        <v>236</v>
      </c>
      <c r="J1044" t="s">
        <v>22</v>
      </c>
      <c r="K1044" t="b">
        <v>1</v>
      </c>
      <c r="L1044">
        <f t="shared" si="16"/>
        <v>51</v>
      </c>
      <c r="M1044">
        <f t="shared" si="16"/>
        <v>236</v>
      </c>
      <c r="N1044" t="b">
        <v>0</v>
      </c>
      <c r="O1044">
        <v>1</v>
      </c>
      <c r="P1044" t="s">
        <v>2836</v>
      </c>
      <c r="Q1044">
        <v>4</v>
      </c>
      <c r="R1044" t="b">
        <v>1</v>
      </c>
    </row>
    <row r="1045" spans="1:18">
      <c r="A1045" t="s">
        <v>2833</v>
      </c>
      <c r="B1045" t="s">
        <v>2837</v>
      </c>
      <c r="C1045" t="s">
        <v>2838</v>
      </c>
      <c r="E1045">
        <v>0</v>
      </c>
      <c r="F1045">
        <v>0</v>
      </c>
      <c r="G1045">
        <v>51</v>
      </c>
      <c r="H1045">
        <v>236</v>
      </c>
      <c r="J1045" t="s">
        <v>22</v>
      </c>
      <c r="K1045" t="b">
        <v>1</v>
      </c>
      <c r="L1045">
        <f t="shared" si="16"/>
        <v>51</v>
      </c>
      <c r="M1045">
        <f t="shared" si="16"/>
        <v>236</v>
      </c>
      <c r="N1045" t="b">
        <v>0</v>
      </c>
      <c r="O1045">
        <v>1</v>
      </c>
      <c r="P1045" t="s">
        <v>2839</v>
      </c>
      <c r="Q1045">
        <v>2</v>
      </c>
      <c r="R1045" t="b">
        <v>1</v>
      </c>
    </row>
    <row r="1046" spans="1:18">
      <c r="A1046" t="s">
        <v>2833</v>
      </c>
      <c r="B1046" t="s">
        <v>2840</v>
      </c>
      <c r="C1046" t="s">
        <v>2841</v>
      </c>
      <c r="E1046">
        <v>0</v>
      </c>
      <c r="F1046">
        <v>0</v>
      </c>
      <c r="G1046">
        <v>51</v>
      </c>
      <c r="H1046">
        <v>236</v>
      </c>
      <c r="J1046" t="s">
        <v>22</v>
      </c>
      <c r="K1046" t="b">
        <v>1</v>
      </c>
      <c r="L1046">
        <f t="shared" si="16"/>
        <v>51</v>
      </c>
      <c r="M1046">
        <f t="shared" si="16"/>
        <v>236</v>
      </c>
      <c r="N1046" t="b">
        <v>0</v>
      </c>
      <c r="O1046">
        <v>1</v>
      </c>
      <c r="P1046" t="s">
        <v>2842</v>
      </c>
      <c r="Q1046">
        <v>2</v>
      </c>
      <c r="R1046" t="b">
        <v>1</v>
      </c>
    </row>
    <row r="1047" spans="1:18">
      <c r="A1047" t="s">
        <v>2833</v>
      </c>
      <c r="B1047" t="s">
        <v>2843</v>
      </c>
      <c r="C1047" t="s">
        <v>2844</v>
      </c>
      <c r="E1047">
        <v>0</v>
      </c>
      <c r="F1047">
        <v>0</v>
      </c>
      <c r="G1047">
        <v>51</v>
      </c>
      <c r="H1047">
        <v>236</v>
      </c>
      <c r="J1047" t="s">
        <v>22</v>
      </c>
      <c r="K1047" t="b">
        <v>1</v>
      </c>
      <c r="L1047">
        <f t="shared" si="16"/>
        <v>51</v>
      </c>
      <c r="M1047">
        <f t="shared" si="16"/>
        <v>236</v>
      </c>
      <c r="N1047" t="b">
        <v>0</v>
      </c>
      <c r="O1047">
        <v>1</v>
      </c>
      <c r="P1047" t="s">
        <v>2845</v>
      </c>
      <c r="Q1047">
        <v>2</v>
      </c>
      <c r="R1047" t="b">
        <v>1</v>
      </c>
    </row>
    <row r="1048" spans="1:18">
      <c r="A1048" t="s">
        <v>2805</v>
      </c>
      <c r="B1048" t="s">
        <v>2846</v>
      </c>
      <c r="C1048" t="s">
        <v>2847</v>
      </c>
      <c r="E1048">
        <v>0</v>
      </c>
      <c r="F1048">
        <v>0</v>
      </c>
      <c r="G1048">
        <v>51</v>
      </c>
      <c r="H1048">
        <v>234</v>
      </c>
      <c r="J1048" t="s">
        <v>22</v>
      </c>
      <c r="K1048" t="b">
        <v>1</v>
      </c>
      <c r="L1048">
        <f t="shared" si="16"/>
        <v>51</v>
      </c>
      <c r="M1048">
        <f t="shared" si="16"/>
        <v>234</v>
      </c>
      <c r="N1048" t="b">
        <v>0</v>
      </c>
      <c r="O1048">
        <v>1</v>
      </c>
      <c r="P1048" t="s">
        <v>144</v>
      </c>
      <c r="Q1048">
        <v>2</v>
      </c>
      <c r="R1048" t="b">
        <v>1</v>
      </c>
    </row>
    <row r="1049" spans="1:18">
      <c r="A1049" t="s">
        <v>2805</v>
      </c>
      <c r="B1049" t="s">
        <v>2848</v>
      </c>
      <c r="C1049" t="s">
        <v>2849</v>
      </c>
      <c r="E1049">
        <v>0</v>
      </c>
      <c r="F1049">
        <v>0</v>
      </c>
      <c r="G1049">
        <v>51</v>
      </c>
      <c r="H1049">
        <v>234</v>
      </c>
      <c r="J1049" t="s">
        <v>22</v>
      </c>
      <c r="K1049" t="b">
        <v>1</v>
      </c>
      <c r="L1049">
        <f t="shared" si="16"/>
        <v>51</v>
      </c>
      <c r="M1049">
        <f t="shared" si="16"/>
        <v>234</v>
      </c>
      <c r="N1049" t="b">
        <v>0</v>
      </c>
      <c r="O1049">
        <v>1</v>
      </c>
      <c r="P1049" t="s">
        <v>2850</v>
      </c>
      <c r="Q1049">
        <v>2</v>
      </c>
      <c r="R1049" t="b">
        <v>1</v>
      </c>
    </row>
    <row r="1050" spans="1:18" hidden="1">
      <c r="A1050" t="s">
        <v>2851</v>
      </c>
      <c r="B1050" t="s">
        <v>2852</v>
      </c>
      <c r="C1050" t="s">
        <v>2853</v>
      </c>
      <c r="E1050">
        <v>36</v>
      </c>
      <c r="F1050">
        <v>39</v>
      </c>
      <c r="G1050">
        <v>15</v>
      </c>
      <c r="H1050">
        <v>26</v>
      </c>
      <c r="J1050" t="s">
        <v>93</v>
      </c>
      <c r="K1050" t="b">
        <v>0</v>
      </c>
      <c r="L1050">
        <f t="shared" si="16"/>
        <v>51</v>
      </c>
      <c r="M1050">
        <f t="shared" si="16"/>
        <v>65</v>
      </c>
      <c r="N1050" t="b">
        <v>0</v>
      </c>
      <c r="O1050">
        <v>0</v>
      </c>
      <c r="Q1050">
        <v>0</v>
      </c>
      <c r="R1050" t="b">
        <v>0</v>
      </c>
    </row>
    <row r="1051" spans="1:18" hidden="1">
      <c r="A1051" t="s">
        <v>2851</v>
      </c>
      <c r="B1051" t="s">
        <v>2854</v>
      </c>
      <c r="C1051" t="s">
        <v>2855</v>
      </c>
      <c r="E1051">
        <v>36</v>
      </c>
      <c r="F1051">
        <v>39</v>
      </c>
      <c r="G1051">
        <v>15</v>
      </c>
      <c r="H1051">
        <v>26</v>
      </c>
      <c r="J1051" t="s">
        <v>93</v>
      </c>
      <c r="K1051" t="b">
        <v>0</v>
      </c>
      <c r="L1051">
        <f t="shared" si="16"/>
        <v>51</v>
      </c>
      <c r="M1051">
        <f t="shared" si="16"/>
        <v>65</v>
      </c>
      <c r="N1051" t="b">
        <v>0</v>
      </c>
      <c r="O1051">
        <v>0</v>
      </c>
      <c r="Q1051">
        <v>0</v>
      </c>
      <c r="R1051" t="b">
        <v>0</v>
      </c>
    </row>
    <row r="1052" spans="1:18" hidden="1">
      <c r="A1052" t="s">
        <v>87</v>
      </c>
      <c r="B1052" t="s">
        <v>2856</v>
      </c>
      <c r="C1052" t="s">
        <v>2857</v>
      </c>
      <c r="D1052" t="s">
        <v>519</v>
      </c>
      <c r="E1052">
        <v>39</v>
      </c>
      <c r="F1052">
        <v>696</v>
      </c>
      <c r="G1052">
        <v>12</v>
      </c>
      <c r="H1052">
        <v>321</v>
      </c>
      <c r="J1052" t="s">
        <v>93</v>
      </c>
      <c r="K1052" t="b">
        <v>1</v>
      </c>
      <c r="L1052">
        <f t="shared" si="16"/>
        <v>51</v>
      </c>
      <c r="M1052">
        <f t="shared" si="16"/>
        <v>1017</v>
      </c>
      <c r="N1052" t="b">
        <v>0</v>
      </c>
      <c r="O1052">
        <v>0</v>
      </c>
      <c r="Q1052">
        <v>0</v>
      </c>
      <c r="R1052" t="b">
        <v>0</v>
      </c>
    </row>
    <row r="1053" spans="1:18">
      <c r="A1053" t="s">
        <v>545</v>
      </c>
      <c r="B1053" t="s">
        <v>2858</v>
      </c>
      <c r="C1053" t="s">
        <v>2859</v>
      </c>
      <c r="E1053">
        <v>37</v>
      </c>
      <c r="F1053">
        <v>166</v>
      </c>
      <c r="G1053">
        <v>14</v>
      </c>
      <c r="H1053">
        <v>102</v>
      </c>
      <c r="J1053" t="s">
        <v>22</v>
      </c>
      <c r="K1053" t="b">
        <v>1</v>
      </c>
      <c r="L1053">
        <f t="shared" si="16"/>
        <v>51</v>
      </c>
      <c r="M1053">
        <f t="shared" si="16"/>
        <v>268</v>
      </c>
      <c r="N1053" t="b">
        <v>0</v>
      </c>
      <c r="O1053">
        <v>1</v>
      </c>
      <c r="P1053" t="s">
        <v>2860</v>
      </c>
      <c r="Q1053">
        <v>2</v>
      </c>
      <c r="R1053" t="b">
        <v>1</v>
      </c>
    </row>
    <row r="1054" spans="1:18" hidden="1">
      <c r="A1054" t="s">
        <v>573</v>
      </c>
      <c r="B1054" t="s">
        <v>2861</v>
      </c>
      <c r="C1054" t="s">
        <v>2862</v>
      </c>
      <c r="D1054" t="s">
        <v>93</v>
      </c>
      <c r="E1054">
        <v>33</v>
      </c>
      <c r="F1054">
        <v>497</v>
      </c>
      <c r="G1054">
        <v>17</v>
      </c>
      <c r="H1054">
        <v>33</v>
      </c>
      <c r="I1054" t="s">
        <v>2863</v>
      </c>
      <c r="J1054" t="s">
        <v>93</v>
      </c>
      <c r="K1054" t="b">
        <v>1</v>
      </c>
      <c r="L1054">
        <f t="shared" si="16"/>
        <v>50</v>
      </c>
      <c r="M1054">
        <f t="shared" si="16"/>
        <v>530</v>
      </c>
      <c r="N1054" t="b">
        <v>0</v>
      </c>
      <c r="O1054">
        <v>0</v>
      </c>
      <c r="Q1054">
        <v>0</v>
      </c>
      <c r="R1054" t="b">
        <v>0</v>
      </c>
    </row>
    <row r="1055" spans="1:18">
      <c r="A1055" t="s">
        <v>1984</v>
      </c>
      <c r="B1055" t="s">
        <v>2864</v>
      </c>
      <c r="C1055" t="s">
        <v>2865</v>
      </c>
      <c r="E1055">
        <v>38</v>
      </c>
      <c r="F1055">
        <v>662</v>
      </c>
      <c r="G1055">
        <v>12</v>
      </c>
      <c r="H1055">
        <v>80</v>
      </c>
      <c r="J1055" t="s">
        <v>22</v>
      </c>
      <c r="K1055" t="b">
        <v>1</v>
      </c>
      <c r="L1055">
        <f t="shared" si="16"/>
        <v>50</v>
      </c>
      <c r="M1055">
        <f t="shared" si="16"/>
        <v>742</v>
      </c>
      <c r="N1055" t="b">
        <v>0</v>
      </c>
      <c r="O1055">
        <v>1</v>
      </c>
      <c r="P1055" t="s">
        <v>2866</v>
      </c>
      <c r="Q1055">
        <v>2</v>
      </c>
      <c r="R1055" t="b">
        <v>1</v>
      </c>
    </row>
    <row r="1056" spans="1:18">
      <c r="A1056" t="s">
        <v>2775</v>
      </c>
      <c r="B1056" t="s">
        <v>2867</v>
      </c>
      <c r="C1056" t="s">
        <v>2868</v>
      </c>
      <c r="E1056">
        <v>33</v>
      </c>
      <c r="F1056">
        <v>260</v>
      </c>
      <c r="G1056">
        <v>17</v>
      </c>
      <c r="H1056">
        <v>40</v>
      </c>
      <c r="J1056" t="s">
        <v>22</v>
      </c>
      <c r="K1056" t="b">
        <v>1</v>
      </c>
      <c r="L1056">
        <f t="shared" si="16"/>
        <v>50</v>
      </c>
      <c r="M1056">
        <f t="shared" si="16"/>
        <v>300</v>
      </c>
      <c r="N1056" t="b">
        <v>0</v>
      </c>
      <c r="O1056">
        <v>1</v>
      </c>
      <c r="P1056" t="s">
        <v>144</v>
      </c>
      <c r="Q1056">
        <v>2</v>
      </c>
      <c r="R1056" t="b">
        <v>1</v>
      </c>
    </row>
    <row r="1057" spans="1:18">
      <c r="A1057" t="s">
        <v>1143</v>
      </c>
      <c r="B1057" t="s">
        <v>2869</v>
      </c>
      <c r="C1057" t="s">
        <v>2870</v>
      </c>
      <c r="E1057">
        <v>0</v>
      </c>
      <c r="F1057">
        <v>0</v>
      </c>
      <c r="G1057">
        <v>50</v>
      </c>
      <c r="H1057">
        <v>303</v>
      </c>
      <c r="J1057" t="s">
        <v>22</v>
      </c>
      <c r="K1057" t="b">
        <v>1</v>
      </c>
      <c r="L1057">
        <f t="shared" si="16"/>
        <v>50</v>
      </c>
      <c r="M1057">
        <f t="shared" si="16"/>
        <v>303</v>
      </c>
      <c r="N1057" t="b">
        <v>0</v>
      </c>
      <c r="O1057">
        <v>1</v>
      </c>
      <c r="P1057" t="s">
        <v>2871</v>
      </c>
      <c r="Q1057">
        <v>2</v>
      </c>
      <c r="R1057" t="b">
        <v>1</v>
      </c>
    </row>
    <row r="1058" spans="1:18">
      <c r="A1058" t="s">
        <v>1143</v>
      </c>
      <c r="B1058" t="s">
        <v>2872</v>
      </c>
      <c r="C1058" t="s">
        <v>2873</v>
      </c>
      <c r="E1058">
        <v>0</v>
      </c>
      <c r="F1058">
        <v>0</v>
      </c>
      <c r="G1058">
        <v>50</v>
      </c>
      <c r="H1058">
        <v>303</v>
      </c>
      <c r="J1058" t="s">
        <v>22</v>
      </c>
      <c r="K1058" t="b">
        <v>1</v>
      </c>
      <c r="L1058">
        <f t="shared" si="16"/>
        <v>50</v>
      </c>
      <c r="M1058">
        <f t="shared" si="16"/>
        <v>303</v>
      </c>
      <c r="N1058" t="b">
        <v>0</v>
      </c>
      <c r="O1058">
        <v>1</v>
      </c>
      <c r="P1058" t="s">
        <v>2874</v>
      </c>
      <c r="Q1058">
        <v>2</v>
      </c>
      <c r="R1058" t="b">
        <v>1</v>
      </c>
    </row>
    <row r="1059" spans="1:18">
      <c r="A1059" t="s">
        <v>1224</v>
      </c>
      <c r="B1059" t="s">
        <v>2875</v>
      </c>
      <c r="C1059" t="s">
        <v>2876</v>
      </c>
      <c r="E1059">
        <v>41</v>
      </c>
      <c r="F1059">
        <v>205</v>
      </c>
      <c r="G1059">
        <v>8</v>
      </c>
      <c r="H1059">
        <v>27</v>
      </c>
      <c r="J1059" t="s">
        <v>22</v>
      </c>
      <c r="K1059" t="b">
        <v>1</v>
      </c>
      <c r="L1059">
        <f t="shared" si="16"/>
        <v>49</v>
      </c>
      <c r="M1059">
        <f t="shared" si="16"/>
        <v>232</v>
      </c>
      <c r="N1059" t="b">
        <v>0</v>
      </c>
      <c r="O1059">
        <v>1</v>
      </c>
      <c r="P1059" t="s">
        <v>2877</v>
      </c>
      <c r="Q1059">
        <v>2</v>
      </c>
      <c r="R1059" t="b">
        <v>1</v>
      </c>
    </row>
    <row r="1060" spans="1:18">
      <c r="A1060" t="s">
        <v>1224</v>
      </c>
      <c r="B1060" t="s">
        <v>2878</v>
      </c>
      <c r="C1060" t="s">
        <v>2879</v>
      </c>
      <c r="E1060">
        <v>35</v>
      </c>
      <c r="F1060">
        <v>886</v>
      </c>
      <c r="G1060">
        <v>14</v>
      </c>
      <c r="H1060">
        <v>117</v>
      </c>
      <c r="J1060" t="s">
        <v>22</v>
      </c>
      <c r="K1060" t="b">
        <v>1</v>
      </c>
      <c r="L1060">
        <f t="shared" si="16"/>
        <v>49</v>
      </c>
      <c r="M1060">
        <f t="shared" si="16"/>
        <v>1003</v>
      </c>
      <c r="N1060" t="b">
        <v>0</v>
      </c>
      <c r="O1060">
        <v>1</v>
      </c>
      <c r="P1060" t="s">
        <v>2880</v>
      </c>
      <c r="Q1060">
        <v>2</v>
      </c>
      <c r="R1060" t="b">
        <v>1</v>
      </c>
    </row>
    <row r="1061" spans="1:18" hidden="1">
      <c r="A1061" t="s">
        <v>24</v>
      </c>
      <c r="B1061" t="s">
        <v>2881</v>
      </c>
      <c r="C1061" t="s">
        <v>2882</v>
      </c>
      <c r="E1061">
        <v>33</v>
      </c>
      <c r="F1061">
        <v>497</v>
      </c>
      <c r="G1061">
        <v>16</v>
      </c>
      <c r="H1061">
        <v>32</v>
      </c>
      <c r="J1061" t="s">
        <v>93</v>
      </c>
      <c r="K1061" t="b">
        <v>1</v>
      </c>
      <c r="L1061">
        <f t="shared" si="16"/>
        <v>49</v>
      </c>
      <c r="M1061">
        <f t="shared" si="16"/>
        <v>529</v>
      </c>
      <c r="N1061" t="b">
        <v>0</v>
      </c>
      <c r="O1061">
        <v>0</v>
      </c>
      <c r="Q1061">
        <v>0</v>
      </c>
      <c r="R1061" t="b">
        <v>0</v>
      </c>
    </row>
    <row r="1062" spans="1:18" hidden="1">
      <c r="A1062" t="s">
        <v>2443</v>
      </c>
      <c r="B1062" t="s">
        <v>2883</v>
      </c>
      <c r="C1062" t="s">
        <v>2884</v>
      </c>
      <c r="E1062">
        <v>24</v>
      </c>
      <c r="F1062">
        <v>77</v>
      </c>
      <c r="G1062">
        <v>25</v>
      </c>
      <c r="H1062">
        <v>58</v>
      </c>
      <c r="J1062" t="s">
        <v>93</v>
      </c>
      <c r="K1062" t="b">
        <v>0</v>
      </c>
      <c r="L1062">
        <f t="shared" si="16"/>
        <v>49</v>
      </c>
      <c r="M1062">
        <f t="shared" si="16"/>
        <v>135</v>
      </c>
      <c r="N1062" t="b">
        <v>0</v>
      </c>
      <c r="O1062">
        <v>0</v>
      </c>
      <c r="Q1062">
        <v>0</v>
      </c>
      <c r="R1062" t="b">
        <v>0</v>
      </c>
    </row>
    <row r="1063" spans="1:18" hidden="1">
      <c r="A1063" t="s">
        <v>2443</v>
      </c>
      <c r="B1063" t="s">
        <v>2885</v>
      </c>
      <c r="C1063" t="s">
        <v>2886</v>
      </c>
      <c r="E1063">
        <v>25</v>
      </c>
      <c r="F1063">
        <v>77</v>
      </c>
      <c r="G1063">
        <v>24</v>
      </c>
      <c r="H1063">
        <v>53</v>
      </c>
      <c r="J1063" t="s">
        <v>93</v>
      </c>
      <c r="K1063" t="b">
        <v>0</v>
      </c>
      <c r="L1063">
        <f t="shared" si="16"/>
        <v>49</v>
      </c>
      <c r="M1063">
        <f t="shared" si="16"/>
        <v>130</v>
      </c>
      <c r="N1063" t="b">
        <v>0</v>
      </c>
      <c r="O1063">
        <v>0</v>
      </c>
      <c r="Q1063">
        <v>0</v>
      </c>
      <c r="R1063" t="b">
        <v>0</v>
      </c>
    </row>
    <row r="1064" spans="1:18" hidden="1">
      <c r="A1064" t="s">
        <v>809</v>
      </c>
      <c r="B1064" t="s">
        <v>2887</v>
      </c>
      <c r="C1064" t="s">
        <v>2888</v>
      </c>
      <c r="E1064">
        <v>34</v>
      </c>
      <c r="F1064">
        <v>0</v>
      </c>
      <c r="G1064">
        <v>15</v>
      </c>
      <c r="H1064">
        <v>15</v>
      </c>
      <c r="J1064" t="s">
        <v>93</v>
      </c>
      <c r="K1064" t="b">
        <v>0</v>
      </c>
      <c r="L1064">
        <f t="shared" si="16"/>
        <v>49</v>
      </c>
      <c r="M1064">
        <f t="shared" si="16"/>
        <v>15</v>
      </c>
      <c r="N1064" t="b">
        <v>1</v>
      </c>
      <c r="O1064">
        <v>0</v>
      </c>
      <c r="Q1064">
        <v>0</v>
      </c>
      <c r="R1064" t="b">
        <v>0</v>
      </c>
    </row>
    <row r="1065" spans="1:18">
      <c r="A1065" t="s">
        <v>1191</v>
      </c>
      <c r="B1065" t="s">
        <v>2889</v>
      </c>
      <c r="C1065" t="s">
        <v>2890</v>
      </c>
      <c r="E1065">
        <v>32</v>
      </c>
      <c r="F1065">
        <v>253</v>
      </c>
      <c r="G1065">
        <v>16</v>
      </c>
      <c r="H1065">
        <v>102</v>
      </c>
      <c r="J1065" t="s">
        <v>22</v>
      </c>
      <c r="K1065" t="b">
        <v>1</v>
      </c>
      <c r="L1065">
        <f t="shared" si="16"/>
        <v>48</v>
      </c>
      <c r="M1065">
        <f t="shared" si="16"/>
        <v>355</v>
      </c>
      <c r="N1065" t="b">
        <v>0</v>
      </c>
      <c r="O1065">
        <v>1</v>
      </c>
      <c r="P1065" t="s">
        <v>2891</v>
      </c>
      <c r="Q1065">
        <v>2</v>
      </c>
      <c r="R1065" t="b">
        <v>1</v>
      </c>
    </row>
    <row r="1066" spans="1:18">
      <c r="A1066" t="s">
        <v>1191</v>
      </c>
      <c r="B1066" t="s">
        <v>2892</v>
      </c>
      <c r="C1066" t="s">
        <v>2893</v>
      </c>
      <c r="E1066">
        <v>32</v>
      </c>
      <c r="F1066">
        <v>253</v>
      </c>
      <c r="G1066">
        <v>16</v>
      </c>
      <c r="H1066">
        <v>102</v>
      </c>
      <c r="J1066" t="s">
        <v>22</v>
      </c>
      <c r="K1066" t="b">
        <v>1</v>
      </c>
      <c r="L1066">
        <f t="shared" si="16"/>
        <v>48</v>
      </c>
      <c r="M1066">
        <f t="shared" si="16"/>
        <v>355</v>
      </c>
      <c r="N1066" t="b">
        <v>0</v>
      </c>
      <c r="O1066">
        <v>1</v>
      </c>
      <c r="P1066" t="s">
        <v>2894</v>
      </c>
      <c r="Q1066">
        <v>2</v>
      </c>
      <c r="R1066" t="b">
        <v>1</v>
      </c>
    </row>
    <row r="1067" spans="1:18">
      <c r="A1067" t="s">
        <v>857</v>
      </c>
      <c r="B1067" t="s">
        <v>2895</v>
      </c>
      <c r="C1067" t="s">
        <v>2896</v>
      </c>
      <c r="E1067">
        <v>27</v>
      </c>
      <c r="F1067">
        <v>32</v>
      </c>
      <c r="G1067">
        <v>21</v>
      </c>
      <c r="H1067">
        <v>34</v>
      </c>
      <c r="J1067" t="s">
        <v>22</v>
      </c>
      <c r="K1067" t="b">
        <v>1</v>
      </c>
      <c r="L1067">
        <f t="shared" si="16"/>
        <v>48</v>
      </c>
      <c r="M1067">
        <f t="shared" si="16"/>
        <v>66</v>
      </c>
      <c r="N1067" t="b">
        <v>0</v>
      </c>
      <c r="O1067">
        <v>1</v>
      </c>
      <c r="P1067" t="s">
        <v>2897</v>
      </c>
      <c r="Q1067">
        <v>2</v>
      </c>
      <c r="R1067" t="b">
        <v>1</v>
      </c>
    </row>
    <row r="1068" spans="1:18">
      <c r="A1068" t="s">
        <v>2833</v>
      </c>
      <c r="B1068" t="s">
        <v>2898</v>
      </c>
      <c r="C1068" t="s">
        <v>2899</v>
      </c>
      <c r="E1068">
        <v>0</v>
      </c>
      <c r="F1068">
        <v>0</v>
      </c>
      <c r="G1068">
        <v>48</v>
      </c>
      <c r="H1068">
        <v>191</v>
      </c>
      <c r="J1068" t="s">
        <v>22</v>
      </c>
      <c r="K1068" t="b">
        <v>1</v>
      </c>
      <c r="L1068">
        <f t="shared" si="16"/>
        <v>48</v>
      </c>
      <c r="M1068">
        <f t="shared" si="16"/>
        <v>191</v>
      </c>
      <c r="N1068" t="b">
        <v>0</v>
      </c>
      <c r="O1068">
        <v>1</v>
      </c>
      <c r="P1068" t="s">
        <v>2900</v>
      </c>
      <c r="Q1068">
        <v>2</v>
      </c>
      <c r="R1068" t="b">
        <v>1</v>
      </c>
    </row>
    <row r="1069" spans="1:18" hidden="1">
      <c r="A1069" t="s">
        <v>2901</v>
      </c>
      <c r="B1069" t="s">
        <v>2902</v>
      </c>
      <c r="C1069" t="s">
        <v>2903</v>
      </c>
      <c r="E1069">
        <v>25</v>
      </c>
      <c r="F1069">
        <v>90</v>
      </c>
      <c r="G1069">
        <v>23</v>
      </c>
      <c r="H1069">
        <v>39</v>
      </c>
      <c r="J1069" t="s">
        <v>93</v>
      </c>
      <c r="K1069" t="b">
        <v>0</v>
      </c>
      <c r="L1069">
        <f t="shared" si="16"/>
        <v>48</v>
      </c>
      <c r="M1069">
        <f t="shared" si="16"/>
        <v>129</v>
      </c>
      <c r="N1069" t="b">
        <v>0</v>
      </c>
      <c r="O1069">
        <v>0</v>
      </c>
      <c r="Q1069">
        <v>0</v>
      </c>
      <c r="R1069" t="b">
        <v>0</v>
      </c>
    </row>
    <row r="1070" spans="1:18" hidden="1">
      <c r="A1070" t="s">
        <v>1143</v>
      </c>
      <c r="B1070" t="s">
        <v>2904</v>
      </c>
      <c r="C1070" t="s">
        <v>2905</v>
      </c>
      <c r="E1070">
        <v>0</v>
      </c>
      <c r="F1070">
        <v>0</v>
      </c>
      <c r="G1070">
        <v>48</v>
      </c>
      <c r="H1070">
        <v>301</v>
      </c>
      <c r="J1070" t="s">
        <v>93</v>
      </c>
      <c r="K1070" t="b">
        <v>1</v>
      </c>
      <c r="L1070">
        <f t="shared" si="16"/>
        <v>48</v>
      </c>
      <c r="M1070">
        <f t="shared" si="16"/>
        <v>301</v>
      </c>
      <c r="N1070" t="b">
        <v>0</v>
      </c>
      <c r="O1070">
        <v>0</v>
      </c>
      <c r="Q1070">
        <v>0</v>
      </c>
      <c r="R1070" t="b">
        <v>0</v>
      </c>
    </row>
    <row r="1071" spans="1:18">
      <c r="A1071" t="s">
        <v>19</v>
      </c>
      <c r="B1071" t="s">
        <v>2906</v>
      </c>
      <c r="C1071" t="s">
        <v>2907</v>
      </c>
      <c r="E1071">
        <v>31</v>
      </c>
      <c r="F1071">
        <v>250</v>
      </c>
      <c r="G1071">
        <v>17</v>
      </c>
      <c r="H1071">
        <v>256</v>
      </c>
      <c r="J1071" t="s">
        <v>22</v>
      </c>
      <c r="K1071" t="b">
        <v>1</v>
      </c>
      <c r="L1071">
        <f t="shared" si="16"/>
        <v>48</v>
      </c>
      <c r="M1071">
        <f t="shared" si="16"/>
        <v>506</v>
      </c>
      <c r="N1071" t="b">
        <v>0</v>
      </c>
      <c r="O1071">
        <v>1</v>
      </c>
      <c r="P1071" t="s">
        <v>2908</v>
      </c>
      <c r="Q1071">
        <v>2</v>
      </c>
      <c r="R1071" t="b">
        <v>1</v>
      </c>
    </row>
    <row r="1072" spans="1:18">
      <c r="A1072" t="s">
        <v>498</v>
      </c>
      <c r="B1072" t="s">
        <v>2909</v>
      </c>
      <c r="C1072" t="s">
        <v>2910</v>
      </c>
      <c r="E1072">
        <v>40</v>
      </c>
      <c r="F1072">
        <v>333</v>
      </c>
      <c r="G1072">
        <v>7</v>
      </c>
      <c r="H1072">
        <v>46</v>
      </c>
      <c r="J1072" t="s">
        <v>22</v>
      </c>
      <c r="K1072" t="b">
        <v>1</v>
      </c>
      <c r="L1072">
        <f t="shared" si="16"/>
        <v>47</v>
      </c>
      <c r="M1072">
        <f t="shared" si="16"/>
        <v>379</v>
      </c>
      <c r="N1072" t="b">
        <v>0</v>
      </c>
      <c r="O1072">
        <v>1</v>
      </c>
      <c r="P1072" t="s">
        <v>2911</v>
      </c>
      <c r="Q1072">
        <v>2</v>
      </c>
      <c r="R1072" t="b">
        <v>1</v>
      </c>
    </row>
    <row r="1073" spans="1:18">
      <c r="A1073" t="s">
        <v>498</v>
      </c>
      <c r="B1073" t="s">
        <v>2912</v>
      </c>
      <c r="C1073" t="s">
        <v>2913</v>
      </c>
      <c r="E1073">
        <v>40</v>
      </c>
      <c r="F1073">
        <v>333</v>
      </c>
      <c r="G1073">
        <v>7</v>
      </c>
      <c r="H1073">
        <v>46</v>
      </c>
      <c r="J1073" t="s">
        <v>22</v>
      </c>
      <c r="K1073" t="b">
        <v>1</v>
      </c>
      <c r="L1073">
        <f t="shared" si="16"/>
        <v>47</v>
      </c>
      <c r="M1073">
        <f t="shared" si="16"/>
        <v>379</v>
      </c>
      <c r="N1073" t="b">
        <v>0</v>
      </c>
      <c r="O1073">
        <v>1</v>
      </c>
      <c r="P1073" t="s">
        <v>2914</v>
      </c>
      <c r="Q1073">
        <v>2</v>
      </c>
      <c r="R1073" t="b">
        <v>1</v>
      </c>
    </row>
    <row r="1074" spans="1:18">
      <c r="A1074" t="s">
        <v>205</v>
      </c>
      <c r="B1074" t="s">
        <v>2915</v>
      </c>
      <c r="C1074" t="s">
        <v>2916</v>
      </c>
      <c r="E1074">
        <v>33</v>
      </c>
      <c r="F1074">
        <v>724</v>
      </c>
      <c r="G1074">
        <v>14</v>
      </c>
      <c r="H1074">
        <v>174</v>
      </c>
      <c r="J1074" t="s">
        <v>22</v>
      </c>
      <c r="K1074" t="b">
        <v>1</v>
      </c>
      <c r="L1074">
        <f t="shared" si="16"/>
        <v>47</v>
      </c>
      <c r="M1074">
        <f t="shared" si="16"/>
        <v>898</v>
      </c>
      <c r="N1074" t="b">
        <v>0</v>
      </c>
      <c r="O1074">
        <v>1</v>
      </c>
      <c r="P1074" t="s">
        <v>2539</v>
      </c>
      <c r="Q1074">
        <v>2</v>
      </c>
      <c r="R1074" t="b">
        <v>1</v>
      </c>
    </row>
    <row r="1075" spans="1:18" hidden="1">
      <c r="A1075" t="s">
        <v>1847</v>
      </c>
      <c r="B1075" t="s">
        <v>2917</v>
      </c>
      <c r="C1075" t="s">
        <v>2918</v>
      </c>
      <c r="E1075">
        <v>28</v>
      </c>
      <c r="F1075">
        <v>353</v>
      </c>
      <c r="G1075">
        <v>19</v>
      </c>
      <c r="H1075">
        <v>165</v>
      </c>
      <c r="J1075" t="s">
        <v>93</v>
      </c>
      <c r="K1075" t="b">
        <v>0</v>
      </c>
      <c r="L1075">
        <f t="shared" si="16"/>
        <v>47</v>
      </c>
      <c r="M1075">
        <f t="shared" si="16"/>
        <v>518</v>
      </c>
      <c r="N1075" t="b">
        <v>0</v>
      </c>
      <c r="O1075">
        <v>0</v>
      </c>
      <c r="Q1075">
        <v>0</v>
      </c>
      <c r="R1075" t="b">
        <v>0</v>
      </c>
    </row>
    <row r="1076" spans="1:18" hidden="1">
      <c r="A1076" t="s">
        <v>2919</v>
      </c>
      <c r="B1076" t="s">
        <v>2920</v>
      </c>
      <c r="C1076" t="s">
        <v>2921</v>
      </c>
      <c r="E1076">
        <v>30</v>
      </c>
      <c r="F1076">
        <v>140</v>
      </c>
      <c r="G1076">
        <v>17</v>
      </c>
      <c r="H1076">
        <v>33</v>
      </c>
      <c r="J1076" t="s">
        <v>93</v>
      </c>
      <c r="K1076" t="b">
        <v>0</v>
      </c>
      <c r="L1076">
        <f t="shared" si="16"/>
        <v>47</v>
      </c>
      <c r="M1076">
        <f t="shared" si="16"/>
        <v>173</v>
      </c>
      <c r="N1076" t="b">
        <v>0</v>
      </c>
      <c r="O1076">
        <v>0</v>
      </c>
      <c r="Q1076">
        <v>0</v>
      </c>
      <c r="R1076" t="b">
        <v>0</v>
      </c>
    </row>
    <row r="1077" spans="1:18" hidden="1">
      <c r="A1077" t="s">
        <v>2901</v>
      </c>
      <c r="B1077" t="s">
        <v>2922</v>
      </c>
      <c r="C1077" t="s">
        <v>2923</v>
      </c>
      <c r="E1077">
        <v>24</v>
      </c>
      <c r="F1077">
        <v>78</v>
      </c>
      <c r="G1077">
        <v>23</v>
      </c>
      <c r="H1077">
        <v>39</v>
      </c>
      <c r="J1077" t="s">
        <v>93</v>
      </c>
      <c r="K1077" t="b">
        <v>0</v>
      </c>
      <c r="L1077">
        <f t="shared" si="16"/>
        <v>47</v>
      </c>
      <c r="M1077">
        <f t="shared" si="16"/>
        <v>117</v>
      </c>
      <c r="N1077" t="b">
        <v>0</v>
      </c>
      <c r="O1077">
        <v>0</v>
      </c>
      <c r="Q1077">
        <v>0</v>
      </c>
      <c r="R1077" t="b">
        <v>0</v>
      </c>
    </row>
    <row r="1078" spans="1:18" hidden="1">
      <c r="A1078" t="s">
        <v>1143</v>
      </c>
      <c r="B1078" t="s">
        <v>2924</v>
      </c>
      <c r="C1078" t="s">
        <v>2925</v>
      </c>
      <c r="E1078">
        <v>0</v>
      </c>
      <c r="F1078">
        <v>0</v>
      </c>
      <c r="G1078">
        <v>47</v>
      </c>
      <c r="H1078">
        <v>140</v>
      </c>
      <c r="J1078" t="s">
        <v>93</v>
      </c>
      <c r="K1078" t="b">
        <v>1</v>
      </c>
      <c r="L1078">
        <f t="shared" si="16"/>
        <v>47</v>
      </c>
      <c r="M1078">
        <f t="shared" si="16"/>
        <v>140</v>
      </c>
      <c r="N1078" t="b">
        <v>0</v>
      </c>
      <c r="O1078">
        <v>0</v>
      </c>
      <c r="Q1078">
        <v>0</v>
      </c>
      <c r="R1078" t="b">
        <v>0</v>
      </c>
    </row>
    <row r="1079" spans="1:18" hidden="1">
      <c r="A1079" t="s">
        <v>378</v>
      </c>
      <c r="B1079" t="s">
        <v>2926</v>
      </c>
      <c r="C1079" t="s">
        <v>2927</v>
      </c>
      <c r="E1079">
        <v>33</v>
      </c>
      <c r="F1079">
        <v>447</v>
      </c>
      <c r="G1079">
        <v>14</v>
      </c>
      <c r="H1079">
        <v>154</v>
      </c>
      <c r="J1079" t="s">
        <v>93</v>
      </c>
      <c r="K1079" t="b">
        <v>1</v>
      </c>
      <c r="L1079">
        <f t="shared" si="16"/>
        <v>47</v>
      </c>
      <c r="M1079">
        <f t="shared" si="16"/>
        <v>601</v>
      </c>
      <c r="N1079" t="b">
        <v>0</v>
      </c>
      <c r="O1079">
        <v>0</v>
      </c>
      <c r="Q1079">
        <v>0</v>
      </c>
      <c r="R1079" t="b">
        <v>0</v>
      </c>
    </row>
    <row r="1080" spans="1:18">
      <c r="A1080" t="s">
        <v>1191</v>
      </c>
      <c r="B1080" t="s">
        <v>2928</v>
      </c>
      <c r="C1080" t="s">
        <v>2929</v>
      </c>
      <c r="E1080">
        <v>26</v>
      </c>
      <c r="F1080">
        <v>88</v>
      </c>
      <c r="G1080">
        <v>20</v>
      </c>
      <c r="H1080">
        <v>192</v>
      </c>
      <c r="J1080" t="s">
        <v>22</v>
      </c>
      <c r="K1080" t="b">
        <v>1</v>
      </c>
      <c r="L1080">
        <f t="shared" si="16"/>
        <v>46</v>
      </c>
      <c r="M1080">
        <f t="shared" si="16"/>
        <v>280</v>
      </c>
      <c r="N1080" t="b">
        <v>0</v>
      </c>
      <c r="O1080">
        <v>1</v>
      </c>
      <c r="P1080" t="s">
        <v>2930</v>
      </c>
      <c r="Q1080">
        <v>2</v>
      </c>
      <c r="R1080" t="b">
        <v>1</v>
      </c>
    </row>
    <row r="1081" spans="1:18">
      <c r="A1081" t="s">
        <v>1224</v>
      </c>
      <c r="B1081" t="s">
        <v>2931</v>
      </c>
      <c r="C1081" t="s">
        <v>2932</v>
      </c>
      <c r="E1081">
        <v>35</v>
      </c>
      <c r="F1081">
        <v>868</v>
      </c>
      <c r="G1081">
        <v>11</v>
      </c>
      <c r="H1081">
        <v>113</v>
      </c>
      <c r="J1081" t="s">
        <v>22</v>
      </c>
      <c r="K1081" t="b">
        <v>1</v>
      </c>
      <c r="L1081">
        <f t="shared" si="16"/>
        <v>46</v>
      </c>
      <c r="M1081">
        <f t="shared" si="16"/>
        <v>981</v>
      </c>
      <c r="N1081" t="b">
        <v>0</v>
      </c>
      <c r="O1081">
        <v>1</v>
      </c>
      <c r="P1081" t="s">
        <v>2933</v>
      </c>
      <c r="Q1081">
        <v>2</v>
      </c>
      <c r="R1081" t="b">
        <v>1</v>
      </c>
    </row>
    <row r="1082" spans="1:18">
      <c r="A1082" t="s">
        <v>205</v>
      </c>
      <c r="B1082" t="s">
        <v>2934</v>
      </c>
      <c r="C1082" t="s">
        <v>2935</v>
      </c>
      <c r="E1082">
        <v>23</v>
      </c>
      <c r="F1082">
        <v>54</v>
      </c>
      <c r="G1082">
        <v>23</v>
      </c>
      <c r="H1082">
        <v>172</v>
      </c>
      <c r="J1082" t="s">
        <v>22</v>
      </c>
      <c r="K1082" t="b">
        <v>1</v>
      </c>
      <c r="L1082">
        <f t="shared" si="16"/>
        <v>46</v>
      </c>
      <c r="M1082">
        <f t="shared" si="16"/>
        <v>226</v>
      </c>
      <c r="N1082" t="b">
        <v>0</v>
      </c>
      <c r="O1082">
        <v>1</v>
      </c>
      <c r="P1082" t="s">
        <v>1983</v>
      </c>
      <c r="Q1082">
        <v>2</v>
      </c>
      <c r="R1082" t="b">
        <v>1</v>
      </c>
    </row>
    <row r="1083" spans="1:18" hidden="1">
      <c r="A1083" t="s">
        <v>1293</v>
      </c>
      <c r="B1083" t="s">
        <v>2936</v>
      </c>
      <c r="C1083" t="s">
        <v>2937</v>
      </c>
      <c r="E1083">
        <v>27</v>
      </c>
      <c r="F1083">
        <v>174</v>
      </c>
      <c r="G1083">
        <v>19</v>
      </c>
      <c r="H1083">
        <v>130</v>
      </c>
      <c r="J1083" t="s">
        <v>93</v>
      </c>
      <c r="K1083" t="b">
        <v>0</v>
      </c>
      <c r="L1083">
        <f t="shared" si="16"/>
        <v>46</v>
      </c>
      <c r="M1083">
        <f t="shared" si="16"/>
        <v>304</v>
      </c>
      <c r="N1083" t="b">
        <v>0</v>
      </c>
      <c r="O1083">
        <v>0</v>
      </c>
      <c r="Q1083">
        <v>0</v>
      </c>
      <c r="R1083" t="b">
        <v>0</v>
      </c>
    </row>
    <row r="1084" spans="1:18" hidden="1">
      <c r="A1084" t="s">
        <v>1293</v>
      </c>
      <c r="B1084" t="s">
        <v>2938</v>
      </c>
      <c r="C1084" t="s">
        <v>2939</v>
      </c>
      <c r="E1084">
        <v>28</v>
      </c>
      <c r="F1084">
        <v>174</v>
      </c>
      <c r="G1084">
        <v>18</v>
      </c>
      <c r="H1084">
        <v>124</v>
      </c>
      <c r="J1084" t="s">
        <v>93</v>
      </c>
      <c r="K1084" t="b">
        <v>0</v>
      </c>
      <c r="L1084">
        <f t="shared" si="16"/>
        <v>46</v>
      </c>
      <c r="M1084">
        <f t="shared" si="16"/>
        <v>298</v>
      </c>
      <c r="N1084" t="b">
        <v>0</v>
      </c>
      <c r="O1084">
        <v>0</v>
      </c>
      <c r="Q1084">
        <v>0</v>
      </c>
      <c r="R1084" t="b">
        <v>0</v>
      </c>
    </row>
    <row r="1085" spans="1:18">
      <c r="A1085" t="s">
        <v>192</v>
      </c>
      <c r="B1085" t="s">
        <v>2940</v>
      </c>
      <c r="C1085" t="s">
        <v>2941</v>
      </c>
      <c r="E1085">
        <v>0</v>
      </c>
      <c r="F1085">
        <v>0</v>
      </c>
      <c r="G1085">
        <v>46</v>
      </c>
      <c r="H1085">
        <v>203</v>
      </c>
      <c r="J1085" t="s">
        <v>22</v>
      </c>
      <c r="K1085" t="b">
        <v>1</v>
      </c>
      <c r="L1085">
        <f t="shared" si="16"/>
        <v>46</v>
      </c>
      <c r="M1085">
        <f t="shared" si="16"/>
        <v>203</v>
      </c>
      <c r="N1085" t="b">
        <v>0</v>
      </c>
      <c r="O1085">
        <v>1</v>
      </c>
      <c r="P1085" t="s">
        <v>2942</v>
      </c>
      <c r="Q1085">
        <v>2</v>
      </c>
      <c r="R1085" t="b">
        <v>1</v>
      </c>
    </row>
    <row r="1086" spans="1:18" hidden="1">
      <c r="A1086" t="s">
        <v>2901</v>
      </c>
      <c r="B1086" t="s">
        <v>2943</v>
      </c>
      <c r="C1086" t="s">
        <v>2944</v>
      </c>
      <c r="E1086">
        <v>23</v>
      </c>
      <c r="F1086">
        <v>77</v>
      </c>
      <c r="G1086">
        <v>23</v>
      </c>
      <c r="H1086">
        <v>39</v>
      </c>
      <c r="J1086" t="s">
        <v>93</v>
      </c>
      <c r="K1086" t="b">
        <v>0</v>
      </c>
      <c r="L1086">
        <f t="shared" si="16"/>
        <v>46</v>
      </c>
      <c r="M1086">
        <f t="shared" si="16"/>
        <v>116</v>
      </c>
      <c r="N1086" t="b">
        <v>0</v>
      </c>
      <c r="O1086">
        <v>0</v>
      </c>
      <c r="Q1086">
        <v>0</v>
      </c>
      <c r="R1086" t="b">
        <v>0</v>
      </c>
    </row>
    <row r="1087" spans="1:18" hidden="1">
      <c r="A1087" t="s">
        <v>2901</v>
      </c>
      <c r="B1087" t="s">
        <v>2945</v>
      </c>
      <c r="C1087" t="s">
        <v>2946</v>
      </c>
      <c r="E1087">
        <v>23</v>
      </c>
      <c r="F1087">
        <v>77</v>
      </c>
      <c r="G1087">
        <v>23</v>
      </c>
      <c r="H1087">
        <v>39</v>
      </c>
      <c r="J1087" t="s">
        <v>93</v>
      </c>
      <c r="K1087" t="b">
        <v>0</v>
      </c>
      <c r="L1087">
        <f t="shared" si="16"/>
        <v>46</v>
      </c>
      <c r="M1087">
        <f t="shared" si="16"/>
        <v>116</v>
      </c>
      <c r="N1087" t="b">
        <v>0</v>
      </c>
      <c r="O1087">
        <v>0</v>
      </c>
      <c r="Q1087">
        <v>0</v>
      </c>
      <c r="R1087" t="b">
        <v>0</v>
      </c>
    </row>
    <row r="1088" spans="1:18" hidden="1">
      <c r="A1088" t="s">
        <v>2901</v>
      </c>
      <c r="B1088" t="s">
        <v>2947</v>
      </c>
      <c r="C1088" t="s">
        <v>2948</v>
      </c>
      <c r="E1088">
        <v>23</v>
      </c>
      <c r="F1088">
        <v>77</v>
      </c>
      <c r="G1088">
        <v>23</v>
      </c>
      <c r="H1088">
        <v>39</v>
      </c>
      <c r="J1088" t="s">
        <v>93</v>
      </c>
      <c r="K1088" t="b">
        <v>0</v>
      </c>
      <c r="L1088">
        <f t="shared" si="16"/>
        <v>46</v>
      </c>
      <c r="M1088">
        <f t="shared" si="16"/>
        <v>116</v>
      </c>
      <c r="N1088" t="b">
        <v>0</v>
      </c>
      <c r="O1088">
        <v>0</v>
      </c>
      <c r="Q1088">
        <v>0</v>
      </c>
      <c r="R1088" t="b">
        <v>0</v>
      </c>
    </row>
    <row r="1089" spans="1:18" hidden="1">
      <c r="A1089" t="s">
        <v>2901</v>
      </c>
      <c r="B1089" t="s">
        <v>2949</v>
      </c>
      <c r="C1089" t="s">
        <v>2950</v>
      </c>
      <c r="E1089">
        <v>24</v>
      </c>
      <c r="F1089">
        <v>78</v>
      </c>
      <c r="G1089">
        <v>22</v>
      </c>
      <c r="H1089">
        <v>38</v>
      </c>
      <c r="J1089" t="s">
        <v>93</v>
      </c>
      <c r="K1089" t="b">
        <v>0</v>
      </c>
      <c r="L1089">
        <f t="shared" si="16"/>
        <v>46</v>
      </c>
      <c r="M1089">
        <f t="shared" si="16"/>
        <v>116</v>
      </c>
      <c r="N1089" t="b">
        <v>0</v>
      </c>
      <c r="O1089">
        <v>0</v>
      </c>
      <c r="Q1089">
        <v>0</v>
      </c>
      <c r="R1089" t="b">
        <v>0</v>
      </c>
    </row>
    <row r="1090" spans="1:18" hidden="1">
      <c r="A1090" t="s">
        <v>1984</v>
      </c>
      <c r="B1090" t="s">
        <v>2951</v>
      </c>
      <c r="C1090" t="s">
        <v>2952</v>
      </c>
      <c r="E1090">
        <v>34</v>
      </c>
      <c r="F1090">
        <v>198</v>
      </c>
      <c r="G1090">
        <v>12</v>
      </c>
      <c r="H1090">
        <v>114</v>
      </c>
      <c r="J1090" t="s">
        <v>93</v>
      </c>
      <c r="K1090" t="b">
        <v>1</v>
      </c>
      <c r="L1090">
        <f t="shared" si="16"/>
        <v>46</v>
      </c>
      <c r="M1090">
        <f t="shared" si="16"/>
        <v>312</v>
      </c>
      <c r="N1090" t="b">
        <v>0</v>
      </c>
      <c r="O1090">
        <v>0</v>
      </c>
      <c r="Q1090">
        <v>0</v>
      </c>
      <c r="R1090" t="b">
        <v>0</v>
      </c>
    </row>
    <row r="1091" spans="1:18">
      <c r="A1091" t="s">
        <v>1384</v>
      </c>
      <c r="B1091" t="s">
        <v>2953</v>
      </c>
      <c r="C1091" t="s">
        <v>2954</v>
      </c>
      <c r="E1091">
        <v>33</v>
      </c>
      <c r="F1091">
        <v>80</v>
      </c>
      <c r="G1091">
        <v>13</v>
      </c>
      <c r="H1091">
        <v>26</v>
      </c>
      <c r="J1091" t="s">
        <v>22</v>
      </c>
      <c r="K1091" t="b">
        <v>1</v>
      </c>
      <c r="L1091">
        <f t="shared" ref="L1091:M1154" si="17">E1091+G1091</f>
        <v>46</v>
      </c>
      <c r="M1091">
        <f t="shared" si="17"/>
        <v>106</v>
      </c>
      <c r="N1091" t="b">
        <v>0</v>
      </c>
      <c r="O1091">
        <v>1</v>
      </c>
      <c r="P1091" t="s">
        <v>2955</v>
      </c>
      <c r="Q1091">
        <v>2</v>
      </c>
      <c r="R1091" t="b">
        <v>1</v>
      </c>
    </row>
    <row r="1092" spans="1:18" hidden="1">
      <c r="A1092" t="s">
        <v>133</v>
      </c>
      <c r="B1092" t="s">
        <v>2956</v>
      </c>
      <c r="C1092" t="s">
        <v>2957</v>
      </c>
      <c r="E1092">
        <v>46</v>
      </c>
      <c r="F1092">
        <v>444</v>
      </c>
      <c r="G1092">
        <v>0</v>
      </c>
      <c r="H1092">
        <v>0</v>
      </c>
      <c r="J1092" t="s">
        <v>93</v>
      </c>
      <c r="K1092" t="b">
        <v>1</v>
      </c>
      <c r="L1092">
        <f t="shared" si="17"/>
        <v>46</v>
      </c>
      <c r="M1092">
        <f t="shared" si="17"/>
        <v>444</v>
      </c>
      <c r="N1092" t="b">
        <v>0</v>
      </c>
      <c r="O1092">
        <v>0</v>
      </c>
      <c r="Q1092">
        <v>0</v>
      </c>
      <c r="R1092" t="b">
        <v>0</v>
      </c>
    </row>
    <row r="1093" spans="1:18">
      <c r="A1093" t="s">
        <v>115</v>
      </c>
      <c r="B1093" t="s">
        <v>2958</v>
      </c>
      <c r="C1093" t="s">
        <v>2959</v>
      </c>
      <c r="E1093">
        <v>33</v>
      </c>
      <c r="F1093">
        <v>96</v>
      </c>
      <c r="G1093">
        <v>13</v>
      </c>
      <c r="H1093">
        <v>45</v>
      </c>
      <c r="J1093" t="s">
        <v>22</v>
      </c>
      <c r="K1093" t="b">
        <v>1</v>
      </c>
      <c r="L1093">
        <f t="shared" si="17"/>
        <v>46</v>
      </c>
      <c r="M1093">
        <f t="shared" si="17"/>
        <v>141</v>
      </c>
      <c r="N1093" t="b">
        <v>0</v>
      </c>
      <c r="O1093">
        <v>1</v>
      </c>
      <c r="P1093" t="s">
        <v>2960</v>
      </c>
      <c r="Q1093">
        <v>2</v>
      </c>
      <c r="R1093" t="b">
        <v>1</v>
      </c>
    </row>
    <row r="1094" spans="1:18">
      <c r="A1094" t="s">
        <v>1191</v>
      </c>
      <c r="B1094" t="s">
        <v>2961</v>
      </c>
      <c r="C1094" t="s">
        <v>2962</v>
      </c>
      <c r="E1094">
        <v>32</v>
      </c>
      <c r="F1094">
        <v>105</v>
      </c>
      <c r="G1094">
        <v>13</v>
      </c>
      <c r="H1094">
        <v>86</v>
      </c>
      <c r="J1094" t="s">
        <v>22</v>
      </c>
      <c r="K1094" t="b">
        <v>1</v>
      </c>
      <c r="L1094">
        <f t="shared" si="17"/>
        <v>45</v>
      </c>
      <c r="M1094">
        <f t="shared" si="17"/>
        <v>191</v>
      </c>
      <c r="N1094" t="b">
        <v>0</v>
      </c>
      <c r="O1094">
        <v>1</v>
      </c>
      <c r="P1094" t="s">
        <v>2963</v>
      </c>
      <c r="Q1094">
        <v>2</v>
      </c>
      <c r="R1094" t="b">
        <v>1</v>
      </c>
    </row>
    <row r="1095" spans="1:18">
      <c r="A1095" t="s">
        <v>1224</v>
      </c>
      <c r="B1095" t="s">
        <v>2964</v>
      </c>
      <c r="C1095" t="s">
        <v>2965</v>
      </c>
      <c r="E1095">
        <v>34</v>
      </c>
      <c r="F1095">
        <v>861</v>
      </c>
      <c r="G1095">
        <v>11</v>
      </c>
      <c r="H1095">
        <v>113</v>
      </c>
      <c r="J1095" t="s">
        <v>22</v>
      </c>
      <c r="K1095" t="b">
        <v>1</v>
      </c>
      <c r="L1095">
        <f t="shared" si="17"/>
        <v>45</v>
      </c>
      <c r="M1095">
        <f t="shared" si="17"/>
        <v>974</v>
      </c>
      <c r="N1095" t="b">
        <v>0</v>
      </c>
      <c r="O1095">
        <v>1</v>
      </c>
      <c r="P1095" t="s">
        <v>2966</v>
      </c>
      <c r="Q1095">
        <v>2</v>
      </c>
      <c r="R1095" t="b">
        <v>1</v>
      </c>
    </row>
    <row r="1096" spans="1:18">
      <c r="A1096" t="s">
        <v>205</v>
      </c>
      <c r="B1096" t="s">
        <v>2967</v>
      </c>
      <c r="C1096" t="s">
        <v>2968</v>
      </c>
      <c r="E1096">
        <v>29</v>
      </c>
      <c r="F1096">
        <v>191</v>
      </c>
      <c r="G1096">
        <v>16</v>
      </c>
      <c r="H1096">
        <v>161</v>
      </c>
      <c r="J1096" t="s">
        <v>22</v>
      </c>
      <c r="K1096" t="b">
        <v>1</v>
      </c>
      <c r="L1096">
        <f t="shared" si="17"/>
        <v>45</v>
      </c>
      <c r="M1096">
        <f t="shared" si="17"/>
        <v>352</v>
      </c>
      <c r="N1096" t="b">
        <v>0</v>
      </c>
      <c r="O1096">
        <v>1</v>
      </c>
      <c r="P1096" t="s">
        <v>2227</v>
      </c>
      <c r="Q1096">
        <v>2</v>
      </c>
      <c r="R1096" t="b">
        <v>1</v>
      </c>
    </row>
    <row r="1097" spans="1:18">
      <c r="A1097" t="s">
        <v>59</v>
      </c>
      <c r="B1097" t="s">
        <v>2969</v>
      </c>
      <c r="C1097" t="s">
        <v>2970</v>
      </c>
      <c r="E1097">
        <v>30</v>
      </c>
      <c r="F1097">
        <v>121</v>
      </c>
      <c r="G1097">
        <v>15</v>
      </c>
      <c r="H1097">
        <v>18</v>
      </c>
      <c r="J1097" t="s">
        <v>22</v>
      </c>
      <c r="K1097" t="b">
        <v>1</v>
      </c>
      <c r="L1097">
        <f t="shared" si="17"/>
        <v>45</v>
      </c>
      <c r="M1097">
        <f t="shared" si="17"/>
        <v>139</v>
      </c>
      <c r="N1097" t="b">
        <v>0</v>
      </c>
      <c r="O1097">
        <v>1</v>
      </c>
      <c r="P1097" t="s">
        <v>2971</v>
      </c>
      <c r="Q1097">
        <v>2</v>
      </c>
      <c r="R1097" t="b">
        <v>1</v>
      </c>
    </row>
    <row r="1098" spans="1:18" hidden="1">
      <c r="A1098" t="s">
        <v>1293</v>
      </c>
      <c r="B1098" t="s">
        <v>2972</v>
      </c>
      <c r="C1098" t="s">
        <v>2973</v>
      </c>
      <c r="E1098">
        <v>29</v>
      </c>
      <c r="F1098">
        <v>195</v>
      </c>
      <c r="G1098">
        <v>16</v>
      </c>
      <c r="H1098">
        <v>126</v>
      </c>
      <c r="J1098" t="s">
        <v>93</v>
      </c>
      <c r="K1098" t="b">
        <v>0</v>
      </c>
      <c r="L1098">
        <f t="shared" si="17"/>
        <v>45</v>
      </c>
      <c r="M1098">
        <f t="shared" si="17"/>
        <v>321</v>
      </c>
      <c r="N1098" t="b">
        <v>0</v>
      </c>
      <c r="O1098">
        <v>0</v>
      </c>
      <c r="Q1098">
        <v>0</v>
      </c>
      <c r="R1098" t="b">
        <v>0</v>
      </c>
    </row>
    <row r="1099" spans="1:18" hidden="1">
      <c r="A1099" t="s">
        <v>1207</v>
      </c>
      <c r="B1099" t="s">
        <v>2974</v>
      </c>
      <c r="C1099" t="s">
        <v>2975</v>
      </c>
      <c r="E1099">
        <v>34</v>
      </c>
      <c r="F1099">
        <v>116</v>
      </c>
      <c r="G1099">
        <v>11</v>
      </c>
      <c r="H1099">
        <v>66</v>
      </c>
      <c r="J1099" t="s">
        <v>93</v>
      </c>
      <c r="K1099" t="b">
        <v>0</v>
      </c>
      <c r="L1099">
        <f t="shared" si="17"/>
        <v>45</v>
      </c>
      <c r="M1099">
        <f t="shared" si="17"/>
        <v>182</v>
      </c>
      <c r="N1099" t="b">
        <v>0</v>
      </c>
      <c r="O1099">
        <v>0</v>
      </c>
      <c r="Q1099">
        <v>0</v>
      </c>
      <c r="R1099" t="b">
        <v>0</v>
      </c>
    </row>
    <row r="1100" spans="1:18">
      <c r="A1100" t="s">
        <v>498</v>
      </c>
      <c r="B1100" t="s">
        <v>2976</v>
      </c>
      <c r="C1100" t="s">
        <v>2977</v>
      </c>
      <c r="E1100">
        <v>37</v>
      </c>
      <c r="F1100">
        <v>307</v>
      </c>
      <c r="G1100">
        <v>7</v>
      </c>
      <c r="H1100">
        <v>46</v>
      </c>
      <c r="J1100" t="s">
        <v>22</v>
      </c>
      <c r="K1100" t="b">
        <v>1</v>
      </c>
      <c r="L1100">
        <f t="shared" si="17"/>
        <v>44</v>
      </c>
      <c r="M1100">
        <f t="shared" si="17"/>
        <v>353</v>
      </c>
      <c r="N1100" t="b">
        <v>0</v>
      </c>
      <c r="O1100">
        <v>1</v>
      </c>
      <c r="P1100" t="s">
        <v>2978</v>
      </c>
      <c r="Q1100">
        <v>2</v>
      </c>
      <c r="R1100" t="b">
        <v>1</v>
      </c>
    </row>
    <row r="1101" spans="1:18" hidden="1">
      <c r="A1101" t="s">
        <v>24</v>
      </c>
      <c r="B1101" t="s">
        <v>2979</v>
      </c>
      <c r="C1101" t="s">
        <v>2980</v>
      </c>
      <c r="E1101">
        <v>36</v>
      </c>
      <c r="F1101">
        <v>145</v>
      </c>
      <c r="G1101">
        <v>8</v>
      </c>
      <c r="H1101">
        <v>30</v>
      </c>
      <c r="J1101" t="s">
        <v>93</v>
      </c>
      <c r="K1101" t="b">
        <v>1</v>
      </c>
      <c r="L1101">
        <f t="shared" si="17"/>
        <v>44</v>
      </c>
      <c r="M1101">
        <f t="shared" si="17"/>
        <v>175</v>
      </c>
      <c r="N1101" t="b">
        <v>0</v>
      </c>
      <c r="O1101">
        <v>0</v>
      </c>
      <c r="Q1101">
        <v>0</v>
      </c>
      <c r="R1101" t="b">
        <v>0</v>
      </c>
    </row>
    <row r="1102" spans="1:18">
      <c r="A1102" t="s">
        <v>205</v>
      </c>
      <c r="B1102" t="s">
        <v>2981</v>
      </c>
      <c r="C1102" t="s">
        <v>2982</v>
      </c>
      <c r="E1102">
        <v>39</v>
      </c>
      <c r="F1102">
        <v>13</v>
      </c>
      <c r="G1102">
        <v>5</v>
      </c>
      <c r="H1102">
        <v>5</v>
      </c>
      <c r="J1102" t="s">
        <v>22</v>
      </c>
      <c r="K1102" t="b">
        <v>1</v>
      </c>
      <c r="L1102">
        <f t="shared" si="17"/>
        <v>44</v>
      </c>
      <c r="M1102">
        <f t="shared" si="17"/>
        <v>18</v>
      </c>
      <c r="N1102" t="b">
        <v>0</v>
      </c>
      <c r="O1102">
        <v>1</v>
      </c>
      <c r="P1102" t="s">
        <v>2983</v>
      </c>
      <c r="Q1102">
        <v>2</v>
      </c>
      <c r="R1102" t="b">
        <v>1</v>
      </c>
    </row>
    <row r="1103" spans="1:18" hidden="1">
      <c r="A1103" t="s">
        <v>2984</v>
      </c>
      <c r="B1103" t="s">
        <v>2985</v>
      </c>
      <c r="C1103" t="s">
        <v>2986</v>
      </c>
      <c r="E1103">
        <v>30</v>
      </c>
      <c r="F1103">
        <v>34</v>
      </c>
      <c r="G1103">
        <v>14</v>
      </c>
      <c r="H1103">
        <v>21</v>
      </c>
      <c r="J1103" t="s">
        <v>93</v>
      </c>
      <c r="K1103" t="b">
        <v>0</v>
      </c>
      <c r="L1103">
        <f t="shared" si="17"/>
        <v>44</v>
      </c>
      <c r="M1103">
        <f t="shared" si="17"/>
        <v>55</v>
      </c>
      <c r="N1103" t="b">
        <v>0</v>
      </c>
      <c r="O1103">
        <v>0</v>
      </c>
      <c r="Q1103">
        <v>0</v>
      </c>
      <c r="R1103" t="b">
        <v>0</v>
      </c>
    </row>
    <row r="1104" spans="1:18" hidden="1">
      <c r="A1104" t="s">
        <v>2984</v>
      </c>
      <c r="B1104" t="s">
        <v>2987</v>
      </c>
      <c r="C1104" t="s">
        <v>2988</v>
      </c>
      <c r="E1104">
        <v>30</v>
      </c>
      <c r="F1104">
        <v>34</v>
      </c>
      <c r="G1104">
        <v>14</v>
      </c>
      <c r="H1104">
        <v>21</v>
      </c>
      <c r="J1104" t="s">
        <v>93</v>
      </c>
      <c r="K1104" t="b">
        <v>0</v>
      </c>
      <c r="L1104">
        <f t="shared" si="17"/>
        <v>44</v>
      </c>
      <c r="M1104">
        <f t="shared" si="17"/>
        <v>55</v>
      </c>
      <c r="N1104" t="b">
        <v>0</v>
      </c>
      <c r="O1104">
        <v>0</v>
      </c>
      <c r="Q1104">
        <v>0</v>
      </c>
      <c r="R1104" t="b">
        <v>0</v>
      </c>
    </row>
    <row r="1105" spans="1:18" hidden="1">
      <c r="A1105" t="s">
        <v>192</v>
      </c>
      <c r="B1105" t="s">
        <v>2989</v>
      </c>
      <c r="C1105" t="s">
        <v>2990</v>
      </c>
      <c r="E1105">
        <v>36</v>
      </c>
      <c r="F1105">
        <v>145</v>
      </c>
      <c r="G1105">
        <v>8</v>
      </c>
      <c r="H1105">
        <v>30</v>
      </c>
      <c r="J1105" t="s">
        <v>93</v>
      </c>
      <c r="K1105" t="b">
        <v>1</v>
      </c>
      <c r="L1105">
        <f t="shared" si="17"/>
        <v>44</v>
      </c>
      <c r="M1105">
        <f t="shared" si="17"/>
        <v>175</v>
      </c>
      <c r="N1105" t="b">
        <v>0</v>
      </c>
      <c r="O1105">
        <v>0</v>
      </c>
      <c r="Q1105">
        <v>0</v>
      </c>
      <c r="R1105" t="b">
        <v>0</v>
      </c>
    </row>
    <row r="1106" spans="1:18">
      <c r="A1106" t="s">
        <v>573</v>
      </c>
      <c r="B1106" t="s">
        <v>2991</v>
      </c>
      <c r="C1106" t="s">
        <v>2992</v>
      </c>
      <c r="E1106">
        <v>32</v>
      </c>
      <c r="F1106">
        <v>294</v>
      </c>
      <c r="G1106">
        <v>11</v>
      </c>
      <c r="H1106">
        <v>55</v>
      </c>
      <c r="J1106" t="s">
        <v>22</v>
      </c>
      <c r="K1106" t="b">
        <v>1</v>
      </c>
      <c r="L1106">
        <f t="shared" si="17"/>
        <v>43</v>
      </c>
      <c r="M1106">
        <f t="shared" si="17"/>
        <v>349</v>
      </c>
      <c r="N1106" t="b">
        <v>0</v>
      </c>
      <c r="O1106">
        <v>1</v>
      </c>
      <c r="P1106" t="s">
        <v>2993</v>
      </c>
      <c r="Q1106">
        <v>2</v>
      </c>
      <c r="R1106" t="b">
        <v>1</v>
      </c>
    </row>
    <row r="1107" spans="1:18">
      <c r="A1107" t="s">
        <v>24</v>
      </c>
      <c r="B1107" t="s">
        <v>2994</v>
      </c>
      <c r="C1107" t="s">
        <v>2995</v>
      </c>
      <c r="E1107">
        <v>32</v>
      </c>
      <c r="F1107">
        <v>294</v>
      </c>
      <c r="G1107">
        <v>11</v>
      </c>
      <c r="H1107">
        <v>55</v>
      </c>
      <c r="J1107" t="s">
        <v>22</v>
      </c>
      <c r="K1107" t="b">
        <v>1</v>
      </c>
      <c r="L1107">
        <f t="shared" si="17"/>
        <v>43</v>
      </c>
      <c r="M1107">
        <f t="shared" si="17"/>
        <v>349</v>
      </c>
      <c r="N1107" t="b">
        <v>0</v>
      </c>
      <c r="O1107">
        <v>1</v>
      </c>
      <c r="P1107" t="s">
        <v>2996</v>
      </c>
      <c r="Q1107">
        <v>2</v>
      </c>
      <c r="R1107" t="b">
        <v>1</v>
      </c>
    </row>
    <row r="1108" spans="1:18">
      <c r="A1108" t="s">
        <v>192</v>
      </c>
      <c r="B1108" t="s">
        <v>2997</v>
      </c>
      <c r="C1108" t="s">
        <v>2998</v>
      </c>
      <c r="E1108">
        <v>36</v>
      </c>
      <c r="F1108">
        <v>4</v>
      </c>
      <c r="G1108">
        <v>7</v>
      </c>
      <c r="H1108">
        <v>7</v>
      </c>
      <c r="J1108" t="s">
        <v>22</v>
      </c>
      <c r="K1108" t="b">
        <v>1</v>
      </c>
      <c r="L1108">
        <f t="shared" si="17"/>
        <v>43</v>
      </c>
      <c r="M1108">
        <f t="shared" si="17"/>
        <v>11</v>
      </c>
      <c r="N1108" t="b">
        <v>0</v>
      </c>
      <c r="O1108">
        <v>1</v>
      </c>
      <c r="P1108" t="s">
        <v>2999</v>
      </c>
      <c r="Q1108">
        <v>2</v>
      </c>
      <c r="R1108" t="b">
        <v>1</v>
      </c>
    </row>
    <row r="1109" spans="1:18">
      <c r="A1109" t="s">
        <v>1167</v>
      </c>
      <c r="B1109" t="s">
        <v>3000</v>
      </c>
      <c r="C1109" t="s">
        <v>3001</v>
      </c>
      <c r="E1109">
        <v>30</v>
      </c>
      <c r="F1109">
        <v>273</v>
      </c>
      <c r="G1109">
        <v>13</v>
      </c>
      <c r="H1109">
        <v>35</v>
      </c>
      <c r="J1109" t="s">
        <v>22</v>
      </c>
      <c r="K1109" t="b">
        <v>1</v>
      </c>
      <c r="L1109">
        <f t="shared" si="17"/>
        <v>43</v>
      </c>
      <c r="M1109">
        <f t="shared" si="17"/>
        <v>308</v>
      </c>
      <c r="N1109" t="b">
        <v>0</v>
      </c>
      <c r="O1109">
        <v>1</v>
      </c>
      <c r="P1109" t="s">
        <v>244</v>
      </c>
      <c r="Q1109">
        <v>2</v>
      </c>
      <c r="R1109" t="b">
        <v>1</v>
      </c>
    </row>
    <row r="1110" spans="1:18">
      <c r="A1110" t="s">
        <v>1191</v>
      </c>
      <c r="B1110" t="s">
        <v>3002</v>
      </c>
      <c r="C1110" t="s">
        <v>3003</v>
      </c>
      <c r="E1110">
        <v>30</v>
      </c>
      <c r="F1110">
        <v>132</v>
      </c>
      <c r="G1110">
        <v>12</v>
      </c>
      <c r="H1110">
        <v>60</v>
      </c>
      <c r="J1110" t="s">
        <v>22</v>
      </c>
      <c r="K1110" t="b">
        <v>1</v>
      </c>
      <c r="L1110">
        <f t="shared" si="17"/>
        <v>42</v>
      </c>
      <c r="M1110">
        <f t="shared" si="17"/>
        <v>192</v>
      </c>
      <c r="N1110" t="b">
        <v>0</v>
      </c>
      <c r="O1110">
        <v>1</v>
      </c>
      <c r="P1110" t="s">
        <v>3004</v>
      </c>
      <c r="Q1110">
        <v>2</v>
      </c>
      <c r="R1110" t="b">
        <v>1</v>
      </c>
    </row>
    <row r="1111" spans="1:18">
      <c r="A1111" t="s">
        <v>1191</v>
      </c>
      <c r="B1111" t="s">
        <v>3005</v>
      </c>
      <c r="C1111" t="s">
        <v>3006</v>
      </c>
      <c r="E1111">
        <v>30</v>
      </c>
      <c r="F1111">
        <v>132</v>
      </c>
      <c r="G1111">
        <v>12</v>
      </c>
      <c r="H1111">
        <v>60</v>
      </c>
      <c r="J1111" t="s">
        <v>22</v>
      </c>
      <c r="K1111" t="b">
        <v>1</v>
      </c>
      <c r="L1111">
        <f t="shared" si="17"/>
        <v>42</v>
      </c>
      <c r="M1111">
        <f t="shared" si="17"/>
        <v>192</v>
      </c>
      <c r="N1111" t="b">
        <v>0</v>
      </c>
      <c r="O1111">
        <v>1</v>
      </c>
      <c r="P1111" t="s">
        <v>3007</v>
      </c>
      <c r="Q1111">
        <v>2</v>
      </c>
      <c r="R1111" t="b">
        <v>1</v>
      </c>
    </row>
    <row r="1112" spans="1:18" hidden="1">
      <c r="A1112" t="s">
        <v>2443</v>
      </c>
      <c r="B1112" t="s">
        <v>3008</v>
      </c>
      <c r="C1112" t="s">
        <v>3009</v>
      </c>
      <c r="E1112">
        <v>21</v>
      </c>
      <c r="F1112">
        <v>36</v>
      </c>
      <c r="G1112">
        <v>21</v>
      </c>
      <c r="H1112">
        <v>67</v>
      </c>
      <c r="J1112" t="s">
        <v>93</v>
      </c>
      <c r="K1112" t="b">
        <v>0</v>
      </c>
      <c r="L1112">
        <f t="shared" si="17"/>
        <v>42</v>
      </c>
      <c r="M1112">
        <f t="shared" si="17"/>
        <v>103</v>
      </c>
      <c r="N1112" t="b">
        <v>0</v>
      </c>
      <c r="O1112">
        <v>0</v>
      </c>
      <c r="Q1112">
        <v>0</v>
      </c>
      <c r="R1112" t="b">
        <v>0</v>
      </c>
    </row>
    <row r="1113" spans="1:18" hidden="1">
      <c r="A1113" t="s">
        <v>2543</v>
      </c>
      <c r="B1113" t="s">
        <v>3010</v>
      </c>
      <c r="C1113" t="s">
        <v>3011</v>
      </c>
      <c r="E1113">
        <v>23</v>
      </c>
      <c r="F1113">
        <v>35</v>
      </c>
      <c r="G1113">
        <v>19</v>
      </c>
      <c r="H1113">
        <v>68</v>
      </c>
      <c r="J1113" t="s">
        <v>93</v>
      </c>
      <c r="K1113" t="b">
        <v>0</v>
      </c>
      <c r="L1113">
        <f t="shared" si="17"/>
        <v>42</v>
      </c>
      <c r="M1113">
        <f t="shared" si="17"/>
        <v>103</v>
      </c>
      <c r="N1113" t="b">
        <v>0</v>
      </c>
      <c r="O1113">
        <v>0</v>
      </c>
      <c r="Q1113">
        <v>0</v>
      </c>
      <c r="R1113" t="b">
        <v>0</v>
      </c>
    </row>
    <row r="1114" spans="1:18">
      <c r="A1114" t="s">
        <v>2775</v>
      </c>
      <c r="B1114" t="s">
        <v>3012</v>
      </c>
      <c r="C1114" t="s">
        <v>3013</v>
      </c>
      <c r="E1114">
        <v>26</v>
      </c>
      <c r="F1114">
        <v>60</v>
      </c>
      <c r="G1114">
        <v>16</v>
      </c>
      <c r="H1114">
        <v>21</v>
      </c>
      <c r="J1114" t="s">
        <v>22</v>
      </c>
      <c r="K1114" t="b">
        <v>1</v>
      </c>
      <c r="L1114">
        <f t="shared" si="17"/>
        <v>42</v>
      </c>
      <c r="M1114">
        <f t="shared" si="17"/>
        <v>81</v>
      </c>
      <c r="N1114" t="b">
        <v>0</v>
      </c>
      <c r="O1114">
        <v>1</v>
      </c>
      <c r="P1114" t="s">
        <v>3014</v>
      </c>
      <c r="Q1114">
        <v>2</v>
      </c>
      <c r="R1114" t="b">
        <v>1</v>
      </c>
    </row>
    <row r="1115" spans="1:18" hidden="1">
      <c r="A1115" t="s">
        <v>3015</v>
      </c>
      <c r="B1115" t="s">
        <v>3016</v>
      </c>
      <c r="C1115" t="s">
        <v>3017</v>
      </c>
      <c r="E1115">
        <v>32</v>
      </c>
      <c r="F1115">
        <v>8</v>
      </c>
      <c r="G1115">
        <v>10</v>
      </c>
      <c r="H1115">
        <v>14</v>
      </c>
      <c r="J1115" t="s">
        <v>93</v>
      </c>
      <c r="K1115" t="b">
        <v>0</v>
      </c>
      <c r="L1115">
        <f t="shared" si="17"/>
        <v>42</v>
      </c>
      <c r="M1115">
        <f t="shared" si="17"/>
        <v>22</v>
      </c>
      <c r="N1115" t="b">
        <v>1</v>
      </c>
      <c r="O1115">
        <v>0</v>
      </c>
      <c r="Q1115">
        <v>0</v>
      </c>
      <c r="R1115" t="b">
        <v>0</v>
      </c>
    </row>
    <row r="1116" spans="1:18">
      <c r="A1116" t="s">
        <v>573</v>
      </c>
      <c r="B1116" t="s">
        <v>3018</v>
      </c>
      <c r="C1116" t="s">
        <v>3019</v>
      </c>
      <c r="E1116">
        <v>36</v>
      </c>
      <c r="F1116">
        <v>5</v>
      </c>
      <c r="G1116">
        <v>5</v>
      </c>
      <c r="H1116">
        <v>6</v>
      </c>
      <c r="J1116" t="s">
        <v>22</v>
      </c>
      <c r="K1116" t="b">
        <v>1</v>
      </c>
      <c r="L1116">
        <f t="shared" si="17"/>
        <v>41</v>
      </c>
      <c r="M1116">
        <f t="shared" si="17"/>
        <v>11</v>
      </c>
      <c r="N1116" t="b">
        <v>0</v>
      </c>
      <c r="O1116">
        <v>1</v>
      </c>
      <c r="P1116" t="s">
        <v>3020</v>
      </c>
      <c r="Q1116">
        <v>2</v>
      </c>
      <c r="R1116" t="b">
        <v>1</v>
      </c>
    </row>
    <row r="1117" spans="1:18">
      <c r="A1117" t="s">
        <v>205</v>
      </c>
      <c r="B1117" t="s">
        <v>3021</v>
      </c>
      <c r="C1117" t="s">
        <v>3022</v>
      </c>
      <c r="E1117">
        <v>32</v>
      </c>
      <c r="F1117">
        <v>202</v>
      </c>
      <c r="G1117">
        <v>9</v>
      </c>
      <c r="H1117">
        <v>40</v>
      </c>
      <c r="J1117" t="s">
        <v>22</v>
      </c>
      <c r="K1117" t="b">
        <v>1</v>
      </c>
      <c r="L1117">
        <f t="shared" si="17"/>
        <v>41</v>
      </c>
      <c r="M1117">
        <f t="shared" si="17"/>
        <v>242</v>
      </c>
      <c r="N1117" t="b">
        <v>0</v>
      </c>
      <c r="O1117">
        <v>1</v>
      </c>
      <c r="P1117" t="s">
        <v>3023</v>
      </c>
      <c r="Q1117">
        <v>2</v>
      </c>
      <c r="R1117" t="b">
        <v>1</v>
      </c>
    </row>
    <row r="1118" spans="1:18" hidden="1">
      <c r="A1118" t="s">
        <v>2919</v>
      </c>
      <c r="B1118" t="s">
        <v>3024</v>
      </c>
      <c r="C1118" t="s">
        <v>3025</v>
      </c>
      <c r="E1118">
        <v>24</v>
      </c>
      <c r="F1118">
        <v>132</v>
      </c>
      <c r="G1118">
        <v>17</v>
      </c>
      <c r="H1118">
        <v>32</v>
      </c>
      <c r="J1118" t="s">
        <v>93</v>
      </c>
      <c r="K1118" t="b">
        <v>0</v>
      </c>
      <c r="L1118">
        <f t="shared" si="17"/>
        <v>41</v>
      </c>
      <c r="M1118">
        <f t="shared" si="17"/>
        <v>164</v>
      </c>
      <c r="N1118" t="b">
        <v>0</v>
      </c>
      <c r="O1118">
        <v>0</v>
      </c>
      <c r="Q1118">
        <v>0</v>
      </c>
      <c r="R1118" t="b">
        <v>0</v>
      </c>
    </row>
    <row r="1119" spans="1:18" hidden="1">
      <c r="A1119" t="s">
        <v>2454</v>
      </c>
      <c r="B1119" t="s">
        <v>3026</v>
      </c>
      <c r="C1119" t="s">
        <v>3027</v>
      </c>
      <c r="E1119">
        <v>22</v>
      </c>
      <c r="F1119">
        <v>83</v>
      </c>
      <c r="G1119">
        <v>19</v>
      </c>
      <c r="H1119">
        <v>41</v>
      </c>
      <c r="J1119" t="s">
        <v>93</v>
      </c>
      <c r="K1119" t="b">
        <v>0</v>
      </c>
      <c r="L1119">
        <f t="shared" si="17"/>
        <v>41</v>
      </c>
      <c r="M1119">
        <f t="shared" si="17"/>
        <v>124</v>
      </c>
      <c r="N1119" t="b">
        <v>0</v>
      </c>
      <c r="O1119">
        <v>0</v>
      </c>
      <c r="Q1119">
        <v>0</v>
      </c>
      <c r="R1119" t="b">
        <v>0</v>
      </c>
    </row>
    <row r="1120" spans="1:18">
      <c r="A1120" t="s">
        <v>378</v>
      </c>
      <c r="B1120" t="s">
        <v>3028</v>
      </c>
      <c r="C1120" t="s">
        <v>3029</v>
      </c>
      <c r="E1120">
        <v>25</v>
      </c>
      <c r="F1120">
        <v>91</v>
      </c>
      <c r="G1120">
        <v>16</v>
      </c>
      <c r="H1120">
        <v>70</v>
      </c>
      <c r="J1120" t="s">
        <v>22</v>
      </c>
      <c r="K1120" t="b">
        <v>1</v>
      </c>
      <c r="L1120">
        <f t="shared" si="17"/>
        <v>41</v>
      </c>
      <c r="M1120">
        <f t="shared" si="17"/>
        <v>161</v>
      </c>
      <c r="N1120" t="b">
        <v>0</v>
      </c>
      <c r="O1120">
        <v>1</v>
      </c>
      <c r="P1120" t="s">
        <v>3030</v>
      </c>
      <c r="Q1120">
        <v>2</v>
      </c>
      <c r="R1120" t="b">
        <v>1</v>
      </c>
    </row>
    <row r="1121" spans="1:18">
      <c r="A1121" t="s">
        <v>378</v>
      </c>
      <c r="B1121" t="s">
        <v>3031</v>
      </c>
      <c r="C1121" t="s">
        <v>3032</v>
      </c>
      <c r="E1121">
        <v>25</v>
      </c>
      <c r="F1121">
        <v>91</v>
      </c>
      <c r="G1121">
        <v>16</v>
      </c>
      <c r="H1121">
        <v>70</v>
      </c>
      <c r="J1121" t="s">
        <v>22</v>
      </c>
      <c r="K1121" t="b">
        <v>1</v>
      </c>
      <c r="L1121">
        <f t="shared" si="17"/>
        <v>41</v>
      </c>
      <c r="M1121">
        <f t="shared" si="17"/>
        <v>161</v>
      </c>
      <c r="N1121" t="b">
        <v>0</v>
      </c>
      <c r="O1121">
        <v>1</v>
      </c>
      <c r="P1121" t="s">
        <v>3033</v>
      </c>
      <c r="Q1121">
        <v>2</v>
      </c>
      <c r="R1121" t="b">
        <v>1</v>
      </c>
    </row>
    <row r="1122" spans="1:18">
      <c r="A1122" t="s">
        <v>378</v>
      </c>
      <c r="B1122" t="s">
        <v>3034</v>
      </c>
      <c r="C1122" t="s">
        <v>3035</v>
      </c>
      <c r="E1122">
        <v>25</v>
      </c>
      <c r="F1122">
        <v>91</v>
      </c>
      <c r="G1122">
        <v>16</v>
      </c>
      <c r="H1122">
        <v>70</v>
      </c>
      <c r="J1122" t="s">
        <v>22</v>
      </c>
      <c r="K1122" t="b">
        <v>1</v>
      </c>
      <c r="L1122">
        <f t="shared" si="17"/>
        <v>41</v>
      </c>
      <c r="M1122">
        <f t="shared" si="17"/>
        <v>161</v>
      </c>
      <c r="N1122" t="b">
        <v>0</v>
      </c>
      <c r="O1122">
        <v>1</v>
      </c>
      <c r="P1122" t="s">
        <v>3036</v>
      </c>
      <c r="Q1122">
        <v>2</v>
      </c>
      <c r="R1122" t="b">
        <v>1</v>
      </c>
    </row>
    <row r="1123" spans="1:18" hidden="1">
      <c r="A1123" t="s">
        <v>1224</v>
      </c>
      <c r="B1123" t="s">
        <v>3037</v>
      </c>
      <c r="C1123" t="s">
        <v>3038</v>
      </c>
      <c r="E1123">
        <v>25</v>
      </c>
      <c r="F1123">
        <v>924</v>
      </c>
      <c r="G1123">
        <v>15</v>
      </c>
      <c r="H1123">
        <v>1026</v>
      </c>
      <c r="J1123" t="s">
        <v>93</v>
      </c>
      <c r="K1123" t="b">
        <v>1</v>
      </c>
      <c r="L1123">
        <f t="shared" si="17"/>
        <v>40</v>
      </c>
      <c r="M1123">
        <f t="shared" si="17"/>
        <v>1950</v>
      </c>
      <c r="N1123" t="b">
        <v>0</v>
      </c>
      <c r="O1123">
        <v>0</v>
      </c>
      <c r="Q1123">
        <v>0</v>
      </c>
      <c r="R1123" t="b">
        <v>0</v>
      </c>
    </row>
    <row r="1124" spans="1:18" hidden="1">
      <c r="A1124" t="s">
        <v>1304</v>
      </c>
      <c r="B1124" t="s">
        <v>3039</v>
      </c>
      <c r="C1124" t="s">
        <v>3040</v>
      </c>
      <c r="E1124">
        <v>29</v>
      </c>
      <c r="F1124">
        <v>1047</v>
      </c>
      <c r="G1124">
        <v>11</v>
      </c>
      <c r="H1124">
        <v>133</v>
      </c>
      <c r="J1124" t="s">
        <v>93</v>
      </c>
      <c r="K1124" t="b">
        <v>0</v>
      </c>
      <c r="L1124">
        <f t="shared" si="17"/>
        <v>40</v>
      </c>
      <c r="M1124">
        <f t="shared" si="17"/>
        <v>1180</v>
      </c>
      <c r="N1124" t="b">
        <v>0</v>
      </c>
      <c r="O1124">
        <v>0</v>
      </c>
      <c r="Q1124">
        <v>0</v>
      </c>
      <c r="R1124" t="b">
        <v>0</v>
      </c>
    </row>
    <row r="1125" spans="1:18">
      <c r="A1125" t="s">
        <v>59</v>
      </c>
      <c r="B1125" t="s">
        <v>3041</v>
      </c>
      <c r="C1125" t="s">
        <v>3042</v>
      </c>
      <c r="E1125">
        <v>25</v>
      </c>
      <c r="F1125">
        <v>121</v>
      </c>
      <c r="G1125">
        <v>15</v>
      </c>
      <c r="H1125">
        <v>37</v>
      </c>
      <c r="J1125" t="s">
        <v>22</v>
      </c>
      <c r="K1125" t="b">
        <v>1</v>
      </c>
      <c r="L1125">
        <f t="shared" si="17"/>
        <v>40</v>
      </c>
      <c r="M1125">
        <f t="shared" si="17"/>
        <v>158</v>
      </c>
      <c r="N1125" t="b">
        <v>0</v>
      </c>
      <c r="O1125">
        <v>1</v>
      </c>
      <c r="P1125" t="s">
        <v>3043</v>
      </c>
      <c r="Q1125">
        <v>2</v>
      </c>
      <c r="R1125" t="b">
        <v>1</v>
      </c>
    </row>
    <row r="1126" spans="1:18" hidden="1">
      <c r="A1126" t="s">
        <v>2477</v>
      </c>
      <c r="B1126" t="s">
        <v>3044</v>
      </c>
      <c r="C1126" t="s">
        <v>3045</v>
      </c>
      <c r="E1126">
        <v>19</v>
      </c>
      <c r="F1126">
        <v>43</v>
      </c>
      <c r="G1126">
        <v>21</v>
      </c>
      <c r="H1126">
        <v>47</v>
      </c>
      <c r="J1126" t="s">
        <v>93</v>
      </c>
      <c r="K1126" t="b">
        <v>0</v>
      </c>
      <c r="L1126">
        <f t="shared" si="17"/>
        <v>40</v>
      </c>
      <c r="M1126">
        <f t="shared" si="17"/>
        <v>90</v>
      </c>
      <c r="N1126" t="b">
        <v>0</v>
      </c>
      <c r="O1126">
        <v>0</v>
      </c>
      <c r="Q1126">
        <v>0</v>
      </c>
      <c r="R1126" t="b">
        <v>0</v>
      </c>
    </row>
    <row r="1127" spans="1:18" hidden="1">
      <c r="A1127" t="s">
        <v>115</v>
      </c>
      <c r="B1127" t="s">
        <v>3046</v>
      </c>
      <c r="C1127" t="s">
        <v>3047</v>
      </c>
      <c r="E1127">
        <v>28</v>
      </c>
      <c r="F1127">
        <v>0</v>
      </c>
      <c r="G1127">
        <v>12</v>
      </c>
      <c r="H1127">
        <v>12</v>
      </c>
      <c r="J1127" t="s">
        <v>93</v>
      </c>
      <c r="K1127" t="b">
        <v>1</v>
      </c>
      <c r="L1127">
        <f t="shared" si="17"/>
        <v>40</v>
      </c>
      <c r="M1127">
        <f t="shared" si="17"/>
        <v>12</v>
      </c>
      <c r="N1127" t="b">
        <v>0</v>
      </c>
      <c r="O1127">
        <v>0</v>
      </c>
      <c r="Q1127">
        <v>0</v>
      </c>
      <c r="R1127" t="b">
        <v>0</v>
      </c>
    </row>
    <row r="1128" spans="1:18" hidden="1">
      <c r="A1128" t="s">
        <v>438</v>
      </c>
      <c r="B1128" t="s">
        <v>3048</v>
      </c>
      <c r="C1128" t="s">
        <v>3049</v>
      </c>
      <c r="E1128">
        <v>27</v>
      </c>
      <c r="F1128">
        <v>109</v>
      </c>
      <c r="G1128">
        <v>12</v>
      </c>
      <c r="H1128">
        <v>81</v>
      </c>
      <c r="J1128" t="s">
        <v>93</v>
      </c>
      <c r="K1128" t="b">
        <v>1</v>
      </c>
      <c r="L1128">
        <f t="shared" si="17"/>
        <v>39</v>
      </c>
      <c r="M1128">
        <f t="shared" si="17"/>
        <v>190</v>
      </c>
      <c r="N1128" t="b">
        <v>0</v>
      </c>
      <c r="O1128">
        <v>0</v>
      </c>
      <c r="Q1128">
        <v>0</v>
      </c>
      <c r="R1128" t="b">
        <v>0</v>
      </c>
    </row>
    <row r="1129" spans="1:18" hidden="1">
      <c r="A1129" t="s">
        <v>1418</v>
      </c>
      <c r="B1129" t="s">
        <v>3050</v>
      </c>
      <c r="C1129" t="s">
        <v>3051</v>
      </c>
      <c r="E1129">
        <v>24</v>
      </c>
      <c r="F1129">
        <v>847</v>
      </c>
      <c r="G1129">
        <v>15</v>
      </c>
      <c r="H1129">
        <v>44</v>
      </c>
      <c r="J1129" t="s">
        <v>93</v>
      </c>
      <c r="K1129" t="b">
        <v>1</v>
      </c>
      <c r="L1129">
        <f t="shared" si="17"/>
        <v>39</v>
      </c>
      <c r="M1129">
        <f t="shared" si="17"/>
        <v>891</v>
      </c>
      <c r="N1129" t="b">
        <v>0</v>
      </c>
      <c r="O1129">
        <v>0</v>
      </c>
      <c r="Q1129">
        <v>0</v>
      </c>
      <c r="R1129" t="b">
        <v>0</v>
      </c>
    </row>
    <row r="1130" spans="1:18" hidden="1">
      <c r="A1130" t="s">
        <v>1224</v>
      </c>
      <c r="B1130" t="s">
        <v>3052</v>
      </c>
      <c r="C1130" t="s">
        <v>3053</v>
      </c>
      <c r="E1130">
        <v>25</v>
      </c>
      <c r="F1130">
        <v>632</v>
      </c>
      <c r="G1130">
        <v>14</v>
      </c>
      <c r="H1130">
        <v>412</v>
      </c>
      <c r="J1130" t="s">
        <v>93</v>
      </c>
      <c r="K1130" t="b">
        <v>1</v>
      </c>
      <c r="L1130">
        <f t="shared" si="17"/>
        <v>39</v>
      </c>
      <c r="M1130">
        <f t="shared" si="17"/>
        <v>1044</v>
      </c>
      <c r="N1130" t="b">
        <v>0</v>
      </c>
      <c r="O1130">
        <v>0</v>
      </c>
      <c r="Q1130">
        <v>0</v>
      </c>
      <c r="R1130" t="b">
        <v>0</v>
      </c>
    </row>
    <row r="1131" spans="1:18" hidden="1">
      <c r="A1131" t="s">
        <v>2919</v>
      </c>
      <c r="B1131" t="s">
        <v>3054</v>
      </c>
      <c r="C1131" t="s">
        <v>3055</v>
      </c>
      <c r="E1131">
        <v>23</v>
      </c>
      <c r="F1131">
        <v>131</v>
      </c>
      <c r="G1131">
        <v>16</v>
      </c>
      <c r="H1131">
        <v>30</v>
      </c>
      <c r="J1131" t="s">
        <v>93</v>
      </c>
      <c r="K1131" t="b">
        <v>0</v>
      </c>
      <c r="L1131">
        <f t="shared" si="17"/>
        <v>39</v>
      </c>
      <c r="M1131">
        <f t="shared" si="17"/>
        <v>161</v>
      </c>
      <c r="N1131" t="b">
        <v>0</v>
      </c>
      <c r="O1131">
        <v>0</v>
      </c>
      <c r="Q1131">
        <v>0</v>
      </c>
      <c r="R1131" t="b">
        <v>0</v>
      </c>
    </row>
    <row r="1132" spans="1:18" hidden="1">
      <c r="A1132" t="s">
        <v>43</v>
      </c>
      <c r="B1132" t="s">
        <v>3056</v>
      </c>
      <c r="C1132" t="s">
        <v>3057</v>
      </c>
      <c r="E1132">
        <v>18</v>
      </c>
      <c r="F1132">
        <v>176</v>
      </c>
      <c r="G1132">
        <v>21</v>
      </c>
      <c r="H1132">
        <v>1033</v>
      </c>
      <c r="J1132" t="s">
        <v>93</v>
      </c>
      <c r="K1132" t="b">
        <v>1</v>
      </c>
      <c r="L1132">
        <f t="shared" si="17"/>
        <v>39</v>
      </c>
      <c r="M1132">
        <f t="shared" si="17"/>
        <v>1209</v>
      </c>
      <c r="N1132" t="b">
        <v>0</v>
      </c>
      <c r="O1132">
        <v>0</v>
      </c>
      <c r="Q1132">
        <v>0</v>
      </c>
      <c r="R1132" t="b">
        <v>0</v>
      </c>
    </row>
    <row r="1133" spans="1:18" hidden="1">
      <c r="A1133" t="s">
        <v>43</v>
      </c>
      <c r="B1133" t="s">
        <v>3058</v>
      </c>
      <c r="C1133" t="s">
        <v>3059</v>
      </c>
      <c r="E1133">
        <v>18</v>
      </c>
      <c r="F1133">
        <v>176</v>
      </c>
      <c r="G1133">
        <v>21</v>
      </c>
      <c r="H1133">
        <v>1033</v>
      </c>
      <c r="J1133" t="s">
        <v>93</v>
      </c>
      <c r="K1133" t="b">
        <v>1</v>
      </c>
      <c r="L1133">
        <f t="shared" si="17"/>
        <v>39</v>
      </c>
      <c r="M1133">
        <f t="shared" si="17"/>
        <v>1209</v>
      </c>
      <c r="N1133" t="b">
        <v>0</v>
      </c>
      <c r="O1133">
        <v>0</v>
      </c>
      <c r="Q1133">
        <v>0</v>
      </c>
      <c r="R1133" t="b">
        <v>0</v>
      </c>
    </row>
    <row r="1134" spans="1:18" hidden="1">
      <c r="A1134" t="s">
        <v>19</v>
      </c>
      <c r="B1134" t="s">
        <v>3060</v>
      </c>
      <c r="C1134" t="s">
        <v>3061</v>
      </c>
      <c r="E1134">
        <v>24</v>
      </c>
      <c r="F1134">
        <v>36</v>
      </c>
      <c r="G1134">
        <v>15</v>
      </c>
      <c r="H1134">
        <v>35</v>
      </c>
      <c r="J1134" t="s">
        <v>93</v>
      </c>
      <c r="K1134" t="b">
        <v>1</v>
      </c>
      <c r="L1134">
        <f t="shared" si="17"/>
        <v>39</v>
      </c>
      <c r="M1134">
        <f t="shared" si="17"/>
        <v>71</v>
      </c>
      <c r="N1134" t="b">
        <v>0</v>
      </c>
      <c r="O1134">
        <v>0</v>
      </c>
      <c r="Q1134">
        <v>0</v>
      </c>
      <c r="R1134" t="b">
        <v>0</v>
      </c>
    </row>
    <row r="1135" spans="1:18">
      <c r="A1135" t="s">
        <v>573</v>
      </c>
      <c r="B1135" t="s">
        <v>3062</v>
      </c>
      <c r="C1135" t="s">
        <v>3063</v>
      </c>
      <c r="E1135">
        <v>21</v>
      </c>
      <c r="F1135">
        <v>28</v>
      </c>
      <c r="G1135">
        <v>17</v>
      </c>
      <c r="H1135">
        <v>297</v>
      </c>
      <c r="J1135" t="s">
        <v>22</v>
      </c>
      <c r="K1135" t="b">
        <v>1</v>
      </c>
      <c r="L1135">
        <f t="shared" si="17"/>
        <v>38</v>
      </c>
      <c r="M1135">
        <f t="shared" si="17"/>
        <v>325</v>
      </c>
      <c r="N1135" t="b">
        <v>0</v>
      </c>
      <c r="O1135">
        <v>1</v>
      </c>
      <c r="P1135" t="s">
        <v>3064</v>
      </c>
      <c r="Q1135">
        <v>2</v>
      </c>
      <c r="R1135" t="b">
        <v>1</v>
      </c>
    </row>
    <row r="1136" spans="1:18" hidden="1">
      <c r="A1136" t="s">
        <v>2919</v>
      </c>
      <c r="B1136" t="s">
        <v>3065</v>
      </c>
      <c r="C1136" s="2" t="s">
        <v>3066</v>
      </c>
      <c r="D1136" s="2"/>
      <c r="E1136">
        <v>22</v>
      </c>
      <c r="F1136">
        <v>131</v>
      </c>
      <c r="G1136">
        <v>16</v>
      </c>
      <c r="H1136">
        <v>30</v>
      </c>
      <c r="J1136" t="s">
        <v>93</v>
      </c>
      <c r="K1136" t="b">
        <v>0</v>
      </c>
      <c r="L1136">
        <f t="shared" si="17"/>
        <v>38</v>
      </c>
      <c r="M1136">
        <f t="shared" si="17"/>
        <v>161</v>
      </c>
      <c r="N1136" t="b">
        <v>0</v>
      </c>
      <c r="O1136">
        <v>0</v>
      </c>
      <c r="Q1136">
        <v>0</v>
      </c>
      <c r="R1136" t="b">
        <v>0</v>
      </c>
    </row>
    <row r="1137" spans="1:18" hidden="1">
      <c r="A1137" t="s">
        <v>3067</v>
      </c>
      <c r="B1137" t="s">
        <v>3068</v>
      </c>
      <c r="C1137" t="s">
        <v>3069</v>
      </c>
      <c r="E1137">
        <v>27</v>
      </c>
      <c r="F1137">
        <v>19</v>
      </c>
      <c r="G1137">
        <v>11</v>
      </c>
      <c r="H1137">
        <v>24</v>
      </c>
      <c r="J1137" t="s">
        <v>93</v>
      </c>
      <c r="K1137" t="b">
        <v>0</v>
      </c>
      <c r="L1137">
        <f t="shared" si="17"/>
        <v>38</v>
      </c>
      <c r="M1137">
        <f t="shared" si="17"/>
        <v>43</v>
      </c>
      <c r="N1137" t="b">
        <v>0</v>
      </c>
      <c r="O1137">
        <v>0</v>
      </c>
      <c r="Q1137">
        <v>0</v>
      </c>
      <c r="R1137" t="b">
        <v>0</v>
      </c>
    </row>
    <row r="1138" spans="1:18" hidden="1">
      <c r="A1138" t="s">
        <v>3067</v>
      </c>
      <c r="B1138" t="s">
        <v>3070</v>
      </c>
      <c r="C1138" t="s">
        <v>3071</v>
      </c>
      <c r="E1138">
        <v>27</v>
      </c>
      <c r="F1138">
        <v>19</v>
      </c>
      <c r="G1138">
        <v>11</v>
      </c>
      <c r="H1138">
        <v>24</v>
      </c>
      <c r="J1138" t="s">
        <v>93</v>
      </c>
      <c r="K1138" t="b">
        <v>0</v>
      </c>
      <c r="L1138">
        <f t="shared" si="17"/>
        <v>38</v>
      </c>
      <c r="M1138">
        <f t="shared" si="17"/>
        <v>43</v>
      </c>
      <c r="N1138" t="b">
        <v>0</v>
      </c>
      <c r="O1138">
        <v>0</v>
      </c>
      <c r="Q1138">
        <v>0</v>
      </c>
      <c r="R1138" t="b">
        <v>0</v>
      </c>
    </row>
    <row r="1139" spans="1:18">
      <c r="A1139" t="s">
        <v>2775</v>
      </c>
      <c r="B1139" t="s">
        <v>3072</v>
      </c>
      <c r="C1139" t="s">
        <v>3073</v>
      </c>
      <c r="E1139">
        <v>22</v>
      </c>
      <c r="F1139">
        <v>253</v>
      </c>
      <c r="G1139">
        <v>16</v>
      </c>
      <c r="H1139">
        <v>24</v>
      </c>
      <c r="J1139" t="s">
        <v>22</v>
      </c>
      <c r="K1139" t="b">
        <v>1</v>
      </c>
      <c r="L1139">
        <f t="shared" si="17"/>
        <v>38</v>
      </c>
      <c r="M1139">
        <f t="shared" si="17"/>
        <v>277</v>
      </c>
      <c r="N1139" t="b">
        <v>0</v>
      </c>
      <c r="O1139">
        <v>1</v>
      </c>
      <c r="P1139" t="s">
        <v>3074</v>
      </c>
      <c r="Q1139">
        <v>2</v>
      </c>
      <c r="R1139" t="b">
        <v>1</v>
      </c>
    </row>
    <row r="1140" spans="1:18">
      <c r="A1140" t="s">
        <v>1143</v>
      </c>
      <c r="B1140" t="s">
        <v>3075</v>
      </c>
      <c r="C1140" t="s">
        <v>3076</v>
      </c>
      <c r="E1140">
        <v>0</v>
      </c>
      <c r="F1140">
        <v>0</v>
      </c>
      <c r="G1140">
        <v>38</v>
      </c>
      <c r="H1140">
        <v>212</v>
      </c>
      <c r="J1140" t="s">
        <v>22</v>
      </c>
      <c r="K1140" t="b">
        <v>1</v>
      </c>
      <c r="L1140">
        <f t="shared" si="17"/>
        <v>38</v>
      </c>
      <c r="M1140">
        <f t="shared" si="17"/>
        <v>212</v>
      </c>
      <c r="N1140" t="b">
        <v>0</v>
      </c>
      <c r="O1140">
        <v>1</v>
      </c>
      <c r="P1140" t="s">
        <v>3077</v>
      </c>
      <c r="Q1140">
        <v>2</v>
      </c>
      <c r="R1140" t="b">
        <v>1</v>
      </c>
    </row>
    <row r="1141" spans="1:18">
      <c r="A1141" t="s">
        <v>1384</v>
      </c>
      <c r="B1141" t="s">
        <v>3078</v>
      </c>
      <c r="C1141" t="s">
        <v>3079</v>
      </c>
      <c r="E1141">
        <v>29</v>
      </c>
      <c r="F1141">
        <v>100</v>
      </c>
      <c r="G1141">
        <v>9</v>
      </c>
      <c r="H1141">
        <v>56</v>
      </c>
      <c r="J1141" t="s">
        <v>22</v>
      </c>
      <c r="K1141" t="b">
        <v>1</v>
      </c>
      <c r="L1141">
        <f t="shared" si="17"/>
        <v>38</v>
      </c>
      <c r="M1141">
        <f t="shared" si="17"/>
        <v>156</v>
      </c>
      <c r="N1141" t="b">
        <v>0</v>
      </c>
      <c r="O1141">
        <v>1</v>
      </c>
      <c r="P1141" t="s">
        <v>3080</v>
      </c>
      <c r="Q1141">
        <v>2</v>
      </c>
      <c r="R1141" t="b">
        <v>1</v>
      </c>
    </row>
    <row r="1142" spans="1:18">
      <c r="A1142" t="s">
        <v>1384</v>
      </c>
      <c r="B1142" t="s">
        <v>3081</v>
      </c>
      <c r="C1142" t="s">
        <v>3082</v>
      </c>
      <c r="E1142">
        <v>26</v>
      </c>
      <c r="F1142">
        <v>209</v>
      </c>
      <c r="G1142">
        <v>12</v>
      </c>
      <c r="H1142">
        <v>29</v>
      </c>
      <c r="J1142" t="s">
        <v>22</v>
      </c>
      <c r="K1142" t="b">
        <v>1</v>
      </c>
      <c r="L1142">
        <f t="shared" si="17"/>
        <v>38</v>
      </c>
      <c r="M1142">
        <f t="shared" si="17"/>
        <v>238</v>
      </c>
      <c r="N1142" t="b">
        <v>0</v>
      </c>
      <c r="O1142">
        <v>1</v>
      </c>
      <c r="P1142" t="s">
        <v>3083</v>
      </c>
      <c r="Q1142">
        <v>2</v>
      </c>
      <c r="R1142" t="b">
        <v>1</v>
      </c>
    </row>
    <row r="1143" spans="1:18">
      <c r="A1143" t="s">
        <v>192</v>
      </c>
      <c r="B1143" t="s">
        <v>3084</v>
      </c>
      <c r="C1143" t="s">
        <v>3085</v>
      </c>
      <c r="E1143">
        <v>33</v>
      </c>
      <c r="F1143">
        <v>13</v>
      </c>
      <c r="G1143">
        <v>5</v>
      </c>
      <c r="H1143">
        <v>14</v>
      </c>
      <c r="J1143" t="s">
        <v>22</v>
      </c>
      <c r="K1143" t="b">
        <v>1</v>
      </c>
      <c r="L1143">
        <f t="shared" si="17"/>
        <v>38</v>
      </c>
      <c r="M1143">
        <f t="shared" si="17"/>
        <v>27</v>
      </c>
      <c r="N1143" t="b">
        <v>0</v>
      </c>
      <c r="O1143">
        <v>1</v>
      </c>
      <c r="P1143" t="s">
        <v>3086</v>
      </c>
      <c r="Q1143">
        <v>2</v>
      </c>
      <c r="R1143" t="b">
        <v>1</v>
      </c>
    </row>
    <row r="1144" spans="1:18" hidden="1">
      <c r="A1144" t="s">
        <v>192</v>
      </c>
      <c r="B1144" t="s">
        <v>3087</v>
      </c>
      <c r="C1144" t="s">
        <v>3088</v>
      </c>
      <c r="E1144">
        <v>24</v>
      </c>
      <c r="F1144">
        <v>58</v>
      </c>
      <c r="G1144">
        <v>14</v>
      </c>
      <c r="H1144">
        <v>90</v>
      </c>
      <c r="J1144" t="s">
        <v>93</v>
      </c>
      <c r="K1144" t="b">
        <v>1</v>
      </c>
      <c r="L1144">
        <f t="shared" si="17"/>
        <v>38</v>
      </c>
      <c r="M1144">
        <f t="shared" si="17"/>
        <v>148</v>
      </c>
      <c r="N1144" t="b">
        <v>0</v>
      </c>
      <c r="O1144">
        <v>0</v>
      </c>
      <c r="Q1144">
        <v>0</v>
      </c>
      <c r="R1144" t="b">
        <v>0</v>
      </c>
    </row>
    <row r="1145" spans="1:18">
      <c r="A1145" t="s">
        <v>1191</v>
      </c>
      <c r="B1145" t="s">
        <v>3089</v>
      </c>
      <c r="C1145" t="s">
        <v>3090</v>
      </c>
      <c r="E1145">
        <v>26</v>
      </c>
      <c r="F1145">
        <v>187</v>
      </c>
      <c r="G1145">
        <v>11</v>
      </c>
      <c r="H1145">
        <v>80</v>
      </c>
      <c r="J1145" t="s">
        <v>22</v>
      </c>
      <c r="K1145" t="b">
        <v>1</v>
      </c>
      <c r="L1145">
        <f t="shared" si="17"/>
        <v>37</v>
      </c>
      <c r="M1145">
        <f t="shared" si="17"/>
        <v>267</v>
      </c>
      <c r="N1145" t="b">
        <v>0</v>
      </c>
      <c r="O1145">
        <v>1</v>
      </c>
      <c r="P1145" t="s">
        <v>3091</v>
      </c>
      <c r="Q1145">
        <v>2</v>
      </c>
      <c r="R1145" t="b">
        <v>1</v>
      </c>
    </row>
    <row r="1146" spans="1:18" hidden="1">
      <c r="A1146" t="s">
        <v>1224</v>
      </c>
      <c r="B1146" t="s">
        <v>3092</v>
      </c>
      <c r="C1146" t="s">
        <v>3093</v>
      </c>
      <c r="E1146">
        <v>32</v>
      </c>
      <c r="F1146">
        <v>478</v>
      </c>
      <c r="G1146">
        <v>5</v>
      </c>
      <c r="H1146">
        <v>16</v>
      </c>
      <c r="J1146" t="s">
        <v>93</v>
      </c>
      <c r="K1146" t="b">
        <v>1</v>
      </c>
      <c r="L1146">
        <f t="shared" si="17"/>
        <v>37</v>
      </c>
      <c r="M1146">
        <f t="shared" si="17"/>
        <v>494</v>
      </c>
      <c r="N1146" t="b">
        <v>0</v>
      </c>
      <c r="O1146">
        <v>0</v>
      </c>
      <c r="Q1146">
        <v>0</v>
      </c>
      <c r="R1146" t="b">
        <v>0</v>
      </c>
    </row>
    <row r="1147" spans="1:18">
      <c r="A1147" t="s">
        <v>24</v>
      </c>
      <c r="B1147" t="s">
        <v>3094</v>
      </c>
      <c r="C1147" t="s">
        <v>3095</v>
      </c>
      <c r="E1147">
        <v>21</v>
      </c>
      <c r="F1147">
        <v>28</v>
      </c>
      <c r="G1147">
        <v>16</v>
      </c>
      <c r="H1147">
        <v>296</v>
      </c>
      <c r="J1147" t="s">
        <v>22</v>
      </c>
      <c r="K1147" t="b">
        <v>1</v>
      </c>
      <c r="L1147">
        <f t="shared" si="17"/>
        <v>37</v>
      </c>
      <c r="M1147">
        <f t="shared" si="17"/>
        <v>324</v>
      </c>
      <c r="N1147" t="b">
        <v>0</v>
      </c>
      <c r="O1147">
        <v>0</v>
      </c>
      <c r="Q1147">
        <v>0</v>
      </c>
      <c r="R1147" t="b">
        <v>0</v>
      </c>
    </row>
    <row r="1148" spans="1:18">
      <c r="A1148" t="s">
        <v>24</v>
      </c>
      <c r="B1148" t="s">
        <v>3096</v>
      </c>
      <c r="C1148" t="s">
        <v>3097</v>
      </c>
      <c r="E1148">
        <v>26</v>
      </c>
      <c r="F1148">
        <v>64</v>
      </c>
      <c r="G1148">
        <v>11</v>
      </c>
      <c r="H1148">
        <v>11</v>
      </c>
      <c r="J1148" t="s">
        <v>22</v>
      </c>
      <c r="K1148" t="b">
        <v>1</v>
      </c>
      <c r="L1148">
        <f t="shared" si="17"/>
        <v>37</v>
      </c>
      <c r="M1148">
        <f t="shared" si="17"/>
        <v>75</v>
      </c>
      <c r="N1148" t="b">
        <v>0</v>
      </c>
      <c r="O1148">
        <v>0.33329999999999999</v>
      </c>
      <c r="P1148" t="s">
        <v>3098</v>
      </c>
      <c r="Q1148">
        <v>2</v>
      </c>
      <c r="R1148" t="b">
        <v>1</v>
      </c>
    </row>
    <row r="1149" spans="1:18">
      <c r="A1149" t="s">
        <v>24</v>
      </c>
      <c r="B1149" t="s">
        <v>3099</v>
      </c>
      <c r="C1149" t="s">
        <v>3100</v>
      </c>
      <c r="E1149">
        <v>26</v>
      </c>
      <c r="F1149">
        <v>64</v>
      </c>
      <c r="G1149">
        <v>11</v>
      </c>
      <c r="H1149">
        <v>11</v>
      </c>
      <c r="J1149" t="s">
        <v>22</v>
      </c>
      <c r="K1149" t="b">
        <v>1</v>
      </c>
      <c r="L1149">
        <f t="shared" si="17"/>
        <v>37</v>
      </c>
      <c r="M1149">
        <f t="shared" si="17"/>
        <v>75</v>
      </c>
      <c r="N1149" t="b">
        <v>0</v>
      </c>
      <c r="O1149">
        <v>1</v>
      </c>
      <c r="P1149" t="s">
        <v>557</v>
      </c>
      <c r="Q1149">
        <v>2</v>
      </c>
      <c r="R1149" t="b">
        <v>1</v>
      </c>
    </row>
    <row r="1150" spans="1:18">
      <c r="A1150" t="s">
        <v>24</v>
      </c>
      <c r="B1150" t="s">
        <v>3101</v>
      </c>
      <c r="C1150" t="s">
        <v>3102</v>
      </c>
      <c r="E1150">
        <v>26</v>
      </c>
      <c r="F1150">
        <v>64</v>
      </c>
      <c r="G1150">
        <v>11</v>
      </c>
      <c r="H1150">
        <v>11</v>
      </c>
      <c r="J1150" t="s">
        <v>22</v>
      </c>
      <c r="K1150" t="b">
        <v>1</v>
      </c>
      <c r="L1150">
        <f t="shared" si="17"/>
        <v>37</v>
      </c>
      <c r="M1150">
        <f t="shared" si="17"/>
        <v>75</v>
      </c>
      <c r="N1150" t="b">
        <v>0</v>
      </c>
      <c r="O1150">
        <v>0</v>
      </c>
      <c r="Q1150">
        <v>0</v>
      </c>
      <c r="R1150" t="b">
        <v>0</v>
      </c>
    </row>
    <row r="1151" spans="1:18">
      <c r="A1151" t="s">
        <v>205</v>
      </c>
      <c r="B1151" t="s">
        <v>3103</v>
      </c>
      <c r="C1151" t="s">
        <v>3104</v>
      </c>
      <c r="E1151">
        <v>29</v>
      </c>
      <c r="F1151">
        <v>27</v>
      </c>
      <c r="G1151">
        <v>8</v>
      </c>
      <c r="H1151">
        <v>889</v>
      </c>
      <c r="J1151" t="s">
        <v>22</v>
      </c>
      <c r="K1151" t="b">
        <v>1</v>
      </c>
      <c r="L1151">
        <f t="shared" si="17"/>
        <v>37</v>
      </c>
      <c r="M1151">
        <f t="shared" si="17"/>
        <v>916</v>
      </c>
      <c r="N1151" t="b">
        <v>0</v>
      </c>
      <c r="O1151">
        <v>1</v>
      </c>
      <c r="P1151" t="s">
        <v>1624</v>
      </c>
      <c r="Q1151">
        <v>2</v>
      </c>
      <c r="R1151" t="b">
        <v>1</v>
      </c>
    </row>
    <row r="1152" spans="1:18">
      <c r="A1152" t="s">
        <v>3105</v>
      </c>
      <c r="B1152" t="s">
        <v>3106</v>
      </c>
      <c r="C1152" t="s">
        <v>3107</v>
      </c>
      <c r="E1152">
        <v>21</v>
      </c>
      <c r="F1152">
        <v>114</v>
      </c>
      <c r="G1152">
        <v>16</v>
      </c>
      <c r="H1152">
        <v>62</v>
      </c>
      <c r="J1152" t="s">
        <v>22</v>
      </c>
      <c r="K1152" t="b">
        <v>1</v>
      </c>
      <c r="L1152">
        <f t="shared" si="17"/>
        <v>37</v>
      </c>
      <c r="M1152">
        <f t="shared" si="17"/>
        <v>176</v>
      </c>
      <c r="N1152" t="b">
        <v>0</v>
      </c>
      <c r="O1152">
        <v>0</v>
      </c>
      <c r="Q1152">
        <v>0</v>
      </c>
      <c r="R1152" t="b">
        <v>0</v>
      </c>
    </row>
    <row r="1153" spans="1:18">
      <c r="A1153" t="s">
        <v>3105</v>
      </c>
      <c r="B1153" t="s">
        <v>3108</v>
      </c>
      <c r="C1153" t="s">
        <v>3109</v>
      </c>
      <c r="E1153">
        <v>21</v>
      </c>
      <c r="F1153">
        <v>114</v>
      </c>
      <c r="G1153">
        <v>16</v>
      </c>
      <c r="H1153">
        <v>62</v>
      </c>
      <c r="J1153" t="s">
        <v>22</v>
      </c>
      <c r="K1153" t="b">
        <v>1</v>
      </c>
      <c r="L1153">
        <f t="shared" si="17"/>
        <v>37</v>
      </c>
      <c r="M1153">
        <f t="shared" si="17"/>
        <v>176</v>
      </c>
      <c r="N1153" t="b">
        <v>0</v>
      </c>
      <c r="O1153">
        <v>0</v>
      </c>
      <c r="Q1153">
        <v>0</v>
      </c>
      <c r="R1153" t="b">
        <v>0</v>
      </c>
    </row>
    <row r="1154" spans="1:18">
      <c r="A1154" t="s">
        <v>3105</v>
      </c>
      <c r="B1154" t="s">
        <v>3110</v>
      </c>
      <c r="C1154" t="s">
        <v>3111</v>
      </c>
      <c r="E1154">
        <v>21</v>
      </c>
      <c r="F1154">
        <v>114</v>
      </c>
      <c r="G1154">
        <v>16</v>
      </c>
      <c r="H1154">
        <v>62</v>
      </c>
      <c r="J1154" t="s">
        <v>22</v>
      </c>
      <c r="K1154" t="b">
        <v>1</v>
      </c>
      <c r="L1154">
        <f t="shared" si="17"/>
        <v>37</v>
      </c>
      <c r="M1154">
        <f t="shared" si="17"/>
        <v>176</v>
      </c>
      <c r="N1154" t="b">
        <v>0</v>
      </c>
      <c r="O1154">
        <v>1</v>
      </c>
      <c r="P1154" t="s">
        <v>3112</v>
      </c>
      <c r="Q1154">
        <v>1</v>
      </c>
      <c r="R1154" t="b">
        <v>1</v>
      </c>
    </row>
    <row r="1155" spans="1:18" hidden="1">
      <c r="A1155" t="s">
        <v>43</v>
      </c>
      <c r="B1155" t="s">
        <v>3113</v>
      </c>
      <c r="C1155" s="2" t="s">
        <v>3114</v>
      </c>
      <c r="D1155" s="2"/>
      <c r="E1155">
        <v>16</v>
      </c>
      <c r="F1155">
        <v>176</v>
      </c>
      <c r="G1155">
        <v>21</v>
      </c>
      <c r="H1155">
        <v>1032</v>
      </c>
      <c r="J1155" t="s">
        <v>93</v>
      </c>
      <c r="K1155" t="b">
        <v>1</v>
      </c>
      <c r="L1155">
        <f t="shared" ref="L1155:M1218" si="18">E1155+G1155</f>
        <v>37</v>
      </c>
      <c r="M1155">
        <f t="shared" si="18"/>
        <v>1208</v>
      </c>
      <c r="N1155" t="b">
        <v>0</v>
      </c>
      <c r="O1155">
        <v>0</v>
      </c>
      <c r="Q1155">
        <v>0</v>
      </c>
      <c r="R1155" t="b">
        <v>0</v>
      </c>
    </row>
    <row r="1156" spans="1:18">
      <c r="A1156" t="s">
        <v>1191</v>
      </c>
      <c r="B1156" t="s">
        <v>3115</v>
      </c>
      <c r="C1156" t="s">
        <v>3116</v>
      </c>
      <c r="E1156">
        <v>24</v>
      </c>
      <c r="F1156">
        <v>81</v>
      </c>
      <c r="G1156">
        <v>12</v>
      </c>
      <c r="H1156">
        <v>79</v>
      </c>
      <c r="J1156" t="s">
        <v>22</v>
      </c>
      <c r="K1156" t="b">
        <v>1</v>
      </c>
      <c r="L1156">
        <f t="shared" si="18"/>
        <v>36</v>
      </c>
      <c r="M1156">
        <f t="shared" si="18"/>
        <v>160</v>
      </c>
      <c r="N1156" t="b">
        <v>0</v>
      </c>
      <c r="O1156">
        <v>1</v>
      </c>
      <c r="P1156" t="s">
        <v>3117</v>
      </c>
      <c r="Q1156">
        <v>2</v>
      </c>
      <c r="R1156" t="b">
        <v>1</v>
      </c>
    </row>
    <row r="1157" spans="1:18" hidden="1">
      <c r="A1157" t="s">
        <v>24</v>
      </c>
      <c r="B1157" t="s">
        <v>3118</v>
      </c>
      <c r="C1157" t="s">
        <v>3119</v>
      </c>
      <c r="E1157">
        <v>23</v>
      </c>
      <c r="F1157">
        <v>60</v>
      </c>
      <c r="G1157">
        <v>13</v>
      </c>
      <c r="H1157">
        <v>23</v>
      </c>
      <c r="J1157" t="s">
        <v>93</v>
      </c>
      <c r="K1157" t="b">
        <v>1</v>
      </c>
      <c r="L1157">
        <f t="shared" si="18"/>
        <v>36</v>
      </c>
      <c r="M1157">
        <f t="shared" si="18"/>
        <v>83</v>
      </c>
      <c r="N1157" t="b">
        <v>0</v>
      </c>
      <c r="O1157">
        <v>0.5</v>
      </c>
      <c r="P1157" t="s">
        <v>1163</v>
      </c>
      <c r="Q1157">
        <v>6</v>
      </c>
      <c r="R1157" t="b">
        <v>1</v>
      </c>
    </row>
    <row r="1158" spans="1:18">
      <c r="A1158" t="s">
        <v>24</v>
      </c>
      <c r="B1158" t="s">
        <v>3120</v>
      </c>
      <c r="C1158" t="s">
        <v>3121</v>
      </c>
      <c r="E1158">
        <v>27</v>
      </c>
      <c r="F1158">
        <v>1339</v>
      </c>
      <c r="G1158">
        <v>9</v>
      </c>
      <c r="H1158">
        <v>42</v>
      </c>
      <c r="J1158" t="s">
        <v>22</v>
      </c>
      <c r="K1158" t="b">
        <v>1</v>
      </c>
      <c r="L1158">
        <f t="shared" si="18"/>
        <v>36</v>
      </c>
      <c r="M1158">
        <f t="shared" si="18"/>
        <v>1381</v>
      </c>
      <c r="N1158" t="b">
        <v>0</v>
      </c>
      <c r="O1158">
        <v>1</v>
      </c>
      <c r="P1158" t="s">
        <v>3122</v>
      </c>
      <c r="Q1158">
        <v>2</v>
      </c>
      <c r="R1158" t="b">
        <v>1</v>
      </c>
    </row>
    <row r="1159" spans="1:18" hidden="1">
      <c r="A1159" t="s">
        <v>24</v>
      </c>
      <c r="B1159" t="s">
        <v>3123</v>
      </c>
      <c r="C1159" t="s">
        <v>3124</v>
      </c>
      <c r="E1159">
        <v>24</v>
      </c>
      <c r="F1159">
        <v>58</v>
      </c>
      <c r="G1159">
        <v>12</v>
      </c>
      <c r="H1159">
        <v>88</v>
      </c>
      <c r="J1159" t="s">
        <v>999</v>
      </c>
      <c r="K1159" t="b">
        <v>1</v>
      </c>
      <c r="L1159">
        <f t="shared" si="18"/>
        <v>36</v>
      </c>
      <c r="M1159">
        <f t="shared" si="18"/>
        <v>146</v>
      </c>
      <c r="N1159" t="b">
        <v>0</v>
      </c>
      <c r="O1159">
        <v>0</v>
      </c>
      <c r="Q1159">
        <v>0</v>
      </c>
      <c r="R1159" t="b">
        <v>0</v>
      </c>
    </row>
    <row r="1160" spans="1:18" hidden="1">
      <c r="A1160" t="s">
        <v>2477</v>
      </c>
      <c r="B1160" t="s">
        <v>3125</v>
      </c>
      <c r="C1160" t="s">
        <v>3126</v>
      </c>
      <c r="E1160">
        <v>19</v>
      </c>
      <c r="F1160">
        <v>29</v>
      </c>
      <c r="G1160">
        <v>17</v>
      </c>
      <c r="H1160">
        <v>41</v>
      </c>
      <c r="J1160" t="s">
        <v>93</v>
      </c>
      <c r="K1160" t="b">
        <v>0</v>
      </c>
      <c r="L1160">
        <f t="shared" si="18"/>
        <v>36</v>
      </c>
      <c r="M1160">
        <f t="shared" si="18"/>
        <v>70</v>
      </c>
      <c r="N1160" t="b">
        <v>0</v>
      </c>
      <c r="O1160">
        <v>0</v>
      </c>
      <c r="Q1160">
        <v>0</v>
      </c>
      <c r="R1160" t="b">
        <v>0</v>
      </c>
    </row>
    <row r="1161" spans="1:18" hidden="1">
      <c r="A1161" t="s">
        <v>2984</v>
      </c>
      <c r="B1161" t="s">
        <v>3127</v>
      </c>
      <c r="C1161" t="s">
        <v>3128</v>
      </c>
      <c r="E1161">
        <v>24</v>
      </c>
      <c r="F1161">
        <v>33</v>
      </c>
      <c r="G1161">
        <v>12</v>
      </c>
      <c r="H1161">
        <v>18</v>
      </c>
      <c r="J1161" t="s">
        <v>93</v>
      </c>
      <c r="K1161" t="b">
        <v>0</v>
      </c>
      <c r="L1161">
        <f t="shared" si="18"/>
        <v>36</v>
      </c>
      <c r="M1161">
        <f t="shared" si="18"/>
        <v>51</v>
      </c>
      <c r="N1161" t="b">
        <v>0</v>
      </c>
      <c r="O1161">
        <v>0</v>
      </c>
      <c r="Q1161">
        <v>0</v>
      </c>
      <c r="R1161" t="b">
        <v>0</v>
      </c>
    </row>
    <row r="1162" spans="1:18">
      <c r="A1162" t="s">
        <v>1143</v>
      </c>
      <c r="B1162" t="s">
        <v>3129</v>
      </c>
      <c r="C1162" t="s">
        <v>3130</v>
      </c>
      <c r="E1162">
        <v>0</v>
      </c>
      <c r="F1162">
        <v>0</v>
      </c>
      <c r="G1162">
        <v>36</v>
      </c>
      <c r="H1162">
        <v>96</v>
      </c>
      <c r="J1162" t="s">
        <v>22</v>
      </c>
      <c r="K1162" t="b">
        <v>1</v>
      </c>
      <c r="L1162">
        <f t="shared" si="18"/>
        <v>36</v>
      </c>
      <c r="M1162">
        <f t="shared" si="18"/>
        <v>96</v>
      </c>
      <c r="N1162" t="b">
        <v>0</v>
      </c>
      <c r="O1162">
        <v>1</v>
      </c>
      <c r="P1162" t="s">
        <v>3131</v>
      </c>
      <c r="Q1162">
        <v>2</v>
      </c>
      <c r="R1162" t="b">
        <v>1</v>
      </c>
    </row>
    <row r="1163" spans="1:18">
      <c r="A1163" t="s">
        <v>545</v>
      </c>
      <c r="B1163" t="s">
        <v>3132</v>
      </c>
      <c r="C1163" t="s">
        <v>3133</v>
      </c>
      <c r="E1163">
        <v>22</v>
      </c>
      <c r="F1163">
        <v>38</v>
      </c>
      <c r="G1163">
        <v>14</v>
      </c>
      <c r="H1163">
        <v>97</v>
      </c>
      <c r="J1163" t="s">
        <v>22</v>
      </c>
      <c r="K1163" t="b">
        <v>1</v>
      </c>
      <c r="L1163">
        <f t="shared" si="18"/>
        <v>36</v>
      </c>
      <c r="M1163">
        <f t="shared" si="18"/>
        <v>135</v>
      </c>
      <c r="N1163" t="b">
        <v>0</v>
      </c>
      <c r="O1163">
        <v>1</v>
      </c>
      <c r="P1163" t="s">
        <v>3134</v>
      </c>
      <c r="Q1163">
        <v>2</v>
      </c>
      <c r="R1163" t="b">
        <v>1</v>
      </c>
    </row>
    <row r="1164" spans="1:18" hidden="1">
      <c r="A1164" t="s">
        <v>3135</v>
      </c>
      <c r="B1164" t="s">
        <v>3136</v>
      </c>
      <c r="C1164" t="s">
        <v>3137</v>
      </c>
      <c r="E1164">
        <v>34</v>
      </c>
      <c r="F1164">
        <v>103</v>
      </c>
      <c r="G1164">
        <v>1</v>
      </c>
      <c r="H1164">
        <v>4</v>
      </c>
      <c r="J1164" t="s">
        <v>93</v>
      </c>
      <c r="K1164" t="b">
        <v>0</v>
      </c>
      <c r="L1164">
        <f t="shared" si="18"/>
        <v>35</v>
      </c>
      <c r="M1164">
        <f t="shared" si="18"/>
        <v>107</v>
      </c>
      <c r="N1164" t="b">
        <v>0</v>
      </c>
      <c r="O1164">
        <v>0</v>
      </c>
      <c r="Q1164">
        <v>0</v>
      </c>
      <c r="R1164" t="b">
        <v>0</v>
      </c>
    </row>
    <row r="1165" spans="1:18" hidden="1">
      <c r="A1165" t="s">
        <v>3135</v>
      </c>
      <c r="B1165" t="s">
        <v>3138</v>
      </c>
      <c r="C1165" t="s">
        <v>3139</v>
      </c>
      <c r="E1165">
        <v>34</v>
      </c>
      <c r="F1165">
        <v>103</v>
      </c>
      <c r="G1165">
        <v>1</v>
      </c>
      <c r="H1165">
        <v>4</v>
      </c>
      <c r="J1165" t="s">
        <v>93</v>
      </c>
      <c r="K1165" t="b">
        <v>0</v>
      </c>
      <c r="L1165">
        <f t="shared" si="18"/>
        <v>35</v>
      </c>
      <c r="M1165">
        <f t="shared" si="18"/>
        <v>107</v>
      </c>
      <c r="N1165" t="b">
        <v>0</v>
      </c>
      <c r="O1165">
        <v>0</v>
      </c>
      <c r="Q1165">
        <v>0</v>
      </c>
      <c r="R1165" t="b">
        <v>0</v>
      </c>
    </row>
    <row r="1166" spans="1:18">
      <c r="A1166" t="s">
        <v>2775</v>
      </c>
      <c r="B1166" t="s">
        <v>3140</v>
      </c>
      <c r="C1166" t="s">
        <v>3141</v>
      </c>
      <c r="E1166">
        <v>21</v>
      </c>
      <c r="F1166">
        <v>56</v>
      </c>
      <c r="G1166">
        <v>14</v>
      </c>
      <c r="H1166">
        <v>20</v>
      </c>
      <c r="J1166" t="s">
        <v>22</v>
      </c>
      <c r="K1166" t="b">
        <v>1</v>
      </c>
      <c r="L1166">
        <f t="shared" si="18"/>
        <v>35</v>
      </c>
      <c r="M1166">
        <f t="shared" si="18"/>
        <v>76</v>
      </c>
      <c r="N1166" t="b">
        <v>0</v>
      </c>
      <c r="O1166">
        <v>1</v>
      </c>
      <c r="P1166" t="s">
        <v>3142</v>
      </c>
      <c r="Q1166">
        <v>2</v>
      </c>
      <c r="R1166" t="b">
        <v>1</v>
      </c>
    </row>
    <row r="1167" spans="1:18">
      <c r="A1167" t="s">
        <v>2775</v>
      </c>
      <c r="B1167" t="s">
        <v>3143</v>
      </c>
      <c r="C1167" t="s">
        <v>3144</v>
      </c>
      <c r="E1167">
        <v>21</v>
      </c>
      <c r="F1167">
        <v>56</v>
      </c>
      <c r="G1167">
        <v>14</v>
      </c>
      <c r="H1167">
        <v>20</v>
      </c>
      <c r="J1167" t="s">
        <v>22</v>
      </c>
      <c r="K1167" t="b">
        <v>1</v>
      </c>
      <c r="L1167">
        <f t="shared" si="18"/>
        <v>35</v>
      </c>
      <c r="M1167">
        <f t="shared" si="18"/>
        <v>76</v>
      </c>
      <c r="N1167" t="b">
        <v>0</v>
      </c>
      <c r="O1167">
        <v>1</v>
      </c>
      <c r="P1167" t="s">
        <v>3145</v>
      </c>
      <c r="Q1167">
        <v>2</v>
      </c>
      <c r="R1167" t="b">
        <v>1</v>
      </c>
    </row>
    <row r="1168" spans="1:18" hidden="1">
      <c r="A1168" t="s">
        <v>43</v>
      </c>
      <c r="B1168" t="s">
        <v>3146</v>
      </c>
      <c r="C1168" t="s">
        <v>3147</v>
      </c>
      <c r="E1168">
        <v>18</v>
      </c>
      <c r="F1168">
        <v>40</v>
      </c>
      <c r="G1168">
        <v>17</v>
      </c>
      <c r="H1168">
        <v>128</v>
      </c>
      <c r="J1168" t="s">
        <v>93</v>
      </c>
      <c r="K1168" t="b">
        <v>1</v>
      </c>
      <c r="L1168">
        <f t="shared" si="18"/>
        <v>35</v>
      </c>
      <c r="M1168">
        <f t="shared" si="18"/>
        <v>168</v>
      </c>
      <c r="N1168" t="b">
        <v>0</v>
      </c>
      <c r="O1168">
        <v>0</v>
      </c>
      <c r="Q1168">
        <v>0</v>
      </c>
      <c r="R1168" t="b">
        <v>0</v>
      </c>
    </row>
    <row r="1169" spans="1:18">
      <c r="A1169" t="s">
        <v>545</v>
      </c>
      <c r="B1169" t="s">
        <v>3148</v>
      </c>
      <c r="C1169" t="s">
        <v>3149</v>
      </c>
      <c r="E1169">
        <v>22</v>
      </c>
      <c r="F1169">
        <v>38</v>
      </c>
      <c r="G1169">
        <v>13</v>
      </c>
      <c r="H1169">
        <v>95</v>
      </c>
      <c r="J1169" t="s">
        <v>22</v>
      </c>
      <c r="K1169" t="b">
        <v>1</v>
      </c>
      <c r="L1169">
        <f t="shared" si="18"/>
        <v>35</v>
      </c>
      <c r="M1169">
        <f t="shared" si="18"/>
        <v>133</v>
      </c>
      <c r="N1169" t="b">
        <v>0</v>
      </c>
      <c r="O1169">
        <v>1</v>
      </c>
      <c r="P1169" t="s">
        <v>3150</v>
      </c>
      <c r="Q1169">
        <v>2</v>
      </c>
      <c r="R1169" t="b">
        <v>1</v>
      </c>
    </row>
    <row r="1170" spans="1:18">
      <c r="A1170" t="s">
        <v>573</v>
      </c>
      <c r="B1170" t="s">
        <v>3151</v>
      </c>
      <c r="C1170" t="s">
        <v>3152</v>
      </c>
      <c r="E1170">
        <v>29</v>
      </c>
      <c r="F1170">
        <v>0</v>
      </c>
      <c r="G1170">
        <v>5</v>
      </c>
      <c r="H1170">
        <v>6</v>
      </c>
      <c r="J1170" t="s">
        <v>22</v>
      </c>
      <c r="K1170" t="b">
        <v>1</v>
      </c>
      <c r="L1170">
        <f t="shared" si="18"/>
        <v>34</v>
      </c>
      <c r="M1170">
        <f t="shared" si="18"/>
        <v>6</v>
      </c>
      <c r="N1170" t="b">
        <v>0</v>
      </c>
      <c r="O1170">
        <v>1</v>
      </c>
      <c r="P1170" t="s">
        <v>3153</v>
      </c>
      <c r="Q1170">
        <v>2</v>
      </c>
      <c r="R1170" t="b">
        <v>1</v>
      </c>
    </row>
    <row r="1171" spans="1:18">
      <c r="A1171" t="s">
        <v>573</v>
      </c>
      <c r="B1171" t="s">
        <v>3154</v>
      </c>
      <c r="C1171" t="s">
        <v>3155</v>
      </c>
      <c r="E1171">
        <v>21</v>
      </c>
      <c r="F1171">
        <v>28</v>
      </c>
      <c r="G1171">
        <v>13</v>
      </c>
      <c r="H1171">
        <v>72</v>
      </c>
      <c r="J1171" t="s">
        <v>22</v>
      </c>
      <c r="K1171" t="b">
        <v>1</v>
      </c>
      <c r="L1171">
        <f t="shared" si="18"/>
        <v>34</v>
      </c>
      <c r="M1171">
        <f t="shared" si="18"/>
        <v>100</v>
      </c>
      <c r="N1171" t="b">
        <v>0</v>
      </c>
      <c r="O1171">
        <v>1</v>
      </c>
      <c r="P1171" t="s">
        <v>3156</v>
      </c>
      <c r="Q1171">
        <v>2</v>
      </c>
      <c r="R1171" t="b">
        <v>1</v>
      </c>
    </row>
    <row r="1172" spans="1:18" hidden="1">
      <c r="A1172" t="s">
        <v>3157</v>
      </c>
      <c r="B1172" t="s">
        <v>3158</v>
      </c>
      <c r="C1172" t="s">
        <v>3159</v>
      </c>
      <c r="E1172">
        <v>21</v>
      </c>
      <c r="F1172">
        <v>485</v>
      </c>
      <c r="G1172">
        <v>13</v>
      </c>
      <c r="H1172">
        <v>409</v>
      </c>
      <c r="J1172" t="s">
        <v>93</v>
      </c>
      <c r="K1172" t="b">
        <v>0</v>
      </c>
      <c r="L1172">
        <f t="shared" si="18"/>
        <v>34</v>
      </c>
      <c r="M1172">
        <f t="shared" si="18"/>
        <v>894</v>
      </c>
      <c r="N1172" t="b">
        <v>0</v>
      </c>
      <c r="O1172">
        <v>0</v>
      </c>
      <c r="Q1172">
        <v>0</v>
      </c>
      <c r="R1172" t="b">
        <v>0</v>
      </c>
    </row>
    <row r="1173" spans="1:18" hidden="1">
      <c r="A1173" t="s">
        <v>2443</v>
      </c>
      <c r="B1173" t="s">
        <v>3160</v>
      </c>
      <c r="C1173" t="s">
        <v>3161</v>
      </c>
      <c r="E1173">
        <v>14</v>
      </c>
      <c r="F1173">
        <v>78</v>
      </c>
      <c r="G1173">
        <v>20</v>
      </c>
      <c r="H1173">
        <v>106</v>
      </c>
      <c r="J1173" t="s">
        <v>93</v>
      </c>
      <c r="K1173" t="b">
        <v>0</v>
      </c>
      <c r="L1173">
        <f t="shared" si="18"/>
        <v>34</v>
      </c>
      <c r="M1173">
        <f t="shared" si="18"/>
        <v>184</v>
      </c>
      <c r="N1173" t="b">
        <v>0</v>
      </c>
      <c r="O1173">
        <v>0</v>
      </c>
      <c r="Q1173">
        <v>0</v>
      </c>
      <c r="R1173" t="b">
        <v>0</v>
      </c>
    </row>
    <row r="1174" spans="1:18" hidden="1">
      <c r="A1174" t="s">
        <v>2477</v>
      </c>
      <c r="B1174" t="s">
        <v>3162</v>
      </c>
      <c r="C1174" t="s">
        <v>3163</v>
      </c>
      <c r="E1174">
        <v>19</v>
      </c>
      <c r="F1174">
        <v>30</v>
      </c>
      <c r="G1174">
        <v>15</v>
      </c>
      <c r="H1174">
        <v>26</v>
      </c>
      <c r="J1174" t="s">
        <v>93</v>
      </c>
      <c r="K1174" t="b">
        <v>0</v>
      </c>
      <c r="L1174">
        <f t="shared" si="18"/>
        <v>34</v>
      </c>
      <c r="M1174">
        <f t="shared" si="18"/>
        <v>56</v>
      </c>
      <c r="N1174" t="b">
        <v>0</v>
      </c>
      <c r="O1174">
        <v>0</v>
      </c>
      <c r="Q1174">
        <v>0</v>
      </c>
      <c r="R1174" t="b">
        <v>0</v>
      </c>
    </row>
    <row r="1175" spans="1:18" hidden="1">
      <c r="A1175" t="s">
        <v>2984</v>
      </c>
      <c r="B1175" t="s">
        <v>3164</v>
      </c>
      <c r="C1175" t="s">
        <v>3165</v>
      </c>
      <c r="E1175">
        <v>22</v>
      </c>
      <c r="F1175">
        <v>31</v>
      </c>
      <c r="G1175">
        <v>12</v>
      </c>
      <c r="H1175">
        <v>18</v>
      </c>
      <c r="J1175" t="s">
        <v>93</v>
      </c>
      <c r="K1175" t="b">
        <v>0</v>
      </c>
      <c r="L1175">
        <f t="shared" si="18"/>
        <v>34</v>
      </c>
      <c r="M1175">
        <f t="shared" si="18"/>
        <v>49</v>
      </c>
      <c r="N1175" t="b">
        <v>0</v>
      </c>
      <c r="O1175">
        <v>0</v>
      </c>
      <c r="Q1175">
        <v>0</v>
      </c>
      <c r="R1175" t="b">
        <v>0</v>
      </c>
    </row>
    <row r="1176" spans="1:18">
      <c r="A1176" t="s">
        <v>1143</v>
      </c>
      <c r="B1176" t="s">
        <v>3166</v>
      </c>
      <c r="C1176" t="s">
        <v>3167</v>
      </c>
      <c r="E1176">
        <v>0</v>
      </c>
      <c r="F1176">
        <v>0</v>
      </c>
      <c r="G1176">
        <v>34</v>
      </c>
      <c r="H1176">
        <v>251</v>
      </c>
      <c r="J1176" t="s">
        <v>22</v>
      </c>
      <c r="K1176" t="b">
        <v>1</v>
      </c>
      <c r="L1176">
        <f t="shared" si="18"/>
        <v>34</v>
      </c>
      <c r="M1176">
        <f t="shared" si="18"/>
        <v>251</v>
      </c>
      <c r="N1176" t="b">
        <v>0</v>
      </c>
      <c r="O1176">
        <v>1</v>
      </c>
      <c r="P1176" t="s">
        <v>3168</v>
      </c>
      <c r="Q1176">
        <v>2</v>
      </c>
      <c r="R1176" t="b">
        <v>1</v>
      </c>
    </row>
    <row r="1177" spans="1:18">
      <c r="A1177" t="s">
        <v>1334</v>
      </c>
      <c r="B1177" t="s">
        <v>3169</v>
      </c>
      <c r="C1177" t="s">
        <v>3170</v>
      </c>
      <c r="E1177">
        <v>21</v>
      </c>
      <c r="F1177">
        <v>36</v>
      </c>
      <c r="G1177">
        <v>13</v>
      </c>
      <c r="H1177">
        <v>29</v>
      </c>
      <c r="J1177" t="s">
        <v>22</v>
      </c>
      <c r="K1177" t="b">
        <v>1</v>
      </c>
      <c r="L1177">
        <f t="shared" si="18"/>
        <v>34</v>
      </c>
      <c r="M1177">
        <f t="shared" si="18"/>
        <v>65</v>
      </c>
      <c r="N1177" t="b">
        <v>0</v>
      </c>
      <c r="O1177">
        <v>1</v>
      </c>
      <c r="P1177" t="s">
        <v>3171</v>
      </c>
      <c r="Q1177">
        <v>1</v>
      </c>
      <c r="R1177" t="b">
        <v>1</v>
      </c>
    </row>
    <row r="1178" spans="1:18">
      <c r="A1178" t="s">
        <v>352</v>
      </c>
      <c r="B1178" t="s">
        <v>3172</v>
      </c>
      <c r="C1178" t="s">
        <v>3173</v>
      </c>
      <c r="E1178">
        <v>21</v>
      </c>
      <c r="F1178">
        <v>187</v>
      </c>
      <c r="G1178">
        <v>13</v>
      </c>
      <c r="H1178">
        <v>144</v>
      </c>
      <c r="J1178" t="s">
        <v>22</v>
      </c>
      <c r="K1178" t="b">
        <v>1</v>
      </c>
      <c r="L1178">
        <f t="shared" si="18"/>
        <v>34</v>
      </c>
      <c r="M1178">
        <f t="shared" si="18"/>
        <v>331</v>
      </c>
      <c r="N1178" t="b">
        <v>0</v>
      </c>
      <c r="O1178">
        <v>1</v>
      </c>
      <c r="P1178" t="s">
        <v>3174</v>
      </c>
      <c r="Q1178">
        <v>1</v>
      </c>
      <c r="R1178" t="b">
        <v>1</v>
      </c>
    </row>
    <row r="1179" spans="1:18" hidden="1">
      <c r="A1179" t="s">
        <v>192</v>
      </c>
      <c r="B1179" t="s">
        <v>3175</v>
      </c>
      <c r="C1179" t="s">
        <v>3176</v>
      </c>
      <c r="E1179">
        <v>34</v>
      </c>
      <c r="F1179">
        <v>0</v>
      </c>
      <c r="G1179">
        <v>0</v>
      </c>
      <c r="H1179">
        <v>0</v>
      </c>
      <c r="J1179" t="s">
        <v>93</v>
      </c>
      <c r="K1179" t="b">
        <v>1</v>
      </c>
      <c r="L1179">
        <f t="shared" si="18"/>
        <v>34</v>
      </c>
      <c r="M1179">
        <f t="shared" si="18"/>
        <v>0</v>
      </c>
      <c r="N1179" t="b">
        <v>0</v>
      </c>
      <c r="O1179">
        <v>0</v>
      </c>
      <c r="Q1179">
        <v>0</v>
      </c>
      <c r="R1179" t="b">
        <v>0</v>
      </c>
    </row>
    <row r="1180" spans="1:18">
      <c r="A1180" t="s">
        <v>192</v>
      </c>
      <c r="B1180" t="s">
        <v>3177</v>
      </c>
      <c r="C1180" t="s">
        <v>3178</v>
      </c>
      <c r="E1180">
        <v>28</v>
      </c>
      <c r="F1180">
        <v>2</v>
      </c>
      <c r="G1180">
        <v>6</v>
      </c>
      <c r="H1180">
        <v>9</v>
      </c>
      <c r="J1180" t="s">
        <v>22</v>
      </c>
      <c r="K1180" t="b">
        <v>1</v>
      </c>
      <c r="L1180">
        <f t="shared" si="18"/>
        <v>34</v>
      </c>
      <c r="M1180">
        <f t="shared" si="18"/>
        <v>11</v>
      </c>
      <c r="N1180" t="b">
        <v>0</v>
      </c>
      <c r="O1180">
        <v>1</v>
      </c>
      <c r="P1180" t="s">
        <v>3179</v>
      </c>
      <c r="Q1180">
        <v>2</v>
      </c>
      <c r="R1180" t="b">
        <v>1</v>
      </c>
    </row>
    <row r="1181" spans="1:18">
      <c r="A1181" t="s">
        <v>24</v>
      </c>
      <c r="B1181" t="s">
        <v>3180</v>
      </c>
      <c r="C1181" t="s">
        <v>3181</v>
      </c>
      <c r="E1181">
        <v>21</v>
      </c>
      <c r="F1181">
        <v>28</v>
      </c>
      <c r="G1181">
        <v>12</v>
      </c>
      <c r="H1181">
        <v>71</v>
      </c>
      <c r="J1181" t="s">
        <v>22</v>
      </c>
      <c r="K1181" t="b">
        <v>1</v>
      </c>
      <c r="L1181">
        <f t="shared" si="18"/>
        <v>33</v>
      </c>
      <c r="M1181">
        <f t="shared" si="18"/>
        <v>99</v>
      </c>
      <c r="N1181" t="b">
        <v>0</v>
      </c>
      <c r="O1181">
        <v>0</v>
      </c>
      <c r="Q1181">
        <v>0</v>
      </c>
      <c r="R1181" t="b">
        <v>0</v>
      </c>
    </row>
    <row r="1182" spans="1:18">
      <c r="A1182" t="s">
        <v>24</v>
      </c>
      <c r="B1182" t="s">
        <v>3182</v>
      </c>
      <c r="C1182" t="s">
        <v>3183</v>
      </c>
      <c r="E1182">
        <v>29</v>
      </c>
      <c r="F1182">
        <v>18</v>
      </c>
      <c r="G1182">
        <v>4</v>
      </c>
      <c r="H1182">
        <v>12</v>
      </c>
      <c r="J1182" t="s">
        <v>22</v>
      </c>
      <c r="K1182" t="b">
        <v>1</v>
      </c>
      <c r="L1182">
        <f t="shared" si="18"/>
        <v>33</v>
      </c>
      <c r="M1182">
        <f t="shared" si="18"/>
        <v>30</v>
      </c>
      <c r="N1182" t="b">
        <v>0</v>
      </c>
      <c r="O1182">
        <v>1</v>
      </c>
      <c r="P1182" t="s">
        <v>971</v>
      </c>
      <c r="Q1182">
        <v>2</v>
      </c>
      <c r="R1182" t="b">
        <v>1</v>
      </c>
    </row>
    <row r="1183" spans="1:18" hidden="1">
      <c r="A1183" t="s">
        <v>3157</v>
      </c>
      <c r="B1183" t="s">
        <v>3184</v>
      </c>
      <c r="C1183" t="s">
        <v>3185</v>
      </c>
      <c r="E1183">
        <v>20</v>
      </c>
      <c r="F1183">
        <v>478</v>
      </c>
      <c r="G1183">
        <v>13</v>
      </c>
      <c r="H1183">
        <v>409</v>
      </c>
      <c r="J1183" t="s">
        <v>93</v>
      </c>
      <c r="K1183" t="b">
        <v>0</v>
      </c>
      <c r="L1183">
        <f t="shared" si="18"/>
        <v>33</v>
      </c>
      <c r="M1183">
        <f t="shared" si="18"/>
        <v>887</v>
      </c>
      <c r="N1183" t="b">
        <v>0</v>
      </c>
      <c r="O1183">
        <v>0</v>
      </c>
      <c r="Q1183">
        <v>0</v>
      </c>
      <c r="R1183" t="b">
        <v>0</v>
      </c>
    </row>
    <row r="1184" spans="1:18" hidden="1">
      <c r="A1184" t="s">
        <v>768</v>
      </c>
      <c r="B1184" t="s">
        <v>3186</v>
      </c>
      <c r="C1184" t="s">
        <v>3187</v>
      </c>
      <c r="E1184">
        <v>23</v>
      </c>
      <c r="F1184">
        <v>492</v>
      </c>
      <c r="G1184">
        <v>10</v>
      </c>
      <c r="H1184">
        <v>164</v>
      </c>
      <c r="J1184" t="s">
        <v>93</v>
      </c>
      <c r="K1184" t="b">
        <v>0</v>
      </c>
      <c r="L1184">
        <f t="shared" si="18"/>
        <v>33</v>
      </c>
      <c r="M1184">
        <f t="shared" si="18"/>
        <v>656</v>
      </c>
      <c r="N1184" t="b">
        <v>0</v>
      </c>
      <c r="O1184">
        <v>0</v>
      </c>
      <c r="Q1184">
        <v>0</v>
      </c>
      <c r="R1184" t="b">
        <v>0</v>
      </c>
    </row>
    <row r="1185" spans="1:18">
      <c r="A1185" t="s">
        <v>1731</v>
      </c>
      <c r="B1185" t="s">
        <v>3188</v>
      </c>
      <c r="C1185" t="s">
        <v>3189</v>
      </c>
      <c r="E1185">
        <v>16</v>
      </c>
      <c r="F1185">
        <v>90</v>
      </c>
      <c r="G1185">
        <v>16</v>
      </c>
      <c r="H1185">
        <v>55</v>
      </c>
      <c r="J1185" t="s">
        <v>22</v>
      </c>
      <c r="K1185" t="b">
        <v>1</v>
      </c>
      <c r="L1185">
        <f t="shared" si="18"/>
        <v>32</v>
      </c>
      <c r="M1185">
        <f t="shared" si="18"/>
        <v>145</v>
      </c>
      <c r="N1185" t="b">
        <v>0</v>
      </c>
      <c r="O1185">
        <v>1</v>
      </c>
      <c r="P1185" t="s">
        <v>3190</v>
      </c>
      <c r="Q1185">
        <v>2</v>
      </c>
      <c r="R1185" t="b">
        <v>1</v>
      </c>
    </row>
    <row r="1186" spans="1:18" hidden="1">
      <c r="A1186" t="s">
        <v>59</v>
      </c>
      <c r="B1186" t="s">
        <v>3191</v>
      </c>
      <c r="C1186" t="s">
        <v>3192</v>
      </c>
      <c r="E1186">
        <v>18</v>
      </c>
      <c r="F1186">
        <v>28</v>
      </c>
      <c r="G1186">
        <v>14</v>
      </c>
      <c r="H1186">
        <v>81</v>
      </c>
      <c r="J1186" t="s">
        <v>93</v>
      </c>
      <c r="K1186" t="b">
        <v>1</v>
      </c>
      <c r="L1186">
        <f t="shared" si="18"/>
        <v>32</v>
      </c>
      <c r="M1186">
        <f t="shared" si="18"/>
        <v>109</v>
      </c>
      <c r="N1186" t="b">
        <v>0</v>
      </c>
      <c r="O1186">
        <v>0</v>
      </c>
      <c r="Q1186">
        <v>0</v>
      </c>
      <c r="R1186" t="b">
        <v>0</v>
      </c>
    </row>
    <row r="1187" spans="1:18" hidden="1">
      <c r="A1187" t="s">
        <v>2443</v>
      </c>
      <c r="B1187" t="s">
        <v>3193</v>
      </c>
      <c r="C1187" t="s">
        <v>3194</v>
      </c>
      <c r="E1187">
        <v>13</v>
      </c>
      <c r="F1187">
        <v>76</v>
      </c>
      <c r="G1187">
        <v>19</v>
      </c>
      <c r="H1187">
        <v>106</v>
      </c>
      <c r="J1187" t="s">
        <v>93</v>
      </c>
      <c r="K1187" t="b">
        <v>0</v>
      </c>
      <c r="L1187">
        <f t="shared" si="18"/>
        <v>32</v>
      </c>
      <c r="M1187">
        <f t="shared" si="18"/>
        <v>182</v>
      </c>
      <c r="N1187" t="b">
        <v>0</v>
      </c>
      <c r="O1187">
        <v>0</v>
      </c>
      <c r="Q1187">
        <v>0</v>
      </c>
      <c r="R1187" t="b">
        <v>0</v>
      </c>
    </row>
    <row r="1188" spans="1:18">
      <c r="A1188" t="s">
        <v>1984</v>
      </c>
      <c r="B1188" t="s">
        <v>3195</v>
      </c>
      <c r="C1188" t="s">
        <v>3196</v>
      </c>
      <c r="E1188">
        <v>26</v>
      </c>
      <c r="F1188">
        <v>412</v>
      </c>
      <c r="G1188">
        <v>6</v>
      </c>
      <c r="H1188">
        <v>54</v>
      </c>
      <c r="J1188" t="s">
        <v>22</v>
      </c>
      <c r="K1188" t="b">
        <v>1</v>
      </c>
      <c r="L1188">
        <f t="shared" si="18"/>
        <v>32</v>
      </c>
      <c r="M1188">
        <f t="shared" si="18"/>
        <v>466</v>
      </c>
      <c r="N1188" t="b">
        <v>0</v>
      </c>
      <c r="O1188">
        <v>1</v>
      </c>
      <c r="P1188" t="s">
        <v>3197</v>
      </c>
      <c r="Q1188">
        <v>2</v>
      </c>
      <c r="R1188" t="b">
        <v>1</v>
      </c>
    </row>
    <row r="1189" spans="1:18">
      <c r="A1189" t="s">
        <v>2775</v>
      </c>
      <c r="B1189" t="s">
        <v>3198</v>
      </c>
      <c r="C1189" t="s">
        <v>3199</v>
      </c>
      <c r="E1189">
        <v>20</v>
      </c>
      <c r="F1189">
        <v>53</v>
      </c>
      <c r="G1189">
        <v>12</v>
      </c>
      <c r="H1189">
        <v>16</v>
      </c>
      <c r="J1189" t="s">
        <v>22</v>
      </c>
      <c r="K1189" t="b">
        <v>1</v>
      </c>
      <c r="L1189">
        <f t="shared" si="18"/>
        <v>32</v>
      </c>
      <c r="M1189">
        <f t="shared" si="18"/>
        <v>69</v>
      </c>
      <c r="N1189" t="b">
        <v>0</v>
      </c>
      <c r="O1189">
        <v>1</v>
      </c>
      <c r="P1189" t="s">
        <v>3200</v>
      </c>
      <c r="Q1189">
        <v>2</v>
      </c>
      <c r="R1189" t="b">
        <v>1</v>
      </c>
    </row>
    <row r="1190" spans="1:18" hidden="1">
      <c r="A1190" t="s">
        <v>3015</v>
      </c>
      <c r="B1190" t="s">
        <v>3201</v>
      </c>
      <c r="C1190" t="s">
        <v>3202</v>
      </c>
      <c r="E1190">
        <v>24</v>
      </c>
      <c r="F1190">
        <v>0</v>
      </c>
      <c r="G1190">
        <v>8</v>
      </c>
      <c r="H1190">
        <v>10</v>
      </c>
      <c r="J1190" t="s">
        <v>93</v>
      </c>
      <c r="K1190" t="b">
        <v>0</v>
      </c>
      <c r="L1190">
        <f t="shared" si="18"/>
        <v>32</v>
      </c>
      <c r="M1190">
        <f t="shared" si="18"/>
        <v>10</v>
      </c>
      <c r="N1190" t="b">
        <v>1</v>
      </c>
      <c r="O1190">
        <v>0</v>
      </c>
      <c r="Q1190">
        <v>0</v>
      </c>
      <c r="R1190" t="b">
        <v>0</v>
      </c>
    </row>
    <row r="1191" spans="1:18">
      <c r="A1191" t="s">
        <v>1384</v>
      </c>
      <c r="B1191" t="s">
        <v>3203</v>
      </c>
      <c r="C1191" t="s">
        <v>3204</v>
      </c>
      <c r="E1191">
        <v>22</v>
      </c>
      <c r="F1191">
        <v>107</v>
      </c>
      <c r="G1191">
        <v>10</v>
      </c>
      <c r="H1191">
        <v>31</v>
      </c>
      <c r="J1191" t="s">
        <v>22</v>
      </c>
      <c r="K1191" t="b">
        <v>1</v>
      </c>
      <c r="L1191">
        <f t="shared" si="18"/>
        <v>32</v>
      </c>
      <c r="M1191">
        <f t="shared" si="18"/>
        <v>138</v>
      </c>
      <c r="N1191" t="b">
        <v>0</v>
      </c>
      <c r="O1191">
        <v>1</v>
      </c>
      <c r="P1191" t="s">
        <v>3205</v>
      </c>
      <c r="Q1191">
        <v>2</v>
      </c>
      <c r="R1191" t="b">
        <v>1</v>
      </c>
    </row>
    <row r="1192" spans="1:18" hidden="1">
      <c r="A1192" t="s">
        <v>192</v>
      </c>
      <c r="B1192" t="s">
        <v>3206</v>
      </c>
      <c r="C1192" t="s">
        <v>3207</v>
      </c>
      <c r="E1192">
        <v>16</v>
      </c>
      <c r="F1192">
        <v>90</v>
      </c>
      <c r="G1192">
        <v>16</v>
      </c>
      <c r="H1192">
        <v>55</v>
      </c>
      <c r="J1192" t="s">
        <v>93</v>
      </c>
      <c r="K1192" t="b">
        <v>1</v>
      </c>
      <c r="L1192">
        <f t="shared" si="18"/>
        <v>32</v>
      </c>
      <c r="M1192">
        <f t="shared" si="18"/>
        <v>145</v>
      </c>
      <c r="N1192" t="b">
        <v>0</v>
      </c>
      <c r="O1192">
        <v>0</v>
      </c>
      <c r="Q1192">
        <v>0</v>
      </c>
      <c r="R1192" t="b">
        <v>0</v>
      </c>
    </row>
    <row r="1193" spans="1:18" hidden="1">
      <c r="A1193" t="s">
        <v>356</v>
      </c>
      <c r="B1193" t="s">
        <v>3208</v>
      </c>
      <c r="C1193" t="s">
        <v>3209</v>
      </c>
      <c r="E1193">
        <v>27</v>
      </c>
      <c r="F1193">
        <v>15</v>
      </c>
      <c r="G1193">
        <v>4</v>
      </c>
      <c r="H1193">
        <v>4</v>
      </c>
      <c r="J1193" t="s">
        <v>93</v>
      </c>
      <c r="K1193" t="b">
        <v>1</v>
      </c>
      <c r="L1193">
        <f t="shared" si="18"/>
        <v>31</v>
      </c>
      <c r="M1193">
        <f t="shared" si="18"/>
        <v>19</v>
      </c>
      <c r="N1193" t="b">
        <v>0</v>
      </c>
      <c r="O1193">
        <v>0</v>
      </c>
      <c r="Q1193">
        <v>0</v>
      </c>
      <c r="R1193" t="b">
        <v>0</v>
      </c>
    </row>
    <row r="1194" spans="1:18" hidden="1">
      <c r="A1194" t="s">
        <v>882</v>
      </c>
      <c r="B1194" t="s">
        <v>3210</v>
      </c>
      <c r="C1194" t="s">
        <v>3211</v>
      </c>
      <c r="E1194">
        <v>26</v>
      </c>
      <c r="F1194">
        <v>150</v>
      </c>
      <c r="G1194">
        <v>5</v>
      </c>
      <c r="H1194">
        <v>245</v>
      </c>
      <c r="J1194" t="s">
        <v>93</v>
      </c>
      <c r="K1194" t="b">
        <v>0</v>
      </c>
      <c r="L1194">
        <f t="shared" si="18"/>
        <v>31</v>
      </c>
      <c r="M1194">
        <f t="shared" si="18"/>
        <v>395</v>
      </c>
      <c r="N1194" t="b">
        <v>0</v>
      </c>
      <c r="O1194">
        <v>0</v>
      </c>
      <c r="Q1194">
        <v>0</v>
      </c>
      <c r="R1194" t="b">
        <v>0</v>
      </c>
    </row>
    <row r="1195" spans="1:18" hidden="1">
      <c r="A1195" t="s">
        <v>87</v>
      </c>
      <c r="B1195" t="s">
        <v>3212</v>
      </c>
      <c r="C1195" t="s">
        <v>3213</v>
      </c>
      <c r="E1195">
        <v>0</v>
      </c>
      <c r="F1195">
        <v>0</v>
      </c>
      <c r="G1195">
        <v>31</v>
      </c>
      <c r="H1195">
        <v>243</v>
      </c>
      <c r="J1195" t="s">
        <v>93</v>
      </c>
      <c r="K1195" t="b">
        <v>1</v>
      </c>
      <c r="L1195">
        <f t="shared" si="18"/>
        <v>31</v>
      </c>
      <c r="M1195">
        <f t="shared" si="18"/>
        <v>243</v>
      </c>
      <c r="N1195" t="b">
        <v>0</v>
      </c>
      <c r="O1195">
        <v>0</v>
      </c>
      <c r="Q1195">
        <v>0</v>
      </c>
      <c r="R1195" t="b">
        <v>0</v>
      </c>
    </row>
    <row r="1196" spans="1:18" hidden="1">
      <c r="A1196" t="s">
        <v>2443</v>
      </c>
      <c r="B1196" t="s">
        <v>3214</v>
      </c>
      <c r="C1196" t="s">
        <v>3215</v>
      </c>
      <c r="E1196">
        <v>15</v>
      </c>
      <c r="F1196">
        <v>68</v>
      </c>
      <c r="G1196">
        <v>16</v>
      </c>
      <c r="H1196">
        <v>89</v>
      </c>
      <c r="J1196" t="s">
        <v>93</v>
      </c>
      <c r="K1196" t="b">
        <v>0</v>
      </c>
      <c r="L1196">
        <f t="shared" si="18"/>
        <v>31</v>
      </c>
      <c r="M1196">
        <f t="shared" si="18"/>
        <v>157</v>
      </c>
      <c r="N1196" t="b">
        <v>0</v>
      </c>
      <c r="O1196">
        <v>0</v>
      </c>
      <c r="Q1196">
        <v>0</v>
      </c>
      <c r="R1196" t="b">
        <v>0</v>
      </c>
    </row>
    <row r="1197" spans="1:18" hidden="1">
      <c r="A1197" t="s">
        <v>2443</v>
      </c>
      <c r="B1197" t="s">
        <v>3216</v>
      </c>
      <c r="C1197" t="s">
        <v>3217</v>
      </c>
      <c r="E1197">
        <v>15</v>
      </c>
      <c r="F1197">
        <v>68</v>
      </c>
      <c r="G1197">
        <v>16</v>
      </c>
      <c r="H1197">
        <v>89</v>
      </c>
      <c r="J1197" t="s">
        <v>93</v>
      </c>
      <c r="K1197" t="b">
        <v>0</v>
      </c>
      <c r="L1197">
        <f t="shared" si="18"/>
        <v>31</v>
      </c>
      <c r="M1197">
        <f t="shared" si="18"/>
        <v>157</v>
      </c>
      <c r="N1197" t="b">
        <v>0</v>
      </c>
      <c r="O1197">
        <v>0</v>
      </c>
      <c r="Q1197">
        <v>0</v>
      </c>
      <c r="R1197" t="b">
        <v>0</v>
      </c>
    </row>
    <row r="1198" spans="1:18" hidden="1">
      <c r="A1198" t="s">
        <v>672</v>
      </c>
      <c r="B1198" t="s">
        <v>3218</v>
      </c>
      <c r="C1198" t="s">
        <v>3219</v>
      </c>
      <c r="E1198">
        <v>24</v>
      </c>
      <c r="F1198">
        <v>62</v>
      </c>
      <c r="G1198">
        <v>7</v>
      </c>
      <c r="H1198">
        <v>26</v>
      </c>
      <c r="J1198" t="s">
        <v>93</v>
      </c>
      <c r="K1198" t="b">
        <v>0</v>
      </c>
      <c r="L1198">
        <f t="shared" si="18"/>
        <v>31</v>
      </c>
      <c r="M1198">
        <f t="shared" si="18"/>
        <v>88</v>
      </c>
      <c r="N1198" t="b">
        <v>0</v>
      </c>
      <c r="O1198">
        <v>0</v>
      </c>
      <c r="Q1198">
        <v>0</v>
      </c>
      <c r="R1198" t="b">
        <v>0</v>
      </c>
    </row>
    <row r="1199" spans="1:18" hidden="1">
      <c r="A1199" t="s">
        <v>248</v>
      </c>
      <c r="B1199" t="s">
        <v>3220</v>
      </c>
      <c r="C1199" t="s">
        <v>3221</v>
      </c>
      <c r="E1199">
        <v>19</v>
      </c>
      <c r="F1199">
        <v>537</v>
      </c>
      <c r="G1199">
        <v>12</v>
      </c>
      <c r="H1199">
        <v>73</v>
      </c>
      <c r="J1199" t="s">
        <v>93</v>
      </c>
      <c r="K1199" t="b">
        <v>1</v>
      </c>
      <c r="L1199">
        <f t="shared" si="18"/>
        <v>31</v>
      </c>
      <c r="M1199">
        <f t="shared" si="18"/>
        <v>610</v>
      </c>
      <c r="N1199" t="b">
        <v>0</v>
      </c>
      <c r="O1199">
        <v>0</v>
      </c>
      <c r="Q1199">
        <v>0</v>
      </c>
      <c r="R1199" t="b">
        <v>0</v>
      </c>
    </row>
    <row r="1200" spans="1:18" hidden="1">
      <c r="A1200" t="s">
        <v>1143</v>
      </c>
      <c r="B1200" t="s">
        <v>3222</v>
      </c>
      <c r="C1200" t="s">
        <v>3223</v>
      </c>
      <c r="E1200">
        <v>0</v>
      </c>
      <c r="F1200">
        <v>0</v>
      </c>
      <c r="G1200">
        <v>31</v>
      </c>
      <c r="H1200">
        <v>36</v>
      </c>
      <c r="J1200" t="s">
        <v>93</v>
      </c>
      <c r="K1200" t="b">
        <v>1</v>
      </c>
      <c r="L1200">
        <f t="shared" si="18"/>
        <v>31</v>
      </c>
      <c r="M1200">
        <f t="shared" si="18"/>
        <v>36</v>
      </c>
      <c r="N1200" t="b">
        <v>0</v>
      </c>
      <c r="O1200">
        <v>0</v>
      </c>
      <c r="Q1200">
        <v>0</v>
      </c>
      <c r="R1200" t="b">
        <v>0</v>
      </c>
    </row>
    <row r="1201" spans="1:18" hidden="1">
      <c r="A1201" t="s">
        <v>1143</v>
      </c>
      <c r="B1201" t="s">
        <v>3224</v>
      </c>
      <c r="C1201" t="s">
        <v>3225</v>
      </c>
      <c r="E1201">
        <v>0</v>
      </c>
      <c r="F1201">
        <v>0</v>
      </c>
      <c r="G1201">
        <v>31</v>
      </c>
      <c r="H1201">
        <v>36</v>
      </c>
      <c r="J1201" t="s">
        <v>93</v>
      </c>
      <c r="K1201" t="b">
        <v>1</v>
      </c>
      <c r="L1201">
        <f t="shared" si="18"/>
        <v>31</v>
      </c>
      <c r="M1201">
        <f t="shared" si="18"/>
        <v>36</v>
      </c>
      <c r="N1201" t="b">
        <v>0</v>
      </c>
      <c r="O1201">
        <v>0</v>
      </c>
      <c r="Q1201">
        <v>0</v>
      </c>
      <c r="R1201" t="b">
        <v>0</v>
      </c>
    </row>
    <row r="1202" spans="1:18" hidden="1">
      <c r="A1202" t="s">
        <v>1143</v>
      </c>
      <c r="B1202" t="s">
        <v>3226</v>
      </c>
      <c r="C1202" t="s">
        <v>3227</v>
      </c>
      <c r="E1202">
        <v>0</v>
      </c>
      <c r="F1202">
        <v>0</v>
      </c>
      <c r="G1202">
        <v>31</v>
      </c>
      <c r="H1202">
        <v>168</v>
      </c>
      <c r="J1202" t="s">
        <v>93</v>
      </c>
      <c r="K1202" t="b">
        <v>1</v>
      </c>
      <c r="L1202">
        <f t="shared" si="18"/>
        <v>31</v>
      </c>
      <c r="M1202">
        <f t="shared" si="18"/>
        <v>168</v>
      </c>
      <c r="N1202" t="b">
        <v>0</v>
      </c>
      <c r="O1202">
        <v>0</v>
      </c>
      <c r="Q1202">
        <v>0</v>
      </c>
      <c r="R1202" t="b">
        <v>0</v>
      </c>
    </row>
    <row r="1203" spans="1:18">
      <c r="A1203" t="s">
        <v>1334</v>
      </c>
      <c r="B1203" t="s">
        <v>3228</v>
      </c>
      <c r="C1203" t="s">
        <v>3229</v>
      </c>
      <c r="E1203">
        <v>21</v>
      </c>
      <c r="F1203">
        <v>26</v>
      </c>
      <c r="G1203">
        <v>10</v>
      </c>
      <c r="H1203">
        <v>27</v>
      </c>
      <c r="J1203" t="s">
        <v>22</v>
      </c>
      <c r="K1203" t="b">
        <v>1</v>
      </c>
      <c r="L1203">
        <f t="shared" si="18"/>
        <v>31</v>
      </c>
      <c r="M1203">
        <f t="shared" si="18"/>
        <v>53</v>
      </c>
      <c r="N1203" t="b">
        <v>0</v>
      </c>
      <c r="O1203">
        <v>1</v>
      </c>
      <c r="P1203" t="s">
        <v>3230</v>
      </c>
      <c r="Q1203">
        <v>1</v>
      </c>
      <c r="R1203" t="b">
        <v>1</v>
      </c>
    </row>
    <row r="1204" spans="1:18" hidden="1">
      <c r="A1204" t="s">
        <v>378</v>
      </c>
      <c r="B1204" t="s">
        <v>3231</v>
      </c>
      <c r="C1204" t="s">
        <v>3232</v>
      </c>
      <c r="E1204">
        <v>13</v>
      </c>
      <c r="F1204">
        <v>143</v>
      </c>
      <c r="G1204">
        <v>18</v>
      </c>
      <c r="H1204">
        <v>145</v>
      </c>
      <c r="J1204" t="s">
        <v>93</v>
      </c>
      <c r="K1204" t="b">
        <v>1</v>
      </c>
      <c r="L1204">
        <f t="shared" si="18"/>
        <v>31</v>
      </c>
      <c r="M1204">
        <f t="shared" si="18"/>
        <v>288</v>
      </c>
      <c r="N1204" t="b">
        <v>0</v>
      </c>
      <c r="O1204">
        <v>0</v>
      </c>
      <c r="Q1204">
        <v>0</v>
      </c>
      <c r="R1204" t="b">
        <v>0</v>
      </c>
    </row>
    <row r="1205" spans="1:18">
      <c r="A1205" t="s">
        <v>678</v>
      </c>
      <c r="B1205" t="s">
        <v>3233</v>
      </c>
      <c r="C1205" t="s">
        <v>3234</v>
      </c>
      <c r="E1205">
        <v>24</v>
      </c>
      <c r="F1205">
        <v>62</v>
      </c>
      <c r="G1205">
        <v>7</v>
      </c>
      <c r="H1205">
        <v>26</v>
      </c>
      <c r="J1205" t="s">
        <v>22</v>
      </c>
      <c r="K1205" t="b">
        <v>1</v>
      </c>
      <c r="L1205">
        <f t="shared" si="18"/>
        <v>31</v>
      </c>
      <c r="M1205">
        <f t="shared" si="18"/>
        <v>88</v>
      </c>
      <c r="N1205" t="b">
        <v>0</v>
      </c>
      <c r="O1205">
        <v>1</v>
      </c>
      <c r="P1205" t="s">
        <v>3235</v>
      </c>
      <c r="Q1205">
        <v>2</v>
      </c>
      <c r="R1205" t="b">
        <v>1</v>
      </c>
    </row>
    <row r="1206" spans="1:18">
      <c r="A1206" t="s">
        <v>24</v>
      </c>
      <c r="B1206" t="s">
        <v>3236</v>
      </c>
      <c r="C1206" t="s">
        <v>3237</v>
      </c>
      <c r="E1206">
        <v>27</v>
      </c>
      <c r="F1206">
        <v>87</v>
      </c>
      <c r="G1206">
        <v>3</v>
      </c>
      <c r="H1206">
        <v>5</v>
      </c>
      <c r="J1206" t="s">
        <v>22</v>
      </c>
      <c r="K1206" t="b">
        <v>1</v>
      </c>
      <c r="L1206">
        <f t="shared" si="18"/>
        <v>30</v>
      </c>
      <c r="M1206">
        <f t="shared" si="18"/>
        <v>92</v>
      </c>
      <c r="N1206" t="b">
        <v>0</v>
      </c>
      <c r="O1206">
        <v>1</v>
      </c>
      <c r="P1206" t="s">
        <v>1501</v>
      </c>
      <c r="Q1206">
        <v>2</v>
      </c>
      <c r="R1206" t="b">
        <v>1</v>
      </c>
    </row>
    <row r="1207" spans="1:18" hidden="1">
      <c r="A1207" t="s">
        <v>1424</v>
      </c>
      <c r="B1207" t="s">
        <v>3238</v>
      </c>
      <c r="C1207" t="s">
        <v>3239</v>
      </c>
      <c r="E1207">
        <v>16</v>
      </c>
      <c r="F1207">
        <v>537</v>
      </c>
      <c r="G1207">
        <v>14</v>
      </c>
      <c r="H1207">
        <v>240</v>
      </c>
      <c r="J1207" t="s">
        <v>93</v>
      </c>
      <c r="K1207" t="b">
        <v>0</v>
      </c>
      <c r="L1207">
        <f t="shared" si="18"/>
        <v>30</v>
      </c>
      <c r="M1207">
        <f t="shared" si="18"/>
        <v>777</v>
      </c>
      <c r="N1207" t="b">
        <v>0</v>
      </c>
      <c r="O1207">
        <v>0</v>
      </c>
      <c r="Q1207">
        <v>0</v>
      </c>
      <c r="R1207" t="b">
        <v>0</v>
      </c>
    </row>
    <row r="1208" spans="1:18" hidden="1">
      <c r="A1208" t="s">
        <v>1424</v>
      </c>
      <c r="B1208" t="s">
        <v>3240</v>
      </c>
      <c r="C1208" t="s">
        <v>3241</v>
      </c>
      <c r="E1208">
        <v>16</v>
      </c>
      <c r="F1208">
        <v>537</v>
      </c>
      <c r="G1208">
        <v>14</v>
      </c>
      <c r="H1208">
        <v>240</v>
      </c>
      <c r="J1208" t="s">
        <v>93</v>
      </c>
      <c r="K1208" t="b">
        <v>0</v>
      </c>
      <c r="L1208">
        <f t="shared" si="18"/>
        <v>30</v>
      </c>
      <c r="M1208">
        <f t="shared" si="18"/>
        <v>777</v>
      </c>
      <c r="N1208" t="b">
        <v>0</v>
      </c>
      <c r="O1208">
        <v>0</v>
      </c>
      <c r="Q1208">
        <v>0</v>
      </c>
      <c r="R1208" t="b">
        <v>0</v>
      </c>
    </row>
    <row r="1209" spans="1:18" hidden="1">
      <c r="A1209" t="s">
        <v>59</v>
      </c>
      <c r="B1209" t="s">
        <v>3242</v>
      </c>
      <c r="C1209" t="s">
        <v>3243</v>
      </c>
      <c r="E1209">
        <v>19</v>
      </c>
      <c r="F1209">
        <v>56</v>
      </c>
      <c r="G1209">
        <v>11</v>
      </c>
      <c r="H1209">
        <v>17</v>
      </c>
      <c r="J1209" t="s">
        <v>999</v>
      </c>
      <c r="K1209" t="b">
        <v>1</v>
      </c>
      <c r="L1209">
        <f t="shared" si="18"/>
        <v>30</v>
      </c>
      <c r="M1209">
        <f t="shared" si="18"/>
        <v>73</v>
      </c>
      <c r="N1209" t="b">
        <v>0</v>
      </c>
      <c r="O1209">
        <v>0</v>
      </c>
      <c r="Q1209">
        <v>0</v>
      </c>
      <c r="R1209" t="b">
        <v>0</v>
      </c>
    </row>
    <row r="1210" spans="1:18">
      <c r="A1210" t="s">
        <v>59</v>
      </c>
      <c r="B1210" t="s">
        <v>3244</v>
      </c>
      <c r="C1210" t="s">
        <v>3245</v>
      </c>
      <c r="E1210">
        <v>26</v>
      </c>
      <c r="F1210">
        <v>763</v>
      </c>
      <c r="G1210">
        <v>4</v>
      </c>
      <c r="H1210">
        <v>9</v>
      </c>
      <c r="J1210" t="s">
        <v>22</v>
      </c>
      <c r="K1210" t="b">
        <v>1</v>
      </c>
      <c r="L1210">
        <f t="shared" si="18"/>
        <v>30</v>
      </c>
      <c r="M1210">
        <f t="shared" si="18"/>
        <v>772</v>
      </c>
      <c r="N1210" t="b">
        <v>0</v>
      </c>
      <c r="O1210">
        <v>1</v>
      </c>
      <c r="P1210" t="s">
        <v>3246</v>
      </c>
      <c r="Q1210">
        <v>2</v>
      </c>
      <c r="R1210" t="b">
        <v>1</v>
      </c>
    </row>
    <row r="1211" spans="1:18" hidden="1">
      <c r="A1211" t="s">
        <v>3247</v>
      </c>
      <c r="B1211" t="s">
        <v>3248</v>
      </c>
      <c r="C1211" t="s">
        <v>3249</v>
      </c>
      <c r="E1211">
        <v>22</v>
      </c>
      <c r="F1211">
        <v>63</v>
      </c>
      <c r="G1211">
        <v>8</v>
      </c>
      <c r="H1211">
        <v>41</v>
      </c>
      <c r="J1211" t="s">
        <v>93</v>
      </c>
      <c r="K1211" t="b">
        <v>0</v>
      </c>
      <c r="L1211">
        <f t="shared" si="18"/>
        <v>30</v>
      </c>
      <c r="M1211">
        <f t="shared" si="18"/>
        <v>104</v>
      </c>
      <c r="N1211" t="b">
        <v>0</v>
      </c>
      <c r="O1211">
        <v>0</v>
      </c>
      <c r="Q1211">
        <v>0</v>
      </c>
      <c r="R1211" t="b">
        <v>0</v>
      </c>
    </row>
    <row r="1212" spans="1:18" hidden="1">
      <c r="A1212" t="s">
        <v>3250</v>
      </c>
      <c r="B1212" t="s">
        <v>3251</v>
      </c>
      <c r="C1212" t="s">
        <v>3252</v>
      </c>
      <c r="E1212">
        <v>10</v>
      </c>
      <c r="F1212">
        <v>14</v>
      </c>
      <c r="G1212">
        <v>20</v>
      </c>
      <c r="H1212">
        <v>80</v>
      </c>
      <c r="J1212" t="s">
        <v>93</v>
      </c>
      <c r="K1212" t="b">
        <v>0</v>
      </c>
      <c r="L1212">
        <f t="shared" si="18"/>
        <v>30</v>
      </c>
      <c r="M1212">
        <f t="shared" si="18"/>
        <v>94</v>
      </c>
      <c r="N1212" t="b">
        <v>0</v>
      </c>
      <c r="O1212">
        <v>0</v>
      </c>
      <c r="Q1212">
        <v>0</v>
      </c>
      <c r="R1212" t="b">
        <v>0</v>
      </c>
    </row>
    <row r="1213" spans="1:18" hidden="1">
      <c r="A1213" t="s">
        <v>2477</v>
      </c>
      <c r="B1213" t="s">
        <v>3253</v>
      </c>
      <c r="C1213" t="s">
        <v>3254</v>
      </c>
      <c r="E1213">
        <v>16</v>
      </c>
      <c r="F1213">
        <v>26</v>
      </c>
      <c r="G1213">
        <v>14</v>
      </c>
      <c r="H1213">
        <v>24</v>
      </c>
      <c r="J1213" t="s">
        <v>93</v>
      </c>
      <c r="K1213" t="b">
        <v>0</v>
      </c>
      <c r="L1213">
        <f t="shared" si="18"/>
        <v>30</v>
      </c>
      <c r="M1213">
        <f t="shared" si="18"/>
        <v>50</v>
      </c>
      <c r="N1213" t="b">
        <v>0</v>
      </c>
      <c r="O1213">
        <v>0</v>
      </c>
      <c r="Q1213">
        <v>0</v>
      </c>
      <c r="R1213" t="b">
        <v>0</v>
      </c>
    </row>
    <row r="1214" spans="1:18" hidden="1">
      <c r="A1214" t="s">
        <v>248</v>
      </c>
      <c r="B1214" t="s">
        <v>3255</v>
      </c>
      <c r="C1214" t="s">
        <v>3256</v>
      </c>
      <c r="E1214">
        <v>13</v>
      </c>
      <c r="F1214">
        <v>33</v>
      </c>
      <c r="G1214">
        <v>17</v>
      </c>
      <c r="H1214">
        <v>59</v>
      </c>
      <c r="J1214" t="s">
        <v>93</v>
      </c>
      <c r="K1214" t="b">
        <v>1</v>
      </c>
      <c r="L1214">
        <f t="shared" si="18"/>
        <v>30</v>
      </c>
      <c r="M1214">
        <f t="shared" si="18"/>
        <v>92</v>
      </c>
      <c r="N1214" t="b">
        <v>0</v>
      </c>
      <c r="O1214">
        <v>0</v>
      </c>
      <c r="Q1214">
        <v>0</v>
      </c>
      <c r="R1214" t="b">
        <v>0</v>
      </c>
    </row>
    <row r="1215" spans="1:18" hidden="1">
      <c r="A1215" t="s">
        <v>46</v>
      </c>
      <c r="B1215" t="s">
        <v>3257</v>
      </c>
      <c r="C1215" t="s">
        <v>3258</v>
      </c>
      <c r="E1215">
        <v>11</v>
      </c>
      <c r="F1215">
        <v>428</v>
      </c>
      <c r="G1215">
        <v>19</v>
      </c>
      <c r="H1215">
        <v>143</v>
      </c>
      <c r="J1215" t="s">
        <v>93</v>
      </c>
      <c r="K1215" t="b">
        <v>1</v>
      </c>
      <c r="L1215">
        <f t="shared" si="18"/>
        <v>30</v>
      </c>
      <c r="M1215">
        <f t="shared" si="18"/>
        <v>571</v>
      </c>
      <c r="N1215" t="b">
        <v>0</v>
      </c>
      <c r="O1215">
        <v>0</v>
      </c>
      <c r="Q1215">
        <v>0</v>
      </c>
      <c r="R1215" t="b">
        <v>0</v>
      </c>
    </row>
    <row r="1216" spans="1:18">
      <c r="A1216" t="s">
        <v>3259</v>
      </c>
      <c r="B1216" t="s">
        <v>3260</v>
      </c>
      <c r="C1216" t="s">
        <v>3261</v>
      </c>
      <c r="E1216">
        <v>20</v>
      </c>
      <c r="F1216">
        <v>29</v>
      </c>
      <c r="G1216">
        <v>9</v>
      </c>
      <c r="H1216">
        <v>26</v>
      </c>
      <c r="J1216" t="s">
        <v>22</v>
      </c>
      <c r="K1216" t="b">
        <v>1</v>
      </c>
      <c r="L1216">
        <f t="shared" si="18"/>
        <v>29</v>
      </c>
      <c r="M1216">
        <f t="shared" si="18"/>
        <v>55</v>
      </c>
      <c r="N1216" t="b">
        <v>0</v>
      </c>
      <c r="O1216">
        <v>1</v>
      </c>
      <c r="P1216" t="s">
        <v>3262</v>
      </c>
      <c r="Q1216">
        <v>2</v>
      </c>
      <c r="R1216" t="b">
        <v>1</v>
      </c>
    </row>
    <row r="1217" spans="1:18" hidden="1">
      <c r="A1217" t="s">
        <v>1191</v>
      </c>
      <c r="B1217" t="s">
        <v>3263</v>
      </c>
      <c r="C1217" t="s">
        <v>3264</v>
      </c>
      <c r="E1217">
        <v>15</v>
      </c>
      <c r="F1217">
        <v>49</v>
      </c>
      <c r="G1217">
        <v>14</v>
      </c>
      <c r="H1217">
        <v>146</v>
      </c>
      <c r="J1217" t="s">
        <v>93</v>
      </c>
      <c r="K1217" t="b">
        <v>1</v>
      </c>
      <c r="L1217">
        <f t="shared" si="18"/>
        <v>29</v>
      </c>
      <c r="M1217">
        <f t="shared" si="18"/>
        <v>195</v>
      </c>
      <c r="N1217" t="b">
        <v>0</v>
      </c>
      <c r="O1217">
        <v>0</v>
      </c>
      <c r="Q1217">
        <v>0</v>
      </c>
      <c r="R1217" t="b">
        <v>0</v>
      </c>
    </row>
    <row r="1218" spans="1:18" hidden="1">
      <c r="A1218" t="s">
        <v>1191</v>
      </c>
      <c r="B1218" t="s">
        <v>3265</v>
      </c>
      <c r="C1218" t="s">
        <v>3266</v>
      </c>
      <c r="E1218">
        <v>14</v>
      </c>
      <c r="F1218">
        <v>41</v>
      </c>
      <c r="G1218">
        <v>15</v>
      </c>
      <c r="H1218">
        <v>107</v>
      </c>
      <c r="J1218" t="s">
        <v>93</v>
      </c>
      <c r="K1218" t="b">
        <v>1</v>
      </c>
      <c r="L1218">
        <f t="shared" si="18"/>
        <v>29</v>
      </c>
      <c r="M1218">
        <f t="shared" si="18"/>
        <v>148</v>
      </c>
      <c r="N1218" t="b">
        <v>0</v>
      </c>
      <c r="O1218">
        <v>0</v>
      </c>
      <c r="Q1218">
        <v>0</v>
      </c>
      <c r="R1218" t="b">
        <v>0</v>
      </c>
    </row>
    <row r="1219" spans="1:18" hidden="1">
      <c r="A1219" t="s">
        <v>24</v>
      </c>
      <c r="B1219" t="s">
        <v>3267</v>
      </c>
      <c r="C1219" t="s">
        <v>3268</v>
      </c>
      <c r="E1219">
        <v>17</v>
      </c>
      <c r="F1219">
        <v>50</v>
      </c>
      <c r="G1219">
        <v>12</v>
      </c>
      <c r="H1219">
        <v>21</v>
      </c>
      <c r="J1219" t="s">
        <v>93</v>
      </c>
      <c r="K1219" t="b">
        <v>1</v>
      </c>
      <c r="L1219">
        <f t="shared" ref="L1219:M1282" si="19">E1219+G1219</f>
        <v>29</v>
      </c>
      <c r="M1219">
        <f t="shared" si="19"/>
        <v>71</v>
      </c>
      <c r="N1219" t="b">
        <v>0</v>
      </c>
      <c r="O1219">
        <v>0</v>
      </c>
      <c r="Q1219">
        <v>0</v>
      </c>
      <c r="R1219" t="b">
        <v>0</v>
      </c>
    </row>
    <row r="1220" spans="1:18">
      <c r="A1220" t="s">
        <v>24</v>
      </c>
      <c r="B1220" t="s">
        <v>3269</v>
      </c>
      <c r="C1220" t="s">
        <v>3270</v>
      </c>
      <c r="E1220">
        <v>19</v>
      </c>
      <c r="F1220">
        <v>82</v>
      </c>
      <c r="G1220">
        <v>10</v>
      </c>
      <c r="H1220">
        <v>42</v>
      </c>
      <c r="J1220" t="s">
        <v>22</v>
      </c>
      <c r="K1220" t="b">
        <v>1</v>
      </c>
      <c r="L1220">
        <f t="shared" si="19"/>
        <v>29</v>
      </c>
      <c r="M1220">
        <f t="shared" si="19"/>
        <v>124</v>
      </c>
      <c r="N1220" t="b">
        <v>0</v>
      </c>
      <c r="O1220">
        <v>1</v>
      </c>
      <c r="P1220" t="s">
        <v>3271</v>
      </c>
      <c r="Q1220">
        <v>2</v>
      </c>
      <c r="R1220" t="b">
        <v>1</v>
      </c>
    </row>
    <row r="1221" spans="1:18">
      <c r="A1221" t="s">
        <v>24</v>
      </c>
      <c r="B1221" t="s">
        <v>3272</v>
      </c>
      <c r="C1221" t="s">
        <v>3273</v>
      </c>
      <c r="E1221">
        <v>19</v>
      </c>
      <c r="F1221">
        <v>82</v>
      </c>
      <c r="G1221">
        <v>10</v>
      </c>
      <c r="H1221">
        <v>42</v>
      </c>
      <c r="J1221" t="s">
        <v>22</v>
      </c>
      <c r="K1221" t="b">
        <v>1</v>
      </c>
      <c r="L1221">
        <f t="shared" si="19"/>
        <v>29</v>
      </c>
      <c r="M1221">
        <f t="shared" si="19"/>
        <v>124</v>
      </c>
      <c r="N1221" t="b">
        <v>0</v>
      </c>
      <c r="O1221">
        <v>1</v>
      </c>
      <c r="P1221" t="s">
        <v>3274</v>
      </c>
      <c r="Q1221">
        <v>2</v>
      </c>
      <c r="R1221" t="b">
        <v>1</v>
      </c>
    </row>
    <row r="1222" spans="1:18">
      <c r="A1222" t="s">
        <v>205</v>
      </c>
      <c r="B1222" t="s">
        <v>3275</v>
      </c>
      <c r="C1222" t="s">
        <v>3276</v>
      </c>
      <c r="E1222">
        <v>22</v>
      </c>
      <c r="F1222">
        <v>41</v>
      </c>
      <c r="G1222">
        <v>7</v>
      </c>
      <c r="H1222">
        <v>291</v>
      </c>
      <c r="J1222" t="s">
        <v>22</v>
      </c>
      <c r="K1222" t="b">
        <v>1</v>
      </c>
      <c r="L1222">
        <f t="shared" si="19"/>
        <v>29</v>
      </c>
      <c r="M1222">
        <f t="shared" si="19"/>
        <v>332</v>
      </c>
      <c r="N1222" t="b">
        <v>0</v>
      </c>
      <c r="O1222">
        <v>1</v>
      </c>
      <c r="P1222" t="s">
        <v>2079</v>
      </c>
      <c r="Q1222">
        <v>2</v>
      </c>
      <c r="R1222" t="b">
        <v>1</v>
      </c>
    </row>
    <row r="1223" spans="1:18" hidden="1">
      <c r="A1223" t="s">
        <v>59</v>
      </c>
      <c r="B1223" t="s">
        <v>3277</v>
      </c>
      <c r="C1223" t="s">
        <v>3278</v>
      </c>
      <c r="E1223">
        <v>21</v>
      </c>
      <c r="F1223">
        <v>745</v>
      </c>
      <c r="G1223">
        <v>8</v>
      </c>
      <c r="H1223">
        <v>17</v>
      </c>
      <c r="J1223" t="s">
        <v>999</v>
      </c>
      <c r="K1223" t="b">
        <v>1</v>
      </c>
      <c r="L1223">
        <f t="shared" si="19"/>
        <v>29</v>
      </c>
      <c r="M1223">
        <f t="shared" si="19"/>
        <v>762</v>
      </c>
      <c r="N1223" t="b">
        <v>0</v>
      </c>
      <c r="O1223">
        <v>0</v>
      </c>
      <c r="Q1223">
        <v>0</v>
      </c>
      <c r="R1223" t="b">
        <v>0</v>
      </c>
    </row>
    <row r="1224" spans="1:18" hidden="1">
      <c r="A1224" t="s">
        <v>790</v>
      </c>
      <c r="B1224" t="s">
        <v>3279</v>
      </c>
      <c r="C1224" t="s">
        <v>3280</v>
      </c>
      <c r="E1224">
        <v>21</v>
      </c>
      <c r="F1224">
        <v>181</v>
      </c>
      <c r="G1224">
        <v>8</v>
      </c>
      <c r="H1224">
        <v>55</v>
      </c>
      <c r="J1224" t="s">
        <v>93</v>
      </c>
      <c r="K1224" t="b">
        <v>0</v>
      </c>
      <c r="L1224">
        <f t="shared" si="19"/>
        <v>29</v>
      </c>
      <c r="M1224">
        <f t="shared" si="19"/>
        <v>236</v>
      </c>
      <c r="N1224" t="b">
        <v>0</v>
      </c>
      <c r="O1224">
        <v>0</v>
      </c>
      <c r="Q1224">
        <v>0</v>
      </c>
      <c r="R1224" t="b">
        <v>0</v>
      </c>
    </row>
    <row r="1225" spans="1:18" hidden="1">
      <c r="A1225" t="s">
        <v>2984</v>
      </c>
      <c r="B1225" t="s">
        <v>3281</v>
      </c>
      <c r="C1225" t="s">
        <v>3282</v>
      </c>
      <c r="E1225">
        <v>18</v>
      </c>
      <c r="F1225">
        <v>31</v>
      </c>
      <c r="G1225">
        <v>11</v>
      </c>
      <c r="H1225">
        <v>16</v>
      </c>
      <c r="J1225" t="s">
        <v>93</v>
      </c>
      <c r="K1225" t="b">
        <v>0</v>
      </c>
      <c r="L1225">
        <f t="shared" si="19"/>
        <v>29</v>
      </c>
      <c r="M1225">
        <f t="shared" si="19"/>
        <v>47</v>
      </c>
      <c r="N1225" t="b">
        <v>0</v>
      </c>
      <c r="O1225">
        <v>0</v>
      </c>
      <c r="Q1225">
        <v>0</v>
      </c>
      <c r="R1225" t="b">
        <v>0</v>
      </c>
    </row>
    <row r="1226" spans="1:18" hidden="1">
      <c r="A1226" t="s">
        <v>37</v>
      </c>
      <c r="B1226" t="s">
        <v>3283</v>
      </c>
      <c r="C1226" t="s">
        <v>3284</v>
      </c>
      <c r="E1226">
        <v>10</v>
      </c>
      <c r="F1226">
        <v>64</v>
      </c>
      <c r="G1226">
        <v>19</v>
      </c>
      <c r="H1226">
        <v>828</v>
      </c>
      <c r="J1226" t="s">
        <v>93</v>
      </c>
      <c r="K1226" t="b">
        <v>1</v>
      </c>
      <c r="L1226">
        <f t="shared" si="19"/>
        <v>29</v>
      </c>
      <c r="M1226">
        <f t="shared" si="19"/>
        <v>892</v>
      </c>
      <c r="N1226" t="b">
        <v>0</v>
      </c>
      <c r="O1226">
        <v>0</v>
      </c>
      <c r="Q1226">
        <v>0</v>
      </c>
      <c r="R1226" t="b">
        <v>0</v>
      </c>
    </row>
    <row r="1227" spans="1:18" hidden="1">
      <c r="A1227" t="s">
        <v>133</v>
      </c>
      <c r="B1227" t="s">
        <v>3285</v>
      </c>
      <c r="C1227" t="s">
        <v>3286</v>
      </c>
      <c r="E1227">
        <v>23</v>
      </c>
      <c r="F1227">
        <v>342</v>
      </c>
      <c r="G1227">
        <v>6</v>
      </c>
      <c r="H1227">
        <v>36</v>
      </c>
      <c r="J1227" t="s">
        <v>93</v>
      </c>
      <c r="K1227" t="b">
        <v>1</v>
      </c>
      <c r="L1227">
        <f t="shared" si="19"/>
        <v>29</v>
      </c>
      <c r="M1227">
        <f t="shared" si="19"/>
        <v>378</v>
      </c>
      <c r="N1227" t="b">
        <v>0</v>
      </c>
      <c r="O1227">
        <v>0</v>
      </c>
      <c r="Q1227">
        <v>0</v>
      </c>
      <c r="R1227" t="b">
        <v>0</v>
      </c>
    </row>
    <row r="1228" spans="1:18" hidden="1">
      <c r="A1228" t="s">
        <v>160</v>
      </c>
      <c r="B1228" t="s">
        <v>3287</v>
      </c>
      <c r="C1228" t="s">
        <v>3288</v>
      </c>
      <c r="E1228">
        <v>18</v>
      </c>
      <c r="F1228">
        <v>182</v>
      </c>
      <c r="G1228">
        <v>11</v>
      </c>
      <c r="H1228">
        <v>104</v>
      </c>
      <c r="J1228" t="s">
        <v>93</v>
      </c>
      <c r="K1228" t="b">
        <v>1</v>
      </c>
      <c r="L1228">
        <f t="shared" si="19"/>
        <v>29</v>
      </c>
      <c r="M1228">
        <f t="shared" si="19"/>
        <v>286</v>
      </c>
      <c r="N1228" t="b">
        <v>0</v>
      </c>
      <c r="O1228">
        <v>0.25</v>
      </c>
      <c r="P1228" t="s">
        <v>3289</v>
      </c>
      <c r="Q1228">
        <v>2</v>
      </c>
      <c r="R1228" t="b">
        <v>1</v>
      </c>
    </row>
    <row r="1229" spans="1:18">
      <c r="A1229" t="s">
        <v>1731</v>
      </c>
      <c r="B1229" t="s">
        <v>3290</v>
      </c>
      <c r="C1229" t="s">
        <v>3291</v>
      </c>
      <c r="E1229">
        <v>16</v>
      </c>
      <c r="F1229">
        <v>90</v>
      </c>
      <c r="G1229">
        <v>12</v>
      </c>
      <c r="H1229">
        <v>48</v>
      </c>
      <c r="J1229" t="s">
        <v>22</v>
      </c>
      <c r="K1229" t="b">
        <v>1</v>
      </c>
      <c r="L1229">
        <f t="shared" si="19"/>
        <v>28</v>
      </c>
      <c r="M1229">
        <f t="shared" si="19"/>
        <v>138</v>
      </c>
      <c r="N1229" t="b">
        <v>0</v>
      </c>
      <c r="O1229">
        <v>1</v>
      </c>
      <c r="P1229" t="s">
        <v>3292</v>
      </c>
      <c r="Q1229">
        <v>2</v>
      </c>
      <c r="R1229" t="b">
        <v>1</v>
      </c>
    </row>
    <row r="1230" spans="1:18" hidden="1">
      <c r="A1230" t="s">
        <v>24</v>
      </c>
      <c r="B1230" t="s">
        <v>3293</v>
      </c>
      <c r="C1230" t="s">
        <v>3294</v>
      </c>
      <c r="E1230">
        <v>21</v>
      </c>
      <c r="F1230">
        <v>104</v>
      </c>
      <c r="G1230">
        <v>7</v>
      </c>
      <c r="H1230">
        <v>8</v>
      </c>
      <c r="J1230" t="s">
        <v>93</v>
      </c>
      <c r="K1230" t="b">
        <v>1</v>
      </c>
      <c r="L1230">
        <f t="shared" si="19"/>
        <v>28</v>
      </c>
      <c r="M1230">
        <f t="shared" si="19"/>
        <v>112</v>
      </c>
      <c r="N1230" t="b">
        <v>0</v>
      </c>
      <c r="O1230">
        <v>0</v>
      </c>
      <c r="Q1230">
        <v>0</v>
      </c>
      <c r="R1230" t="b">
        <v>0</v>
      </c>
    </row>
    <row r="1231" spans="1:18" hidden="1">
      <c r="A1231" t="s">
        <v>24</v>
      </c>
      <c r="B1231" t="s">
        <v>3295</v>
      </c>
      <c r="C1231" t="s">
        <v>3296</v>
      </c>
      <c r="E1231">
        <v>17</v>
      </c>
      <c r="F1231">
        <v>44</v>
      </c>
      <c r="G1231">
        <v>11</v>
      </c>
      <c r="H1231">
        <v>237</v>
      </c>
      <c r="J1231" t="s">
        <v>93</v>
      </c>
      <c r="K1231" t="b">
        <v>1</v>
      </c>
      <c r="L1231">
        <f t="shared" si="19"/>
        <v>28</v>
      </c>
      <c r="M1231">
        <f t="shared" si="19"/>
        <v>281</v>
      </c>
      <c r="N1231" t="b">
        <v>0</v>
      </c>
      <c r="O1231">
        <v>0</v>
      </c>
      <c r="Q1231">
        <v>0</v>
      </c>
      <c r="R1231" t="b">
        <v>0</v>
      </c>
    </row>
    <row r="1232" spans="1:18">
      <c r="A1232" t="s">
        <v>59</v>
      </c>
      <c r="B1232" t="s">
        <v>3297</v>
      </c>
      <c r="C1232" t="s">
        <v>3298</v>
      </c>
      <c r="E1232">
        <v>19</v>
      </c>
      <c r="F1232">
        <v>51</v>
      </c>
      <c r="G1232">
        <v>9</v>
      </c>
      <c r="H1232">
        <v>13</v>
      </c>
      <c r="J1232" t="s">
        <v>22</v>
      </c>
      <c r="K1232" t="b">
        <v>1</v>
      </c>
      <c r="L1232">
        <f t="shared" si="19"/>
        <v>28</v>
      </c>
      <c r="M1232">
        <f t="shared" si="19"/>
        <v>64</v>
      </c>
      <c r="N1232" t="b">
        <v>0</v>
      </c>
      <c r="O1232">
        <v>1</v>
      </c>
      <c r="P1232" t="s">
        <v>3299</v>
      </c>
      <c r="Q1232">
        <v>2</v>
      </c>
      <c r="R1232" t="b">
        <v>1</v>
      </c>
    </row>
    <row r="1233" spans="1:18">
      <c r="A1233" t="s">
        <v>59</v>
      </c>
      <c r="B1233" t="s">
        <v>3300</v>
      </c>
      <c r="C1233" t="s">
        <v>3301</v>
      </c>
      <c r="E1233">
        <v>19</v>
      </c>
      <c r="F1233">
        <v>51</v>
      </c>
      <c r="G1233">
        <v>9</v>
      </c>
      <c r="H1233">
        <v>13</v>
      </c>
      <c r="J1233" t="s">
        <v>22</v>
      </c>
      <c r="K1233" t="b">
        <v>1</v>
      </c>
      <c r="L1233">
        <f t="shared" si="19"/>
        <v>28</v>
      </c>
      <c r="M1233">
        <f t="shared" si="19"/>
        <v>64</v>
      </c>
      <c r="N1233" t="b">
        <v>0</v>
      </c>
      <c r="O1233">
        <v>1</v>
      </c>
      <c r="P1233" t="s">
        <v>3302</v>
      </c>
      <c r="Q1233">
        <v>2</v>
      </c>
      <c r="R1233" t="b">
        <v>1</v>
      </c>
    </row>
    <row r="1234" spans="1:18" hidden="1">
      <c r="A1234" t="s">
        <v>59</v>
      </c>
      <c r="B1234" t="s">
        <v>3303</v>
      </c>
      <c r="C1234" t="s">
        <v>3304</v>
      </c>
      <c r="E1234">
        <v>24</v>
      </c>
      <c r="F1234">
        <v>59</v>
      </c>
      <c r="G1234">
        <v>4</v>
      </c>
      <c r="H1234">
        <v>9</v>
      </c>
      <c r="J1234" t="s">
        <v>93</v>
      </c>
      <c r="K1234" t="b">
        <v>1</v>
      </c>
      <c r="L1234">
        <f t="shared" si="19"/>
        <v>28</v>
      </c>
      <c r="M1234">
        <f t="shared" si="19"/>
        <v>68</v>
      </c>
      <c r="N1234" t="b">
        <v>0</v>
      </c>
      <c r="O1234">
        <v>0.33329999999999999</v>
      </c>
      <c r="P1234" t="s">
        <v>3305</v>
      </c>
      <c r="Q1234">
        <v>4</v>
      </c>
      <c r="R1234" t="b">
        <v>1</v>
      </c>
    </row>
    <row r="1235" spans="1:18" hidden="1">
      <c r="A1235" t="s">
        <v>59</v>
      </c>
      <c r="B1235" t="s">
        <v>3306</v>
      </c>
      <c r="C1235" t="s">
        <v>3307</v>
      </c>
      <c r="E1235">
        <v>24</v>
      </c>
      <c r="F1235">
        <v>59</v>
      </c>
      <c r="G1235">
        <v>4</v>
      </c>
      <c r="H1235">
        <v>9</v>
      </c>
      <c r="J1235" t="s">
        <v>93</v>
      </c>
      <c r="K1235" t="b">
        <v>1</v>
      </c>
      <c r="L1235">
        <f t="shared" si="19"/>
        <v>28</v>
      </c>
      <c r="M1235">
        <f t="shared" si="19"/>
        <v>68</v>
      </c>
      <c r="N1235" t="b">
        <v>0</v>
      </c>
      <c r="O1235">
        <v>0</v>
      </c>
      <c r="Q1235">
        <v>0</v>
      </c>
      <c r="R1235" t="b">
        <v>0</v>
      </c>
    </row>
    <row r="1236" spans="1:18" hidden="1">
      <c r="A1236" t="s">
        <v>3308</v>
      </c>
      <c r="B1236" t="s">
        <v>3309</v>
      </c>
      <c r="C1236" t="s">
        <v>3310</v>
      </c>
      <c r="E1236">
        <v>17</v>
      </c>
      <c r="F1236">
        <v>113</v>
      </c>
      <c r="G1236">
        <v>11</v>
      </c>
      <c r="H1236">
        <v>37</v>
      </c>
      <c r="J1236" t="s">
        <v>93</v>
      </c>
      <c r="K1236" t="b">
        <v>0</v>
      </c>
      <c r="L1236">
        <f t="shared" si="19"/>
        <v>28</v>
      </c>
      <c r="M1236">
        <f t="shared" si="19"/>
        <v>150</v>
      </c>
      <c r="N1236" t="b">
        <v>0</v>
      </c>
      <c r="O1236">
        <v>0</v>
      </c>
      <c r="Q1236">
        <v>0</v>
      </c>
      <c r="R1236" t="b">
        <v>0</v>
      </c>
    </row>
    <row r="1237" spans="1:18" hidden="1">
      <c r="A1237" t="s">
        <v>672</v>
      </c>
      <c r="B1237" t="s">
        <v>3311</v>
      </c>
      <c r="C1237" t="s">
        <v>3312</v>
      </c>
      <c r="E1237">
        <v>21</v>
      </c>
      <c r="F1237">
        <v>55</v>
      </c>
      <c r="G1237">
        <v>7</v>
      </c>
      <c r="H1237">
        <v>26</v>
      </c>
      <c r="J1237" t="s">
        <v>93</v>
      </c>
      <c r="K1237" t="b">
        <v>0</v>
      </c>
      <c r="L1237">
        <f t="shared" si="19"/>
        <v>28</v>
      </c>
      <c r="M1237">
        <f t="shared" si="19"/>
        <v>81</v>
      </c>
      <c r="N1237" t="b">
        <v>0</v>
      </c>
      <c r="O1237">
        <v>0</v>
      </c>
      <c r="Q1237">
        <v>0</v>
      </c>
      <c r="R1237" t="b">
        <v>0</v>
      </c>
    </row>
    <row r="1238" spans="1:18" hidden="1">
      <c r="A1238" t="s">
        <v>1712</v>
      </c>
      <c r="B1238" t="s">
        <v>3313</v>
      </c>
      <c r="C1238" t="s">
        <v>3314</v>
      </c>
      <c r="E1238">
        <v>21</v>
      </c>
      <c r="F1238">
        <v>59</v>
      </c>
      <c r="G1238">
        <v>7</v>
      </c>
      <c r="H1238">
        <v>15</v>
      </c>
      <c r="J1238" t="s">
        <v>93</v>
      </c>
      <c r="K1238" t="b">
        <v>0</v>
      </c>
      <c r="L1238">
        <f t="shared" si="19"/>
        <v>28</v>
      </c>
      <c r="M1238">
        <f t="shared" si="19"/>
        <v>74</v>
      </c>
      <c r="N1238" t="b">
        <v>0</v>
      </c>
      <c r="O1238">
        <v>0</v>
      </c>
      <c r="Q1238">
        <v>0</v>
      </c>
      <c r="R1238" t="b">
        <v>0</v>
      </c>
    </row>
    <row r="1239" spans="1:18" hidden="1">
      <c r="A1239" t="s">
        <v>37</v>
      </c>
      <c r="B1239" t="s">
        <v>3315</v>
      </c>
      <c r="C1239" t="s">
        <v>3316</v>
      </c>
      <c r="E1239">
        <v>11</v>
      </c>
      <c r="F1239">
        <v>193</v>
      </c>
      <c r="G1239">
        <v>17</v>
      </c>
      <c r="H1239">
        <v>350</v>
      </c>
      <c r="J1239" t="s">
        <v>93</v>
      </c>
      <c r="K1239" t="b">
        <v>1</v>
      </c>
      <c r="L1239">
        <f t="shared" si="19"/>
        <v>28</v>
      </c>
      <c r="M1239">
        <f t="shared" si="19"/>
        <v>543</v>
      </c>
      <c r="N1239" t="b">
        <v>0</v>
      </c>
      <c r="O1239">
        <v>0</v>
      </c>
      <c r="Q1239">
        <v>0</v>
      </c>
      <c r="R1239" t="b">
        <v>0</v>
      </c>
    </row>
    <row r="1240" spans="1:18" hidden="1">
      <c r="A1240" t="s">
        <v>248</v>
      </c>
      <c r="B1240" t="s">
        <v>3317</v>
      </c>
      <c r="C1240" t="s">
        <v>3318</v>
      </c>
      <c r="E1240">
        <v>19</v>
      </c>
      <c r="F1240">
        <v>512</v>
      </c>
      <c r="G1240">
        <v>9</v>
      </c>
      <c r="H1240">
        <v>57</v>
      </c>
      <c r="J1240" t="s">
        <v>93</v>
      </c>
      <c r="K1240" t="b">
        <v>1</v>
      </c>
      <c r="L1240">
        <f t="shared" si="19"/>
        <v>28</v>
      </c>
      <c r="M1240">
        <f t="shared" si="19"/>
        <v>569</v>
      </c>
      <c r="N1240" t="b">
        <v>0</v>
      </c>
      <c r="O1240">
        <v>0</v>
      </c>
      <c r="Q1240">
        <v>0</v>
      </c>
      <c r="R1240" t="b">
        <v>0</v>
      </c>
    </row>
    <row r="1241" spans="1:18">
      <c r="A1241" t="s">
        <v>378</v>
      </c>
      <c r="B1241" t="s">
        <v>3319</v>
      </c>
      <c r="C1241" t="s">
        <v>3320</v>
      </c>
      <c r="E1241">
        <v>20</v>
      </c>
      <c r="F1241">
        <v>0</v>
      </c>
      <c r="G1241">
        <v>8</v>
      </c>
      <c r="H1241">
        <v>8</v>
      </c>
      <c r="J1241" t="s">
        <v>22</v>
      </c>
      <c r="K1241" t="b">
        <v>1</v>
      </c>
      <c r="L1241">
        <f t="shared" si="19"/>
        <v>28</v>
      </c>
      <c r="M1241">
        <f t="shared" si="19"/>
        <v>8</v>
      </c>
      <c r="N1241" t="b">
        <v>0</v>
      </c>
      <c r="O1241">
        <v>1</v>
      </c>
      <c r="P1241" t="s">
        <v>3321</v>
      </c>
      <c r="Q1241">
        <v>2</v>
      </c>
      <c r="R1241" t="b">
        <v>1</v>
      </c>
    </row>
    <row r="1242" spans="1:18">
      <c r="A1242" t="s">
        <v>30</v>
      </c>
      <c r="B1242" t="s">
        <v>3322</v>
      </c>
      <c r="C1242" t="s">
        <v>3323</v>
      </c>
      <c r="E1242">
        <v>19</v>
      </c>
      <c r="F1242">
        <v>526</v>
      </c>
      <c r="G1242">
        <v>9</v>
      </c>
      <c r="H1242">
        <v>849</v>
      </c>
      <c r="J1242" t="s">
        <v>22</v>
      </c>
      <c r="K1242" t="b">
        <v>1</v>
      </c>
      <c r="L1242">
        <f t="shared" si="19"/>
        <v>28</v>
      </c>
      <c r="M1242">
        <f t="shared" si="19"/>
        <v>1375</v>
      </c>
      <c r="N1242" t="b">
        <v>0</v>
      </c>
      <c r="O1242">
        <v>1</v>
      </c>
      <c r="P1242" t="s">
        <v>3324</v>
      </c>
      <c r="Q1242">
        <v>2</v>
      </c>
      <c r="R1242" t="b">
        <v>1</v>
      </c>
    </row>
    <row r="1243" spans="1:18" hidden="1">
      <c r="A1243" t="s">
        <v>192</v>
      </c>
      <c r="B1243" t="s">
        <v>3325</v>
      </c>
      <c r="C1243" t="s">
        <v>3326</v>
      </c>
      <c r="E1243">
        <v>16</v>
      </c>
      <c r="F1243">
        <v>90</v>
      </c>
      <c r="G1243">
        <v>12</v>
      </c>
      <c r="H1243">
        <v>48</v>
      </c>
      <c r="J1243" t="s">
        <v>93</v>
      </c>
      <c r="K1243" t="b">
        <v>1</v>
      </c>
      <c r="L1243">
        <f t="shared" si="19"/>
        <v>28</v>
      </c>
      <c r="M1243">
        <f t="shared" si="19"/>
        <v>138</v>
      </c>
      <c r="N1243" t="b">
        <v>0</v>
      </c>
      <c r="O1243">
        <v>0</v>
      </c>
      <c r="Q1243">
        <v>0</v>
      </c>
      <c r="R1243" t="b">
        <v>0</v>
      </c>
    </row>
    <row r="1244" spans="1:18" hidden="1">
      <c r="A1244" t="s">
        <v>19</v>
      </c>
      <c r="B1244" t="s">
        <v>3327</v>
      </c>
      <c r="C1244" t="s">
        <v>3328</v>
      </c>
      <c r="E1244">
        <v>21</v>
      </c>
      <c r="F1244">
        <v>259</v>
      </c>
      <c r="G1244">
        <v>7</v>
      </c>
      <c r="H1244">
        <v>361</v>
      </c>
      <c r="J1244" t="s">
        <v>93</v>
      </c>
      <c r="K1244" t="b">
        <v>1</v>
      </c>
      <c r="L1244">
        <f t="shared" si="19"/>
        <v>28</v>
      </c>
      <c r="M1244">
        <f t="shared" si="19"/>
        <v>620</v>
      </c>
      <c r="N1244" t="b">
        <v>0</v>
      </c>
      <c r="O1244">
        <v>0.5</v>
      </c>
      <c r="P1244" t="s">
        <v>1061</v>
      </c>
      <c r="Q1244">
        <v>8</v>
      </c>
      <c r="R1244" t="b">
        <v>1</v>
      </c>
    </row>
    <row r="1245" spans="1:18">
      <c r="A1245" t="s">
        <v>678</v>
      </c>
      <c r="B1245" t="s">
        <v>3329</v>
      </c>
      <c r="C1245" t="s">
        <v>3330</v>
      </c>
      <c r="E1245">
        <v>21</v>
      </c>
      <c r="F1245">
        <v>55</v>
      </c>
      <c r="G1245">
        <v>7</v>
      </c>
      <c r="H1245">
        <v>26</v>
      </c>
      <c r="J1245" t="s">
        <v>22</v>
      </c>
      <c r="K1245" t="b">
        <v>1</v>
      </c>
      <c r="L1245">
        <f t="shared" si="19"/>
        <v>28</v>
      </c>
      <c r="M1245">
        <f t="shared" si="19"/>
        <v>81</v>
      </c>
      <c r="N1245" t="b">
        <v>0</v>
      </c>
      <c r="O1245">
        <v>1</v>
      </c>
      <c r="P1245" t="s">
        <v>3331</v>
      </c>
      <c r="Q1245">
        <v>2</v>
      </c>
      <c r="R1245" t="b">
        <v>1</v>
      </c>
    </row>
    <row r="1246" spans="1:18">
      <c r="A1246" t="s">
        <v>3259</v>
      </c>
      <c r="B1246" t="s">
        <v>3332</v>
      </c>
      <c r="C1246" t="s">
        <v>3333</v>
      </c>
      <c r="E1246">
        <v>18</v>
      </c>
      <c r="F1246">
        <v>29</v>
      </c>
      <c r="G1246">
        <v>9</v>
      </c>
      <c r="H1246">
        <v>26</v>
      </c>
      <c r="J1246" t="s">
        <v>22</v>
      </c>
      <c r="K1246" t="b">
        <v>1</v>
      </c>
      <c r="L1246">
        <f t="shared" si="19"/>
        <v>27</v>
      </c>
      <c r="M1246">
        <f t="shared" si="19"/>
        <v>55</v>
      </c>
      <c r="N1246" t="b">
        <v>0</v>
      </c>
      <c r="O1246">
        <v>1</v>
      </c>
      <c r="P1246" t="s">
        <v>3334</v>
      </c>
      <c r="Q1246">
        <v>2</v>
      </c>
      <c r="R1246" t="b">
        <v>1</v>
      </c>
    </row>
    <row r="1247" spans="1:18">
      <c r="A1247" t="s">
        <v>3259</v>
      </c>
      <c r="B1247" t="s">
        <v>3335</v>
      </c>
      <c r="C1247" t="s">
        <v>3336</v>
      </c>
      <c r="E1247">
        <v>18</v>
      </c>
      <c r="F1247">
        <v>29</v>
      </c>
      <c r="G1247">
        <v>9</v>
      </c>
      <c r="H1247">
        <v>26</v>
      </c>
      <c r="J1247" t="s">
        <v>22</v>
      </c>
      <c r="K1247" t="b">
        <v>1</v>
      </c>
      <c r="L1247">
        <f t="shared" si="19"/>
        <v>27</v>
      </c>
      <c r="M1247">
        <f t="shared" si="19"/>
        <v>55</v>
      </c>
      <c r="N1247" t="b">
        <v>0</v>
      </c>
      <c r="O1247">
        <v>0</v>
      </c>
      <c r="Q1247">
        <v>0</v>
      </c>
      <c r="R1247" t="b">
        <v>0</v>
      </c>
    </row>
    <row r="1248" spans="1:18">
      <c r="A1248" t="s">
        <v>3259</v>
      </c>
      <c r="B1248" t="s">
        <v>3337</v>
      </c>
      <c r="C1248" t="s">
        <v>3338</v>
      </c>
      <c r="E1248">
        <v>18</v>
      </c>
      <c r="F1248">
        <v>29</v>
      </c>
      <c r="G1248">
        <v>9</v>
      </c>
      <c r="H1248">
        <v>26</v>
      </c>
      <c r="J1248" t="s">
        <v>22</v>
      </c>
      <c r="K1248" t="b">
        <v>1</v>
      </c>
      <c r="L1248">
        <f t="shared" si="19"/>
        <v>27</v>
      </c>
      <c r="M1248">
        <f t="shared" si="19"/>
        <v>55</v>
      </c>
      <c r="N1248" t="b">
        <v>0</v>
      </c>
      <c r="O1248">
        <v>0</v>
      </c>
      <c r="Q1248">
        <v>0</v>
      </c>
      <c r="R1248" t="b">
        <v>0</v>
      </c>
    </row>
    <row r="1249" spans="1:18">
      <c r="A1249" t="s">
        <v>3259</v>
      </c>
      <c r="B1249" t="s">
        <v>3339</v>
      </c>
      <c r="C1249" t="s">
        <v>3340</v>
      </c>
      <c r="E1249">
        <v>18</v>
      </c>
      <c r="F1249">
        <v>29</v>
      </c>
      <c r="G1249">
        <v>9</v>
      </c>
      <c r="H1249">
        <v>26</v>
      </c>
      <c r="J1249" t="s">
        <v>22</v>
      </c>
      <c r="K1249" t="b">
        <v>1</v>
      </c>
      <c r="L1249">
        <f t="shared" si="19"/>
        <v>27</v>
      </c>
      <c r="M1249">
        <f t="shared" si="19"/>
        <v>55</v>
      </c>
      <c r="N1249" t="b">
        <v>0</v>
      </c>
      <c r="O1249">
        <v>1</v>
      </c>
      <c r="P1249" t="s">
        <v>3341</v>
      </c>
      <c r="Q1249">
        <v>2</v>
      </c>
      <c r="R1249" t="b">
        <v>1</v>
      </c>
    </row>
    <row r="1250" spans="1:18">
      <c r="A1250" t="s">
        <v>1731</v>
      </c>
      <c r="B1250" t="s">
        <v>3342</v>
      </c>
      <c r="C1250" t="s">
        <v>3343</v>
      </c>
      <c r="E1250">
        <v>13</v>
      </c>
      <c r="F1250">
        <v>87</v>
      </c>
      <c r="G1250">
        <v>14</v>
      </c>
      <c r="H1250">
        <v>44</v>
      </c>
      <c r="J1250" t="s">
        <v>22</v>
      </c>
      <c r="K1250" t="b">
        <v>1</v>
      </c>
      <c r="L1250">
        <f t="shared" si="19"/>
        <v>27</v>
      </c>
      <c r="M1250">
        <f t="shared" si="19"/>
        <v>131</v>
      </c>
      <c r="N1250" t="b">
        <v>0</v>
      </c>
      <c r="O1250">
        <v>1</v>
      </c>
      <c r="P1250" t="s">
        <v>3344</v>
      </c>
      <c r="Q1250">
        <v>2</v>
      </c>
      <c r="R1250" t="b">
        <v>1</v>
      </c>
    </row>
    <row r="1251" spans="1:18" hidden="1">
      <c r="A1251" t="s">
        <v>205</v>
      </c>
      <c r="B1251" t="s">
        <v>3345</v>
      </c>
      <c r="C1251" t="s">
        <v>3346</v>
      </c>
      <c r="E1251">
        <v>10</v>
      </c>
      <c r="F1251">
        <v>47</v>
      </c>
      <c r="G1251">
        <v>17</v>
      </c>
      <c r="H1251">
        <v>29</v>
      </c>
      <c r="J1251" t="s">
        <v>93</v>
      </c>
      <c r="K1251" t="b">
        <v>1</v>
      </c>
      <c r="L1251">
        <f t="shared" si="19"/>
        <v>27</v>
      </c>
      <c r="M1251">
        <f t="shared" si="19"/>
        <v>76</v>
      </c>
      <c r="N1251" t="b">
        <v>0</v>
      </c>
      <c r="O1251">
        <v>0</v>
      </c>
      <c r="Q1251">
        <v>0</v>
      </c>
      <c r="R1251" t="b">
        <v>0</v>
      </c>
    </row>
    <row r="1252" spans="1:18">
      <c r="A1252" t="s">
        <v>3105</v>
      </c>
      <c r="B1252" t="s">
        <v>3347</v>
      </c>
      <c r="C1252" t="s">
        <v>3348</v>
      </c>
      <c r="E1252">
        <v>13</v>
      </c>
      <c r="F1252">
        <v>113</v>
      </c>
      <c r="G1252">
        <v>14</v>
      </c>
      <c r="H1252">
        <v>60</v>
      </c>
      <c r="J1252" t="s">
        <v>22</v>
      </c>
      <c r="K1252" t="b">
        <v>1</v>
      </c>
      <c r="L1252">
        <f t="shared" si="19"/>
        <v>27</v>
      </c>
      <c r="M1252">
        <f t="shared" si="19"/>
        <v>173</v>
      </c>
      <c r="N1252" t="b">
        <v>0</v>
      </c>
      <c r="O1252">
        <v>1</v>
      </c>
      <c r="P1252" t="s">
        <v>3349</v>
      </c>
      <c r="Q1252">
        <v>1</v>
      </c>
      <c r="R1252" t="b">
        <v>1</v>
      </c>
    </row>
    <row r="1253" spans="1:18" hidden="1">
      <c r="A1253" t="s">
        <v>3105</v>
      </c>
      <c r="B1253" t="s">
        <v>3350</v>
      </c>
      <c r="C1253" t="s">
        <v>3351</v>
      </c>
      <c r="E1253">
        <v>14</v>
      </c>
      <c r="F1253">
        <v>114</v>
      </c>
      <c r="G1253">
        <v>13</v>
      </c>
      <c r="H1253">
        <v>59</v>
      </c>
      <c r="J1253" t="s">
        <v>93</v>
      </c>
      <c r="K1253" t="b">
        <v>1</v>
      </c>
      <c r="L1253">
        <f t="shared" si="19"/>
        <v>27</v>
      </c>
      <c r="M1253">
        <f t="shared" si="19"/>
        <v>173</v>
      </c>
      <c r="N1253" t="b">
        <v>0</v>
      </c>
      <c r="O1253">
        <v>0</v>
      </c>
      <c r="Q1253">
        <v>0</v>
      </c>
      <c r="R1253" t="b">
        <v>0</v>
      </c>
    </row>
    <row r="1254" spans="1:18" hidden="1">
      <c r="A1254" t="s">
        <v>361</v>
      </c>
      <c r="B1254" t="s">
        <v>3352</v>
      </c>
      <c r="C1254" t="s">
        <v>3353</v>
      </c>
      <c r="D1254" t="s">
        <v>519</v>
      </c>
      <c r="E1254">
        <v>18</v>
      </c>
      <c r="F1254">
        <v>152</v>
      </c>
      <c r="G1254">
        <v>9</v>
      </c>
      <c r="H1254">
        <v>21</v>
      </c>
      <c r="I1254" t="s">
        <v>520</v>
      </c>
      <c r="J1254" t="s">
        <v>93</v>
      </c>
      <c r="K1254" t="b">
        <v>0</v>
      </c>
      <c r="L1254">
        <f t="shared" si="19"/>
        <v>27</v>
      </c>
      <c r="M1254">
        <f t="shared" si="19"/>
        <v>173</v>
      </c>
      <c r="N1254" t="b">
        <v>0</v>
      </c>
      <c r="O1254">
        <v>0</v>
      </c>
      <c r="Q1254">
        <v>0</v>
      </c>
      <c r="R1254" t="b">
        <v>0</v>
      </c>
    </row>
    <row r="1255" spans="1:18" hidden="1">
      <c r="A1255" t="s">
        <v>192</v>
      </c>
      <c r="B1255" t="s">
        <v>3354</v>
      </c>
      <c r="C1255" t="s">
        <v>3355</v>
      </c>
      <c r="E1255">
        <v>0</v>
      </c>
      <c r="F1255">
        <v>0</v>
      </c>
      <c r="G1255">
        <v>27</v>
      </c>
      <c r="H1255">
        <v>133</v>
      </c>
      <c r="J1255" t="s">
        <v>93</v>
      </c>
      <c r="K1255" t="b">
        <v>1</v>
      </c>
      <c r="L1255">
        <f t="shared" si="19"/>
        <v>27</v>
      </c>
      <c r="M1255">
        <f t="shared" si="19"/>
        <v>133</v>
      </c>
      <c r="N1255" t="b">
        <v>0</v>
      </c>
      <c r="O1255">
        <v>0</v>
      </c>
      <c r="Q1255">
        <v>0</v>
      </c>
      <c r="R1255" t="b">
        <v>0</v>
      </c>
    </row>
    <row r="1256" spans="1:18" hidden="1">
      <c r="A1256" t="s">
        <v>2443</v>
      </c>
      <c r="B1256" t="s">
        <v>3356</v>
      </c>
      <c r="C1256" t="s">
        <v>3357</v>
      </c>
      <c r="E1256">
        <v>13</v>
      </c>
      <c r="F1256">
        <v>64</v>
      </c>
      <c r="G1256">
        <v>14</v>
      </c>
      <c r="H1256">
        <v>43</v>
      </c>
      <c r="J1256" t="s">
        <v>93</v>
      </c>
      <c r="K1256" t="b">
        <v>0</v>
      </c>
      <c r="L1256">
        <f t="shared" si="19"/>
        <v>27</v>
      </c>
      <c r="M1256">
        <f t="shared" si="19"/>
        <v>107</v>
      </c>
      <c r="N1256" t="b">
        <v>0</v>
      </c>
      <c r="O1256">
        <v>0</v>
      </c>
      <c r="Q1256">
        <v>0</v>
      </c>
      <c r="R1256" t="b">
        <v>0</v>
      </c>
    </row>
    <row r="1257" spans="1:18" hidden="1">
      <c r="A1257" t="s">
        <v>672</v>
      </c>
      <c r="B1257" t="s">
        <v>3358</v>
      </c>
      <c r="C1257" t="s">
        <v>3359</v>
      </c>
      <c r="E1257">
        <v>18</v>
      </c>
      <c r="F1257">
        <v>57</v>
      </c>
      <c r="G1257">
        <v>9</v>
      </c>
      <c r="H1257">
        <v>26</v>
      </c>
      <c r="J1257" t="s">
        <v>93</v>
      </c>
      <c r="K1257" t="b">
        <v>0</v>
      </c>
      <c r="L1257">
        <f t="shared" si="19"/>
        <v>27</v>
      </c>
      <c r="M1257">
        <f t="shared" si="19"/>
        <v>83</v>
      </c>
      <c r="N1257" t="b">
        <v>0</v>
      </c>
      <c r="O1257">
        <v>0</v>
      </c>
      <c r="Q1257">
        <v>0</v>
      </c>
      <c r="R1257" t="b">
        <v>0</v>
      </c>
    </row>
    <row r="1258" spans="1:18">
      <c r="A1258" t="s">
        <v>1384</v>
      </c>
      <c r="B1258" t="s">
        <v>3360</v>
      </c>
      <c r="C1258" t="s">
        <v>3361</v>
      </c>
      <c r="E1258">
        <v>19</v>
      </c>
      <c r="F1258">
        <v>27</v>
      </c>
      <c r="G1258">
        <v>8</v>
      </c>
      <c r="H1258">
        <v>25</v>
      </c>
      <c r="J1258" t="s">
        <v>22</v>
      </c>
      <c r="K1258" t="b">
        <v>1</v>
      </c>
      <c r="L1258">
        <f t="shared" si="19"/>
        <v>27</v>
      </c>
      <c r="M1258">
        <f t="shared" si="19"/>
        <v>52</v>
      </c>
      <c r="N1258" t="b">
        <v>0</v>
      </c>
      <c r="O1258">
        <v>1</v>
      </c>
      <c r="P1258" t="s">
        <v>3362</v>
      </c>
      <c r="Q1258">
        <v>2</v>
      </c>
      <c r="R1258" t="b">
        <v>1</v>
      </c>
    </row>
    <row r="1259" spans="1:18" hidden="1">
      <c r="A1259" t="s">
        <v>133</v>
      </c>
      <c r="B1259" t="s">
        <v>3363</v>
      </c>
      <c r="C1259" t="s">
        <v>3364</v>
      </c>
      <c r="E1259">
        <v>18</v>
      </c>
      <c r="F1259">
        <v>19</v>
      </c>
      <c r="G1259">
        <v>9</v>
      </c>
      <c r="H1259">
        <v>192</v>
      </c>
      <c r="J1259" t="s">
        <v>93</v>
      </c>
      <c r="K1259" t="b">
        <v>1</v>
      </c>
      <c r="L1259">
        <f t="shared" si="19"/>
        <v>27</v>
      </c>
      <c r="M1259">
        <f t="shared" si="19"/>
        <v>211</v>
      </c>
      <c r="N1259" t="b">
        <v>0</v>
      </c>
      <c r="O1259">
        <v>0</v>
      </c>
      <c r="Q1259">
        <v>0</v>
      </c>
      <c r="R1259" t="b">
        <v>0</v>
      </c>
    </row>
    <row r="1260" spans="1:18" hidden="1">
      <c r="A1260" t="s">
        <v>192</v>
      </c>
      <c r="B1260" t="s">
        <v>3365</v>
      </c>
      <c r="C1260" t="s">
        <v>3366</v>
      </c>
      <c r="E1260">
        <v>13</v>
      </c>
      <c r="F1260">
        <v>87</v>
      </c>
      <c r="G1260">
        <v>14</v>
      </c>
      <c r="H1260">
        <v>44</v>
      </c>
      <c r="J1260" t="s">
        <v>93</v>
      </c>
      <c r="K1260" t="b">
        <v>1</v>
      </c>
      <c r="L1260">
        <f t="shared" si="19"/>
        <v>27</v>
      </c>
      <c r="M1260">
        <f t="shared" si="19"/>
        <v>131</v>
      </c>
      <c r="N1260" t="b">
        <v>0</v>
      </c>
      <c r="O1260">
        <v>0</v>
      </c>
      <c r="Q1260">
        <v>0</v>
      </c>
      <c r="R1260" t="b">
        <v>0</v>
      </c>
    </row>
    <row r="1261" spans="1:18" hidden="1">
      <c r="A1261" t="s">
        <v>192</v>
      </c>
      <c r="B1261" t="s">
        <v>3367</v>
      </c>
      <c r="C1261" t="s">
        <v>3368</v>
      </c>
      <c r="E1261">
        <v>27</v>
      </c>
      <c r="F1261">
        <v>63</v>
      </c>
      <c r="G1261">
        <v>0</v>
      </c>
      <c r="H1261">
        <v>0</v>
      </c>
      <c r="J1261" t="s">
        <v>93</v>
      </c>
      <c r="K1261" t="b">
        <v>1</v>
      </c>
      <c r="L1261">
        <f t="shared" si="19"/>
        <v>27</v>
      </c>
      <c r="M1261">
        <f t="shared" si="19"/>
        <v>63</v>
      </c>
      <c r="N1261" t="b">
        <v>0</v>
      </c>
      <c r="O1261">
        <v>0.5</v>
      </c>
      <c r="P1261" t="s">
        <v>1350</v>
      </c>
      <c r="Q1261">
        <v>12</v>
      </c>
      <c r="R1261" t="b">
        <v>1</v>
      </c>
    </row>
    <row r="1262" spans="1:18">
      <c r="A1262" t="s">
        <v>192</v>
      </c>
      <c r="B1262" t="s">
        <v>3369</v>
      </c>
      <c r="C1262" t="s">
        <v>3370</v>
      </c>
      <c r="E1262">
        <v>23</v>
      </c>
      <c r="F1262">
        <v>2</v>
      </c>
      <c r="G1262">
        <v>4</v>
      </c>
      <c r="H1262">
        <v>7</v>
      </c>
      <c r="J1262" t="s">
        <v>22</v>
      </c>
      <c r="K1262" t="b">
        <v>1</v>
      </c>
      <c r="L1262">
        <f t="shared" si="19"/>
        <v>27</v>
      </c>
      <c r="M1262">
        <f t="shared" si="19"/>
        <v>9</v>
      </c>
      <c r="N1262" t="b">
        <v>0</v>
      </c>
      <c r="O1262">
        <v>1</v>
      </c>
      <c r="P1262" t="s">
        <v>3371</v>
      </c>
      <c r="Q1262">
        <v>2</v>
      </c>
      <c r="R1262" t="b">
        <v>1</v>
      </c>
    </row>
    <row r="1263" spans="1:18">
      <c r="A1263" t="s">
        <v>19</v>
      </c>
      <c r="B1263" t="s">
        <v>3372</v>
      </c>
      <c r="C1263" t="s">
        <v>3373</v>
      </c>
      <c r="E1263">
        <v>18</v>
      </c>
      <c r="F1263">
        <v>152</v>
      </c>
      <c r="G1263">
        <v>9</v>
      </c>
      <c r="H1263">
        <v>21</v>
      </c>
      <c r="J1263" t="s">
        <v>22</v>
      </c>
      <c r="K1263" t="b">
        <v>1</v>
      </c>
      <c r="L1263">
        <f t="shared" si="19"/>
        <v>27</v>
      </c>
      <c r="M1263">
        <f t="shared" si="19"/>
        <v>173</v>
      </c>
      <c r="N1263" t="b">
        <v>0</v>
      </c>
      <c r="O1263">
        <v>1</v>
      </c>
      <c r="P1263" t="s">
        <v>3374</v>
      </c>
      <c r="Q1263">
        <v>2</v>
      </c>
      <c r="R1263" t="b">
        <v>1</v>
      </c>
    </row>
    <row r="1264" spans="1:18">
      <c r="A1264" t="s">
        <v>678</v>
      </c>
      <c r="B1264" t="s">
        <v>3375</v>
      </c>
      <c r="C1264" t="s">
        <v>3376</v>
      </c>
      <c r="E1264">
        <v>18</v>
      </c>
      <c r="F1264">
        <v>57</v>
      </c>
      <c r="G1264">
        <v>9</v>
      </c>
      <c r="H1264">
        <v>26</v>
      </c>
      <c r="J1264" t="s">
        <v>22</v>
      </c>
      <c r="K1264" t="b">
        <v>1</v>
      </c>
      <c r="L1264">
        <f t="shared" si="19"/>
        <v>27</v>
      </c>
      <c r="M1264">
        <f t="shared" si="19"/>
        <v>83</v>
      </c>
      <c r="N1264" t="b">
        <v>0</v>
      </c>
      <c r="O1264">
        <v>1</v>
      </c>
      <c r="P1264" t="s">
        <v>3377</v>
      </c>
      <c r="Q1264">
        <v>2</v>
      </c>
      <c r="R1264" t="b">
        <v>1</v>
      </c>
    </row>
    <row r="1265" spans="1:18">
      <c r="A1265" t="s">
        <v>334</v>
      </c>
      <c r="B1265" t="s">
        <v>3378</v>
      </c>
      <c r="C1265" t="s">
        <v>3379</v>
      </c>
      <c r="E1265">
        <v>20</v>
      </c>
      <c r="F1265">
        <v>973</v>
      </c>
      <c r="G1265">
        <v>6</v>
      </c>
      <c r="H1265">
        <v>31</v>
      </c>
      <c r="J1265" t="s">
        <v>22</v>
      </c>
      <c r="K1265" t="b">
        <v>1</v>
      </c>
      <c r="L1265">
        <f t="shared" si="19"/>
        <v>26</v>
      </c>
      <c r="M1265">
        <f t="shared" si="19"/>
        <v>1004</v>
      </c>
      <c r="N1265" t="b">
        <v>0</v>
      </c>
      <c r="O1265">
        <v>1</v>
      </c>
      <c r="P1265" t="s">
        <v>3380</v>
      </c>
      <c r="Q1265">
        <v>2</v>
      </c>
      <c r="R1265" t="b">
        <v>1</v>
      </c>
    </row>
    <row r="1266" spans="1:18" hidden="1">
      <c r="A1266" t="s">
        <v>1191</v>
      </c>
      <c r="B1266" t="s">
        <v>3381</v>
      </c>
      <c r="C1266" t="s">
        <v>3382</v>
      </c>
      <c r="E1266">
        <v>15</v>
      </c>
      <c r="F1266">
        <v>41</v>
      </c>
      <c r="G1266">
        <v>11</v>
      </c>
      <c r="H1266">
        <v>83</v>
      </c>
      <c r="J1266" t="s">
        <v>93</v>
      </c>
      <c r="K1266" t="b">
        <v>1</v>
      </c>
      <c r="L1266">
        <f t="shared" si="19"/>
        <v>26</v>
      </c>
      <c r="M1266">
        <f t="shared" si="19"/>
        <v>124</v>
      </c>
      <c r="N1266" t="b">
        <v>0</v>
      </c>
      <c r="O1266">
        <v>0</v>
      </c>
      <c r="Q1266">
        <v>0</v>
      </c>
      <c r="R1266" t="b">
        <v>0</v>
      </c>
    </row>
    <row r="1267" spans="1:18" hidden="1">
      <c r="A1267" t="s">
        <v>1224</v>
      </c>
      <c r="B1267" t="s">
        <v>3383</v>
      </c>
      <c r="C1267" t="s">
        <v>3384</v>
      </c>
      <c r="E1267">
        <v>18</v>
      </c>
      <c r="F1267">
        <v>493</v>
      </c>
      <c r="G1267">
        <v>8</v>
      </c>
      <c r="H1267">
        <v>869</v>
      </c>
      <c r="J1267" t="s">
        <v>93</v>
      </c>
      <c r="K1267" t="b">
        <v>1</v>
      </c>
      <c r="L1267">
        <f t="shared" si="19"/>
        <v>26</v>
      </c>
      <c r="M1267">
        <f t="shared" si="19"/>
        <v>1362</v>
      </c>
      <c r="N1267" t="b">
        <v>0</v>
      </c>
      <c r="O1267">
        <v>0</v>
      </c>
      <c r="Q1267">
        <v>0</v>
      </c>
      <c r="R1267" t="b">
        <v>0</v>
      </c>
    </row>
    <row r="1268" spans="1:18">
      <c r="A1268" t="s">
        <v>24</v>
      </c>
      <c r="B1268" t="s">
        <v>3385</v>
      </c>
      <c r="C1268" t="s">
        <v>3386</v>
      </c>
      <c r="E1268">
        <v>17</v>
      </c>
      <c r="F1268">
        <v>87</v>
      </c>
      <c r="G1268">
        <v>9</v>
      </c>
      <c r="H1268">
        <v>196</v>
      </c>
      <c r="J1268" t="s">
        <v>22</v>
      </c>
      <c r="K1268" t="b">
        <v>1</v>
      </c>
      <c r="L1268">
        <f t="shared" si="19"/>
        <v>26</v>
      </c>
      <c r="M1268">
        <f t="shared" si="19"/>
        <v>283</v>
      </c>
      <c r="N1268" t="b">
        <v>0</v>
      </c>
      <c r="O1268">
        <v>1</v>
      </c>
      <c r="P1268" t="s">
        <v>3387</v>
      </c>
      <c r="Q1268">
        <v>2</v>
      </c>
      <c r="R1268" t="b">
        <v>1</v>
      </c>
    </row>
    <row r="1269" spans="1:18">
      <c r="A1269" t="s">
        <v>205</v>
      </c>
      <c r="B1269" t="s">
        <v>3388</v>
      </c>
      <c r="C1269" t="s">
        <v>3389</v>
      </c>
      <c r="E1269">
        <v>16</v>
      </c>
      <c r="F1269">
        <v>116</v>
      </c>
      <c r="G1269">
        <v>10</v>
      </c>
      <c r="H1269">
        <v>116</v>
      </c>
      <c r="J1269" t="s">
        <v>22</v>
      </c>
      <c r="K1269" t="b">
        <v>1</v>
      </c>
      <c r="L1269">
        <f t="shared" si="19"/>
        <v>26</v>
      </c>
      <c r="M1269">
        <f t="shared" si="19"/>
        <v>232</v>
      </c>
      <c r="N1269" t="b">
        <v>0</v>
      </c>
      <c r="O1269">
        <v>1</v>
      </c>
      <c r="P1269" t="s">
        <v>2501</v>
      </c>
      <c r="Q1269">
        <v>2</v>
      </c>
      <c r="R1269" t="b">
        <v>1</v>
      </c>
    </row>
    <row r="1270" spans="1:18" hidden="1">
      <c r="A1270" t="s">
        <v>205</v>
      </c>
      <c r="B1270" t="s">
        <v>3390</v>
      </c>
      <c r="C1270" t="s">
        <v>3391</v>
      </c>
      <c r="E1270">
        <v>20</v>
      </c>
      <c r="F1270">
        <v>112</v>
      </c>
      <c r="G1270">
        <v>6</v>
      </c>
      <c r="H1270">
        <v>13</v>
      </c>
      <c r="J1270" t="s">
        <v>999</v>
      </c>
      <c r="K1270" t="b">
        <v>1</v>
      </c>
      <c r="L1270">
        <f t="shared" si="19"/>
        <v>26</v>
      </c>
      <c r="M1270">
        <f t="shared" si="19"/>
        <v>125</v>
      </c>
      <c r="N1270" t="b">
        <v>0</v>
      </c>
      <c r="O1270">
        <v>0.5</v>
      </c>
      <c r="P1270" t="s">
        <v>210</v>
      </c>
      <c r="Q1270">
        <v>18</v>
      </c>
      <c r="R1270" t="b">
        <v>1</v>
      </c>
    </row>
    <row r="1271" spans="1:18">
      <c r="A1271" t="s">
        <v>59</v>
      </c>
      <c r="B1271" t="s">
        <v>3392</v>
      </c>
      <c r="C1271" t="s">
        <v>3393</v>
      </c>
      <c r="E1271">
        <v>21</v>
      </c>
      <c r="F1271">
        <v>806</v>
      </c>
      <c r="G1271">
        <v>5</v>
      </c>
      <c r="H1271">
        <v>13</v>
      </c>
      <c r="J1271" t="s">
        <v>22</v>
      </c>
      <c r="K1271" t="b">
        <v>1</v>
      </c>
      <c r="L1271">
        <f t="shared" si="19"/>
        <v>26</v>
      </c>
      <c r="M1271">
        <f t="shared" si="19"/>
        <v>819</v>
      </c>
      <c r="N1271" t="b">
        <v>0</v>
      </c>
      <c r="O1271">
        <v>1</v>
      </c>
      <c r="P1271" t="s">
        <v>3394</v>
      </c>
      <c r="Q1271">
        <v>2</v>
      </c>
      <c r="R1271" t="b">
        <v>1</v>
      </c>
    </row>
    <row r="1272" spans="1:18" hidden="1">
      <c r="A1272" t="s">
        <v>3247</v>
      </c>
      <c r="B1272" t="s">
        <v>3395</v>
      </c>
      <c r="C1272" t="s">
        <v>3396</v>
      </c>
      <c r="E1272">
        <v>20</v>
      </c>
      <c r="F1272">
        <v>62</v>
      </c>
      <c r="G1272">
        <v>6</v>
      </c>
      <c r="H1272">
        <v>38</v>
      </c>
      <c r="J1272" t="s">
        <v>93</v>
      </c>
      <c r="K1272" t="b">
        <v>0</v>
      </c>
      <c r="L1272">
        <f t="shared" si="19"/>
        <v>26</v>
      </c>
      <c r="M1272">
        <f t="shared" si="19"/>
        <v>100</v>
      </c>
      <c r="N1272" t="b">
        <v>0</v>
      </c>
      <c r="O1272">
        <v>0</v>
      </c>
      <c r="Q1272">
        <v>0</v>
      </c>
      <c r="R1272" t="b">
        <v>0</v>
      </c>
    </row>
    <row r="1273" spans="1:18" hidden="1">
      <c r="A1273" t="s">
        <v>2454</v>
      </c>
      <c r="B1273" t="s">
        <v>3397</v>
      </c>
      <c r="C1273" t="s">
        <v>3398</v>
      </c>
      <c r="E1273">
        <v>14</v>
      </c>
      <c r="F1273">
        <v>23</v>
      </c>
      <c r="G1273">
        <v>12</v>
      </c>
      <c r="H1273">
        <v>26</v>
      </c>
      <c r="J1273" t="s">
        <v>93</v>
      </c>
      <c r="K1273" t="b">
        <v>0</v>
      </c>
      <c r="L1273">
        <f t="shared" si="19"/>
        <v>26</v>
      </c>
      <c r="M1273">
        <f t="shared" si="19"/>
        <v>49</v>
      </c>
      <c r="N1273" t="b">
        <v>0</v>
      </c>
      <c r="O1273">
        <v>0</v>
      </c>
      <c r="Q1273">
        <v>0</v>
      </c>
      <c r="R1273" t="b">
        <v>0</v>
      </c>
    </row>
    <row r="1274" spans="1:18">
      <c r="A1274" t="s">
        <v>2775</v>
      </c>
      <c r="B1274" t="s">
        <v>3399</v>
      </c>
      <c r="C1274" t="s">
        <v>3400</v>
      </c>
      <c r="E1274">
        <v>16</v>
      </c>
      <c r="F1274">
        <v>38</v>
      </c>
      <c r="G1274">
        <v>10</v>
      </c>
      <c r="H1274">
        <v>14</v>
      </c>
      <c r="J1274" t="s">
        <v>22</v>
      </c>
      <c r="K1274" t="b">
        <v>1</v>
      </c>
      <c r="L1274">
        <f t="shared" si="19"/>
        <v>26</v>
      </c>
      <c r="M1274">
        <f t="shared" si="19"/>
        <v>52</v>
      </c>
      <c r="N1274" t="b">
        <v>0</v>
      </c>
      <c r="O1274">
        <v>1</v>
      </c>
      <c r="P1274" t="s">
        <v>3401</v>
      </c>
      <c r="Q1274">
        <v>2</v>
      </c>
      <c r="R1274" t="b">
        <v>1</v>
      </c>
    </row>
    <row r="1275" spans="1:18" hidden="1">
      <c r="A1275" t="s">
        <v>133</v>
      </c>
      <c r="B1275" t="s">
        <v>3402</v>
      </c>
      <c r="C1275" t="s">
        <v>3403</v>
      </c>
      <c r="E1275">
        <v>16</v>
      </c>
      <c r="F1275">
        <v>636</v>
      </c>
      <c r="G1275">
        <v>10</v>
      </c>
      <c r="H1275">
        <v>25</v>
      </c>
      <c r="J1275" t="s">
        <v>93</v>
      </c>
      <c r="K1275" t="b">
        <v>1</v>
      </c>
      <c r="L1275">
        <f t="shared" si="19"/>
        <v>26</v>
      </c>
      <c r="M1275">
        <f t="shared" si="19"/>
        <v>661</v>
      </c>
      <c r="N1275" t="b">
        <v>0</v>
      </c>
      <c r="O1275">
        <v>0</v>
      </c>
      <c r="Q1275">
        <v>0</v>
      </c>
      <c r="R1275" t="b">
        <v>0</v>
      </c>
    </row>
    <row r="1276" spans="1:18" hidden="1">
      <c r="A1276" t="s">
        <v>115</v>
      </c>
      <c r="B1276" t="s">
        <v>3404</v>
      </c>
      <c r="C1276" t="s">
        <v>3405</v>
      </c>
      <c r="E1276">
        <v>16</v>
      </c>
      <c r="F1276">
        <v>77</v>
      </c>
      <c r="G1276">
        <v>10</v>
      </c>
      <c r="H1276">
        <v>55</v>
      </c>
      <c r="J1276" t="s">
        <v>93</v>
      </c>
      <c r="K1276" t="b">
        <v>1</v>
      </c>
      <c r="L1276">
        <f t="shared" si="19"/>
        <v>26</v>
      </c>
      <c r="M1276">
        <f t="shared" si="19"/>
        <v>132</v>
      </c>
      <c r="N1276" t="b">
        <v>0</v>
      </c>
      <c r="O1276">
        <v>0</v>
      </c>
      <c r="Q1276">
        <v>0</v>
      </c>
      <c r="R1276" t="b">
        <v>0</v>
      </c>
    </row>
    <row r="1277" spans="1:18">
      <c r="A1277" t="s">
        <v>192</v>
      </c>
      <c r="B1277" t="s">
        <v>3406</v>
      </c>
      <c r="C1277" t="s">
        <v>3407</v>
      </c>
      <c r="E1277">
        <v>26</v>
      </c>
      <c r="F1277">
        <v>0</v>
      </c>
      <c r="G1277">
        <v>0</v>
      </c>
      <c r="H1277">
        <v>0</v>
      </c>
      <c r="J1277" t="s">
        <v>22</v>
      </c>
      <c r="K1277" t="b">
        <v>1</v>
      </c>
      <c r="L1277">
        <f t="shared" si="19"/>
        <v>26</v>
      </c>
      <c r="M1277">
        <f t="shared" si="19"/>
        <v>0</v>
      </c>
      <c r="N1277" t="b">
        <v>0</v>
      </c>
      <c r="O1277">
        <v>1</v>
      </c>
      <c r="P1277" t="s">
        <v>3408</v>
      </c>
      <c r="Q1277">
        <v>2</v>
      </c>
      <c r="R1277" t="b">
        <v>1</v>
      </c>
    </row>
    <row r="1278" spans="1:18" hidden="1">
      <c r="A1278" t="s">
        <v>192</v>
      </c>
      <c r="B1278" t="s">
        <v>3409</v>
      </c>
      <c r="C1278" t="s">
        <v>3410</v>
      </c>
      <c r="E1278">
        <v>26</v>
      </c>
      <c r="F1278">
        <v>0</v>
      </c>
      <c r="G1278">
        <v>0</v>
      </c>
      <c r="H1278">
        <v>0</v>
      </c>
      <c r="J1278" t="s">
        <v>93</v>
      </c>
      <c r="K1278" t="b">
        <v>1</v>
      </c>
      <c r="L1278">
        <f t="shared" si="19"/>
        <v>26</v>
      </c>
      <c r="M1278">
        <f t="shared" si="19"/>
        <v>0</v>
      </c>
      <c r="N1278" t="b">
        <v>0</v>
      </c>
      <c r="O1278">
        <v>0</v>
      </c>
      <c r="Q1278">
        <v>0</v>
      </c>
      <c r="R1278" t="b">
        <v>0</v>
      </c>
    </row>
    <row r="1279" spans="1:18" hidden="1">
      <c r="A1279" t="s">
        <v>192</v>
      </c>
      <c r="B1279" t="s">
        <v>3411</v>
      </c>
      <c r="C1279" t="s">
        <v>3412</v>
      </c>
      <c r="E1279">
        <v>14</v>
      </c>
      <c r="F1279">
        <v>52</v>
      </c>
      <c r="G1279">
        <v>12</v>
      </c>
      <c r="H1279">
        <v>27</v>
      </c>
      <c r="J1279" t="s">
        <v>93</v>
      </c>
      <c r="K1279" t="b">
        <v>1</v>
      </c>
      <c r="L1279">
        <f t="shared" si="19"/>
        <v>26</v>
      </c>
      <c r="M1279">
        <f t="shared" si="19"/>
        <v>79</v>
      </c>
      <c r="N1279" t="b">
        <v>0</v>
      </c>
      <c r="O1279">
        <v>0</v>
      </c>
      <c r="Q1279">
        <v>0</v>
      </c>
      <c r="R1279" t="b">
        <v>0</v>
      </c>
    </row>
    <row r="1280" spans="1:18" hidden="1">
      <c r="A1280" t="s">
        <v>192</v>
      </c>
      <c r="B1280" t="s">
        <v>3413</v>
      </c>
      <c r="C1280" t="s">
        <v>3414</v>
      </c>
      <c r="E1280">
        <v>25</v>
      </c>
      <c r="F1280">
        <v>146</v>
      </c>
      <c r="G1280">
        <v>1</v>
      </c>
      <c r="H1280">
        <v>1</v>
      </c>
      <c r="J1280" t="s">
        <v>93</v>
      </c>
      <c r="K1280" t="b">
        <v>1</v>
      </c>
      <c r="L1280">
        <f t="shared" si="19"/>
        <v>26</v>
      </c>
      <c r="M1280">
        <f t="shared" si="19"/>
        <v>147</v>
      </c>
      <c r="N1280" t="b">
        <v>0</v>
      </c>
      <c r="O1280">
        <v>0.5</v>
      </c>
      <c r="P1280" t="s">
        <v>1350</v>
      </c>
      <c r="Q1280">
        <v>12</v>
      </c>
      <c r="R1280" t="b">
        <v>1</v>
      </c>
    </row>
    <row r="1281" spans="1:18">
      <c r="A1281" t="s">
        <v>1191</v>
      </c>
      <c r="B1281" t="s">
        <v>3415</v>
      </c>
      <c r="C1281" t="s">
        <v>3416</v>
      </c>
      <c r="E1281">
        <v>13</v>
      </c>
      <c r="F1281">
        <v>32</v>
      </c>
      <c r="G1281">
        <v>12</v>
      </c>
      <c r="H1281">
        <v>26</v>
      </c>
      <c r="J1281" t="s">
        <v>22</v>
      </c>
      <c r="K1281" t="b">
        <v>1</v>
      </c>
      <c r="L1281">
        <f t="shared" si="19"/>
        <v>25</v>
      </c>
      <c r="M1281">
        <f t="shared" si="19"/>
        <v>58</v>
      </c>
      <c r="N1281" t="b">
        <v>0</v>
      </c>
      <c r="O1281">
        <v>1</v>
      </c>
      <c r="P1281" t="s">
        <v>3417</v>
      </c>
      <c r="Q1281">
        <v>2</v>
      </c>
      <c r="R1281" t="b">
        <v>1</v>
      </c>
    </row>
    <row r="1282" spans="1:18">
      <c r="A1282" t="s">
        <v>1191</v>
      </c>
      <c r="B1282" t="s">
        <v>3418</v>
      </c>
      <c r="C1282" t="s">
        <v>3419</v>
      </c>
      <c r="E1282">
        <v>13</v>
      </c>
      <c r="F1282">
        <v>32</v>
      </c>
      <c r="G1282">
        <v>12</v>
      </c>
      <c r="H1282">
        <v>26</v>
      </c>
      <c r="J1282" t="s">
        <v>22</v>
      </c>
      <c r="K1282" t="b">
        <v>1</v>
      </c>
      <c r="L1282">
        <f t="shared" si="19"/>
        <v>25</v>
      </c>
      <c r="M1282">
        <f t="shared" si="19"/>
        <v>58</v>
      </c>
      <c r="N1282" t="b">
        <v>0</v>
      </c>
      <c r="O1282">
        <v>1</v>
      </c>
      <c r="P1282" t="s">
        <v>3420</v>
      </c>
      <c r="Q1282">
        <v>2</v>
      </c>
      <c r="R1282" t="b">
        <v>1</v>
      </c>
    </row>
    <row r="1283" spans="1:18">
      <c r="A1283" t="s">
        <v>1191</v>
      </c>
      <c r="B1283" t="s">
        <v>3421</v>
      </c>
      <c r="C1283" t="s">
        <v>3422</v>
      </c>
      <c r="E1283">
        <v>15</v>
      </c>
      <c r="F1283">
        <v>34</v>
      </c>
      <c r="G1283">
        <v>10</v>
      </c>
      <c r="H1283">
        <v>26</v>
      </c>
      <c r="J1283" t="s">
        <v>22</v>
      </c>
      <c r="K1283" t="b">
        <v>1</v>
      </c>
      <c r="L1283">
        <f t="shared" ref="L1283:M1346" si="20">E1283+G1283</f>
        <v>25</v>
      </c>
      <c r="M1283">
        <f t="shared" si="20"/>
        <v>60</v>
      </c>
      <c r="N1283" t="b">
        <v>0</v>
      </c>
      <c r="O1283">
        <v>1</v>
      </c>
      <c r="P1283" t="s">
        <v>3423</v>
      </c>
      <c r="Q1283">
        <v>2</v>
      </c>
      <c r="R1283" t="b">
        <v>1</v>
      </c>
    </row>
    <row r="1284" spans="1:18" hidden="1">
      <c r="A1284" t="s">
        <v>24</v>
      </c>
      <c r="B1284" t="s">
        <v>3424</v>
      </c>
      <c r="C1284" t="s">
        <v>3425</v>
      </c>
      <c r="E1284">
        <v>14</v>
      </c>
      <c r="F1284">
        <v>52</v>
      </c>
      <c r="G1284">
        <v>11</v>
      </c>
      <c r="H1284">
        <v>26</v>
      </c>
      <c r="J1284" t="s">
        <v>93</v>
      </c>
      <c r="K1284" t="b">
        <v>1</v>
      </c>
      <c r="L1284">
        <f t="shared" si="20"/>
        <v>25</v>
      </c>
      <c r="M1284">
        <f t="shared" si="20"/>
        <v>78</v>
      </c>
      <c r="N1284" t="b">
        <v>0</v>
      </c>
      <c r="O1284">
        <v>0</v>
      </c>
      <c r="Q1284">
        <v>0</v>
      </c>
      <c r="R1284" t="b">
        <v>0</v>
      </c>
    </row>
    <row r="1285" spans="1:18" hidden="1">
      <c r="A1285" t="s">
        <v>24</v>
      </c>
      <c r="B1285" t="s">
        <v>3426</v>
      </c>
      <c r="C1285" t="s">
        <v>3427</v>
      </c>
      <c r="E1285">
        <v>17</v>
      </c>
      <c r="F1285">
        <v>78</v>
      </c>
      <c r="G1285">
        <v>8</v>
      </c>
      <c r="H1285">
        <v>19</v>
      </c>
      <c r="J1285" t="s">
        <v>93</v>
      </c>
      <c r="K1285" t="b">
        <v>1</v>
      </c>
      <c r="L1285">
        <f t="shared" si="20"/>
        <v>25</v>
      </c>
      <c r="M1285">
        <f t="shared" si="20"/>
        <v>97</v>
      </c>
      <c r="N1285" t="b">
        <v>0</v>
      </c>
      <c r="O1285">
        <v>0</v>
      </c>
      <c r="Q1285">
        <v>0</v>
      </c>
      <c r="R1285" t="b">
        <v>0</v>
      </c>
    </row>
    <row r="1286" spans="1:18">
      <c r="A1286" t="s">
        <v>24</v>
      </c>
      <c r="B1286" t="s">
        <v>3428</v>
      </c>
      <c r="C1286" t="s">
        <v>3429</v>
      </c>
      <c r="E1286">
        <v>22</v>
      </c>
      <c r="F1286">
        <v>30</v>
      </c>
      <c r="G1286">
        <v>3</v>
      </c>
      <c r="H1286">
        <v>4</v>
      </c>
      <c r="J1286" t="s">
        <v>22</v>
      </c>
      <c r="K1286" t="b">
        <v>1</v>
      </c>
      <c r="L1286">
        <f t="shared" si="20"/>
        <v>25</v>
      </c>
      <c r="M1286">
        <f t="shared" si="20"/>
        <v>34</v>
      </c>
      <c r="N1286" t="b">
        <v>0</v>
      </c>
      <c r="O1286">
        <v>1</v>
      </c>
      <c r="P1286" t="s">
        <v>1883</v>
      </c>
      <c r="Q1286">
        <v>2</v>
      </c>
      <c r="R1286" t="b">
        <v>1</v>
      </c>
    </row>
    <row r="1287" spans="1:18">
      <c r="A1287" t="s">
        <v>205</v>
      </c>
      <c r="B1287" t="s">
        <v>3430</v>
      </c>
      <c r="C1287" t="s">
        <v>3431</v>
      </c>
      <c r="E1287">
        <v>23</v>
      </c>
      <c r="F1287">
        <v>16</v>
      </c>
      <c r="G1287">
        <v>2</v>
      </c>
      <c r="H1287">
        <v>15</v>
      </c>
      <c r="J1287" t="s">
        <v>22</v>
      </c>
      <c r="K1287" t="b">
        <v>1</v>
      </c>
      <c r="L1287">
        <f t="shared" si="20"/>
        <v>25</v>
      </c>
      <c r="M1287">
        <f t="shared" si="20"/>
        <v>31</v>
      </c>
      <c r="N1287" t="b">
        <v>0</v>
      </c>
      <c r="O1287">
        <v>1</v>
      </c>
      <c r="P1287" t="s">
        <v>3432</v>
      </c>
      <c r="Q1287">
        <v>2</v>
      </c>
      <c r="R1287" t="b">
        <v>1</v>
      </c>
    </row>
    <row r="1288" spans="1:18" hidden="1">
      <c r="A1288" t="s">
        <v>59</v>
      </c>
      <c r="B1288" t="s">
        <v>3433</v>
      </c>
      <c r="C1288" t="s">
        <v>3434</v>
      </c>
      <c r="E1288">
        <v>13</v>
      </c>
      <c r="F1288">
        <v>18</v>
      </c>
      <c r="G1288">
        <v>12</v>
      </c>
      <c r="H1288">
        <v>61</v>
      </c>
      <c r="J1288" t="s">
        <v>999</v>
      </c>
      <c r="K1288" t="b">
        <v>1</v>
      </c>
      <c r="L1288">
        <f t="shared" si="20"/>
        <v>25</v>
      </c>
      <c r="M1288">
        <f t="shared" si="20"/>
        <v>79</v>
      </c>
      <c r="N1288" t="b">
        <v>0</v>
      </c>
      <c r="O1288">
        <v>0</v>
      </c>
      <c r="Q1288">
        <v>0</v>
      </c>
      <c r="R1288" t="b">
        <v>0</v>
      </c>
    </row>
    <row r="1289" spans="1:18" hidden="1">
      <c r="A1289" t="s">
        <v>1424</v>
      </c>
      <c r="B1289" t="s">
        <v>3435</v>
      </c>
      <c r="C1289" t="s">
        <v>3436</v>
      </c>
      <c r="E1289">
        <v>12</v>
      </c>
      <c r="F1289">
        <v>9</v>
      </c>
      <c r="G1289">
        <v>13</v>
      </c>
      <c r="H1289">
        <v>111</v>
      </c>
      <c r="J1289" t="s">
        <v>93</v>
      </c>
      <c r="K1289" t="b">
        <v>0</v>
      </c>
      <c r="L1289">
        <f t="shared" si="20"/>
        <v>25</v>
      </c>
      <c r="M1289">
        <f t="shared" si="20"/>
        <v>120</v>
      </c>
      <c r="N1289" t="b">
        <v>0</v>
      </c>
      <c r="O1289">
        <v>0</v>
      </c>
      <c r="Q1289">
        <v>0</v>
      </c>
      <c r="R1289" t="b">
        <v>0</v>
      </c>
    </row>
    <row r="1290" spans="1:18" hidden="1">
      <c r="A1290" t="s">
        <v>2851</v>
      </c>
      <c r="B1290" t="s">
        <v>3437</v>
      </c>
      <c r="C1290" t="s">
        <v>3438</v>
      </c>
      <c r="E1290">
        <v>16</v>
      </c>
      <c r="F1290">
        <v>21</v>
      </c>
      <c r="G1290">
        <v>9</v>
      </c>
      <c r="H1290">
        <v>18</v>
      </c>
      <c r="J1290" t="s">
        <v>93</v>
      </c>
      <c r="K1290" t="b">
        <v>0</v>
      </c>
      <c r="L1290">
        <f t="shared" si="20"/>
        <v>25</v>
      </c>
      <c r="M1290">
        <f t="shared" si="20"/>
        <v>39</v>
      </c>
      <c r="N1290" t="b">
        <v>0</v>
      </c>
      <c r="O1290">
        <v>0</v>
      </c>
      <c r="Q1290">
        <v>0</v>
      </c>
      <c r="R1290" t="b">
        <v>0</v>
      </c>
    </row>
    <row r="1291" spans="1:18" hidden="1">
      <c r="A1291" t="s">
        <v>2851</v>
      </c>
      <c r="B1291" t="s">
        <v>3439</v>
      </c>
      <c r="C1291" t="s">
        <v>3440</v>
      </c>
      <c r="E1291">
        <v>16</v>
      </c>
      <c r="F1291">
        <v>21</v>
      </c>
      <c r="G1291">
        <v>9</v>
      </c>
      <c r="H1291">
        <v>18</v>
      </c>
      <c r="J1291" t="s">
        <v>93</v>
      </c>
      <c r="K1291" t="b">
        <v>0</v>
      </c>
      <c r="L1291">
        <f t="shared" si="20"/>
        <v>25</v>
      </c>
      <c r="M1291">
        <f t="shared" si="20"/>
        <v>39</v>
      </c>
      <c r="N1291" t="b">
        <v>0</v>
      </c>
      <c r="O1291">
        <v>0</v>
      </c>
      <c r="Q1291">
        <v>0</v>
      </c>
      <c r="R1291" t="b">
        <v>0</v>
      </c>
    </row>
    <row r="1292" spans="1:18" hidden="1">
      <c r="A1292" t="s">
        <v>2851</v>
      </c>
      <c r="B1292" t="s">
        <v>3441</v>
      </c>
      <c r="C1292" t="s">
        <v>3442</v>
      </c>
      <c r="E1292">
        <v>16</v>
      </c>
      <c r="F1292">
        <v>21</v>
      </c>
      <c r="G1292">
        <v>9</v>
      </c>
      <c r="H1292">
        <v>18</v>
      </c>
      <c r="J1292" t="s">
        <v>93</v>
      </c>
      <c r="K1292" t="b">
        <v>0</v>
      </c>
      <c r="L1292">
        <f t="shared" si="20"/>
        <v>25</v>
      </c>
      <c r="M1292">
        <f t="shared" si="20"/>
        <v>39</v>
      </c>
      <c r="N1292" t="b">
        <v>0</v>
      </c>
      <c r="O1292">
        <v>0</v>
      </c>
      <c r="Q1292">
        <v>0</v>
      </c>
      <c r="R1292" t="b">
        <v>0</v>
      </c>
    </row>
    <row r="1293" spans="1:18" hidden="1">
      <c r="A1293" t="s">
        <v>2851</v>
      </c>
      <c r="B1293" t="s">
        <v>3443</v>
      </c>
      <c r="C1293" t="s">
        <v>3444</v>
      </c>
      <c r="E1293">
        <v>16</v>
      </c>
      <c r="F1293">
        <v>20</v>
      </c>
      <c r="G1293">
        <v>9</v>
      </c>
      <c r="H1293">
        <v>18</v>
      </c>
      <c r="J1293" t="s">
        <v>93</v>
      </c>
      <c r="K1293" t="b">
        <v>0</v>
      </c>
      <c r="L1293">
        <f t="shared" si="20"/>
        <v>25</v>
      </c>
      <c r="M1293">
        <f t="shared" si="20"/>
        <v>38</v>
      </c>
      <c r="N1293" t="b">
        <v>0</v>
      </c>
      <c r="O1293">
        <v>0</v>
      </c>
      <c r="Q1293">
        <v>0</v>
      </c>
      <c r="R1293" t="b">
        <v>0</v>
      </c>
    </row>
    <row r="1294" spans="1:18">
      <c r="A1294" t="s">
        <v>1143</v>
      </c>
      <c r="B1294" t="s">
        <v>3445</v>
      </c>
      <c r="C1294" t="s">
        <v>3446</v>
      </c>
      <c r="E1294">
        <v>0</v>
      </c>
      <c r="F1294">
        <v>0</v>
      </c>
      <c r="G1294">
        <v>25</v>
      </c>
      <c r="H1294">
        <v>115</v>
      </c>
      <c r="J1294" t="s">
        <v>22</v>
      </c>
      <c r="K1294" t="b">
        <v>1</v>
      </c>
      <c r="L1294">
        <f t="shared" si="20"/>
        <v>25</v>
      </c>
      <c r="M1294">
        <f t="shared" si="20"/>
        <v>115</v>
      </c>
      <c r="N1294" t="b">
        <v>0</v>
      </c>
      <c r="O1294">
        <v>1</v>
      </c>
      <c r="P1294" t="s">
        <v>3447</v>
      </c>
      <c r="Q1294">
        <v>2</v>
      </c>
      <c r="R1294" t="b">
        <v>1</v>
      </c>
    </row>
    <row r="1295" spans="1:18">
      <c r="A1295" t="s">
        <v>1384</v>
      </c>
      <c r="B1295" t="s">
        <v>3448</v>
      </c>
      <c r="C1295" t="s">
        <v>3449</v>
      </c>
      <c r="E1295">
        <v>17</v>
      </c>
      <c r="F1295">
        <v>25</v>
      </c>
      <c r="G1295">
        <v>8</v>
      </c>
      <c r="H1295">
        <v>22</v>
      </c>
      <c r="J1295" t="s">
        <v>22</v>
      </c>
      <c r="K1295" t="b">
        <v>1</v>
      </c>
      <c r="L1295">
        <f t="shared" si="20"/>
        <v>25</v>
      </c>
      <c r="M1295">
        <f t="shared" si="20"/>
        <v>47</v>
      </c>
      <c r="N1295" t="b">
        <v>0</v>
      </c>
      <c r="O1295">
        <v>1</v>
      </c>
      <c r="P1295" t="s">
        <v>3450</v>
      </c>
      <c r="Q1295">
        <v>2</v>
      </c>
      <c r="R1295" t="b">
        <v>1</v>
      </c>
    </row>
    <row r="1296" spans="1:18" hidden="1">
      <c r="A1296" t="s">
        <v>192</v>
      </c>
      <c r="B1296" t="s">
        <v>3451</v>
      </c>
      <c r="C1296" t="s">
        <v>3452</v>
      </c>
      <c r="E1296">
        <v>25</v>
      </c>
      <c r="F1296">
        <v>3</v>
      </c>
      <c r="G1296">
        <v>0</v>
      </c>
      <c r="H1296">
        <v>0</v>
      </c>
      <c r="J1296" t="s">
        <v>93</v>
      </c>
      <c r="K1296" t="b">
        <v>1</v>
      </c>
      <c r="L1296">
        <f t="shared" si="20"/>
        <v>25</v>
      </c>
      <c r="M1296">
        <f t="shared" si="20"/>
        <v>3</v>
      </c>
      <c r="N1296" t="b">
        <v>0</v>
      </c>
      <c r="O1296">
        <v>0</v>
      </c>
      <c r="Q1296">
        <v>0</v>
      </c>
      <c r="R1296" t="b">
        <v>0</v>
      </c>
    </row>
    <row r="1297" spans="1:18">
      <c r="A1297" t="s">
        <v>192</v>
      </c>
      <c r="B1297" t="s">
        <v>3453</v>
      </c>
      <c r="C1297" t="s">
        <v>3454</v>
      </c>
      <c r="E1297">
        <v>20</v>
      </c>
      <c r="F1297">
        <v>380</v>
      </c>
      <c r="G1297">
        <v>5</v>
      </c>
      <c r="H1297">
        <v>235</v>
      </c>
      <c r="J1297" t="s">
        <v>22</v>
      </c>
      <c r="K1297" t="b">
        <v>1</v>
      </c>
      <c r="L1297">
        <f t="shared" si="20"/>
        <v>25</v>
      </c>
      <c r="M1297">
        <f t="shared" si="20"/>
        <v>615</v>
      </c>
      <c r="N1297" t="b">
        <v>0</v>
      </c>
      <c r="O1297">
        <v>1</v>
      </c>
      <c r="P1297" t="s">
        <v>3455</v>
      </c>
      <c r="Q1297">
        <v>2</v>
      </c>
      <c r="R1297" t="b">
        <v>1</v>
      </c>
    </row>
    <row r="1298" spans="1:18">
      <c r="A1298" t="s">
        <v>1191</v>
      </c>
      <c r="B1298" t="s">
        <v>3456</v>
      </c>
      <c r="C1298" t="s">
        <v>3457</v>
      </c>
      <c r="E1298">
        <v>15</v>
      </c>
      <c r="F1298">
        <v>161</v>
      </c>
      <c r="G1298">
        <v>9</v>
      </c>
      <c r="H1298">
        <v>39</v>
      </c>
      <c r="J1298" t="s">
        <v>22</v>
      </c>
      <c r="K1298" t="b">
        <v>1</v>
      </c>
      <c r="L1298">
        <f t="shared" si="20"/>
        <v>24</v>
      </c>
      <c r="M1298">
        <f t="shared" si="20"/>
        <v>200</v>
      </c>
      <c r="N1298" t="b">
        <v>0</v>
      </c>
      <c r="O1298">
        <v>1</v>
      </c>
      <c r="P1298" t="s">
        <v>3458</v>
      </c>
      <c r="Q1298">
        <v>2</v>
      </c>
      <c r="R1298" t="b">
        <v>1</v>
      </c>
    </row>
    <row r="1299" spans="1:18">
      <c r="A1299" t="s">
        <v>1191</v>
      </c>
      <c r="B1299" t="s">
        <v>3459</v>
      </c>
      <c r="C1299" t="s">
        <v>3460</v>
      </c>
      <c r="E1299">
        <v>24</v>
      </c>
      <c r="F1299">
        <v>67</v>
      </c>
      <c r="G1299">
        <v>0</v>
      </c>
      <c r="H1299">
        <v>0</v>
      </c>
      <c r="J1299" t="s">
        <v>22</v>
      </c>
      <c r="K1299" t="b">
        <v>1</v>
      </c>
      <c r="L1299">
        <f t="shared" si="20"/>
        <v>24</v>
      </c>
      <c r="M1299">
        <f t="shared" si="20"/>
        <v>67</v>
      </c>
      <c r="N1299" t="b">
        <v>0</v>
      </c>
      <c r="O1299">
        <v>1</v>
      </c>
      <c r="P1299" t="s">
        <v>3461</v>
      </c>
      <c r="Q1299">
        <v>2</v>
      </c>
      <c r="R1299" t="b">
        <v>1</v>
      </c>
    </row>
    <row r="1300" spans="1:18" hidden="1">
      <c r="A1300" t="s">
        <v>24</v>
      </c>
      <c r="B1300" t="s">
        <v>3462</v>
      </c>
      <c r="C1300" t="s">
        <v>3463</v>
      </c>
      <c r="E1300">
        <v>18</v>
      </c>
      <c r="F1300">
        <v>76</v>
      </c>
      <c r="G1300">
        <v>6</v>
      </c>
      <c r="H1300">
        <v>20</v>
      </c>
      <c r="J1300" t="s">
        <v>93</v>
      </c>
      <c r="K1300" t="b">
        <v>1</v>
      </c>
      <c r="L1300">
        <f t="shared" si="20"/>
        <v>24</v>
      </c>
      <c r="M1300">
        <f t="shared" si="20"/>
        <v>96</v>
      </c>
      <c r="N1300" t="b">
        <v>0</v>
      </c>
      <c r="O1300">
        <v>0</v>
      </c>
      <c r="Q1300">
        <v>0</v>
      </c>
      <c r="R1300" t="b">
        <v>0</v>
      </c>
    </row>
    <row r="1301" spans="1:18">
      <c r="A1301" t="s">
        <v>205</v>
      </c>
      <c r="B1301" t="s">
        <v>3464</v>
      </c>
      <c r="C1301" t="s">
        <v>3465</v>
      </c>
      <c r="E1301">
        <v>18</v>
      </c>
      <c r="F1301">
        <v>174</v>
      </c>
      <c r="G1301">
        <v>6</v>
      </c>
      <c r="H1301">
        <v>15</v>
      </c>
      <c r="J1301" t="s">
        <v>22</v>
      </c>
      <c r="K1301" t="b">
        <v>1</v>
      </c>
      <c r="L1301">
        <f t="shared" si="20"/>
        <v>24</v>
      </c>
      <c r="M1301">
        <f t="shared" si="20"/>
        <v>189</v>
      </c>
      <c r="N1301" t="b">
        <v>0</v>
      </c>
      <c r="O1301">
        <v>1</v>
      </c>
      <c r="P1301" t="s">
        <v>976</v>
      </c>
      <c r="Q1301">
        <v>2</v>
      </c>
      <c r="R1301" t="b">
        <v>1</v>
      </c>
    </row>
    <row r="1302" spans="1:18" hidden="1">
      <c r="A1302" t="s">
        <v>59</v>
      </c>
      <c r="B1302" t="s">
        <v>3466</v>
      </c>
      <c r="C1302" t="s">
        <v>3467</v>
      </c>
      <c r="E1302">
        <v>13</v>
      </c>
      <c r="F1302">
        <v>82</v>
      </c>
      <c r="G1302">
        <v>11</v>
      </c>
      <c r="H1302">
        <v>22</v>
      </c>
      <c r="J1302" t="s">
        <v>93</v>
      </c>
      <c r="K1302" t="b">
        <v>1</v>
      </c>
      <c r="L1302">
        <f t="shared" si="20"/>
        <v>24</v>
      </c>
      <c r="M1302">
        <f t="shared" si="20"/>
        <v>104</v>
      </c>
      <c r="N1302" t="b">
        <v>0</v>
      </c>
      <c r="O1302">
        <v>0</v>
      </c>
      <c r="Q1302">
        <v>0</v>
      </c>
      <c r="R1302" t="b">
        <v>0</v>
      </c>
    </row>
    <row r="1303" spans="1:18">
      <c r="A1303" t="s">
        <v>2833</v>
      </c>
      <c r="B1303" t="s">
        <v>3468</v>
      </c>
      <c r="C1303" t="s">
        <v>3469</v>
      </c>
      <c r="E1303">
        <v>0</v>
      </c>
      <c r="F1303">
        <v>0</v>
      </c>
      <c r="G1303">
        <v>24</v>
      </c>
      <c r="H1303">
        <v>121</v>
      </c>
      <c r="J1303" t="s">
        <v>22</v>
      </c>
      <c r="K1303" t="b">
        <v>1</v>
      </c>
      <c r="L1303">
        <f t="shared" si="20"/>
        <v>24</v>
      </c>
      <c r="M1303">
        <f t="shared" si="20"/>
        <v>121</v>
      </c>
      <c r="N1303" t="b">
        <v>0</v>
      </c>
      <c r="O1303">
        <v>1</v>
      </c>
      <c r="P1303" t="s">
        <v>3470</v>
      </c>
      <c r="Q1303">
        <v>2</v>
      </c>
      <c r="R1303" t="b">
        <v>1</v>
      </c>
    </row>
    <row r="1304" spans="1:18">
      <c r="A1304" t="s">
        <v>2833</v>
      </c>
      <c r="B1304" t="s">
        <v>3471</v>
      </c>
      <c r="C1304" t="s">
        <v>3472</v>
      </c>
      <c r="E1304">
        <v>0</v>
      </c>
      <c r="F1304">
        <v>0</v>
      </c>
      <c r="G1304">
        <v>24</v>
      </c>
      <c r="H1304">
        <v>121</v>
      </c>
      <c r="J1304" t="s">
        <v>22</v>
      </c>
      <c r="K1304" t="b">
        <v>1</v>
      </c>
      <c r="L1304">
        <f t="shared" si="20"/>
        <v>24</v>
      </c>
      <c r="M1304">
        <f t="shared" si="20"/>
        <v>121</v>
      </c>
      <c r="N1304" t="b">
        <v>0</v>
      </c>
      <c r="O1304">
        <v>1</v>
      </c>
      <c r="P1304" t="s">
        <v>3473</v>
      </c>
      <c r="Q1304">
        <v>2</v>
      </c>
      <c r="R1304" t="b">
        <v>1</v>
      </c>
    </row>
    <row r="1305" spans="1:18" hidden="1">
      <c r="A1305" t="s">
        <v>1424</v>
      </c>
      <c r="B1305" t="s">
        <v>3474</v>
      </c>
      <c r="C1305" t="s">
        <v>3475</v>
      </c>
      <c r="E1305">
        <v>12</v>
      </c>
      <c r="F1305">
        <v>9</v>
      </c>
      <c r="G1305">
        <v>12</v>
      </c>
      <c r="H1305">
        <v>110</v>
      </c>
      <c r="J1305" t="s">
        <v>93</v>
      </c>
      <c r="K1305" t="b">
        <v>0</v>
      </c>
      <c r="L1305">
        <f t="shared" si="20"/>
        <v>24</v>
      </c>
      <c r="M1305">
        <f t="shared" si="20"/>
        <v>119</v>
      </c>
      <c r="N1305" t="b">
        <v>0</v>
      </c>
      <c r="O1305">
        <v>0</v>
      </c>
      <c r="Q1305">
        <v>0</v>
      </c>
      <c r="R1305" t="b">
        <v>0</v>
      </c>
    </row>
    <row r="1306" spans="1:18" hidden="1">
      <c r="A1306" t="s">
        <v>37</v>
      </c>
      <c r="B1306" t="s">
        <v>3476</v>
      </c>
      <c r="C1306" t="s">
        <v>3477</v>
      </c>
      <c r="E1306">
        <v>10</v>
      </c>
      <c r="F1306">
        <v>296</v>
      </c>
      <c r="G1306">
        <v>14</v>
      </c>
      <c r="H1306">
        <v>626</v>
      </c>
      <c r="J1306" t="s">
        <v>999</v>
      </c>
      <c r="K1306" t="b">
        <v>1</v>
      </c>
      <c r="L1306">
        <f t="shared" si="20"/>
        <v>24</v>
      </c>
      <c r="M1306">
        <f t="shared" si="20"/>
        <v>922</v>
      </c>
      <c r="N1306" t="b">
        <v>0</v>
      </c>
      <c r="O1306">
        <v>0.5</v>
      </c>
      <c r="P1306" t="s">
        <v>637</v>
      </c>
      <c r="Q1306">
        <v>2</v>
      </c>
      <c r="R1306" t="b">
        <v>1</v>
      </c>
    </row>
    <row r="1307" spans="1:18">
      <c r="A1307" t="s">
        <v>3478</v>
      </c>
      <c r="B1307" t="s">
        <v>3479</v>
      </c>
      <c r="C1307" t="s">
        <v>3480</v>
      </c>
      <c r="E1307">
        <v>15</v>
      </c>
      <c r="F1307">
        <v>32</v>
      </c>
      <c r="G1307">
        <v>9</v>
      </c>
      <c r="H1307">
        <v>14</v>
      </c>
      <c r="J1307" t="s">
        <v>22</v>
      </c>
      <c r="K1307" t="b">
        <v>1</v>
      </c>
      <c r="L1307">
        <f t="shared" si="20"/>
        <v>24</v>
      </c>
      <c r="M1307">
        <f t="shared" si="20"/>
        <v>46</v>
      </c>
      <c r="N1307" t="b">
        <v>0</v>
      </c>
      <c r="O1307">
        <v>1</v>
      </c>
      <c r="P1307" t="s">
        <v>33</v>
      </c>
      <c r="Q1307">
        <v>2</v>
      </c>
      <c r="R1307" t="b">
        <v>1</v>
      </c>
    </row>
    <row r="1308" spans="1:18">
      <c r="A1308" t="s">
        <v>3478</v>
      </c>
      <c r="B1308" t="s">
        <v>3481</v>
      </c>
      <c r="C1308" t="s">
        <v>3482</v>
      </c>
      <c r="E1308">
        <v>15</v>
      </c>
      <c r="F1308">
        <v>32</v>
      </c>
      <c r="G1308">
        <v>9</v>
      </c>
      <c r="H1308">
        <v>14</v>
      </c>
      <c r="J1308" t="s">
        <v>22</v>
      </c>
      <c r="K1308" t="b">
        <v>1</v>
      </c>
      <c r="L1308">
        <f t="shared" si="20"/>
        <v>24</v>
      </c>
      <c r="M1308">
        <f t="shared" si="20"/>
        <v>46</v>
      </c>
      <c r="N1308" t="b">
        <v>0</v>
      </c>
      <c r="O1308">
        <v>1</v>
      </c>
      <c r="P1308" t="s">
        <v>3483</v>
      </c>
      <c r="Q1308">
        <v>2</v>
      </c>
      <c r="R1308" t="b">
        <v>1</v>
      </c>
    </row>
    <row r="1309" spans="1:18" hidden="1">
      <c r="A1309" t="s">
        <v>352</v>
      </c>
      <c r="B1309" t="s">
        <v>3484</v>
      </c>
      <c r="C1309" t="s">
        <v>3485</v>
      </c>
      <c r="D1309" s="7" t="s">
        <v>1529</v>
      </c>
      <c r="E1309">
        <v>21</v>
      </c>
      <c r="F1309">
        <v>94</v>
      </c>
      <c r="G1309">
        <v>3</v>
      </c>
      <c r="H1309">
        <v>4</v>
      </c>
      <c r="I1309" t="s">
        <v>1530</v>
      </c>
      <c r="J1309" t="s">
        <v>93</v>
      </c>
      <c r="K1309" t="b">
        <v>1</v>
      </c>
      <c r="L1309">
        <f t="shared" si="20"/>
        <v>24</v>
      </c>
      <c r="M1309">
        <f t="shared" si="20"/>
        <v>98</v>
      </c>
      <c r="N1309" t="b">
        <v>0</v>
      </c>
      <c r="O1309">
        <v>0</v>
      </c>
      <c r="Q1309">
        <v>0</v>
      </c>
      <c r="R1309" t="b">
        <v>0</v>
      </c>
    </row>
    <row r="1310" spans="1:18">
      <c r="A1310" t="s">
        <v>30</v>
      </c>
      <c r="B1310" t="s">
        <v>3486</v>
      </c>
      <c r="C1310" t="s">
        <v>3487</v>
      </c>
      <c r="E1310">
        <v>18</v>
      </c>
      <c r="F1310">
        <v>75</v>
      </c>
      <c r="G1310">
        <v>6</v>
      </c>
      <c r="H1310">
        <v>12</v>
      </c>
      <c r="J1310" t="s">
        <v>22</v>
      </c>
      <c r="K1310" t="b">
        <v>1</v>
      </c>
      <c r="L1310">
        <f t="shared" si="20"/>
        <v>24</v>
      </c>
      <c r="M1310">
        <f t="shared" si="20"/>
        <v>87</v>
      </c>
      <c r="N1310" t="b">
        <v>0</v>
      </c>
      <c r="O1310">
        <v>1</v>
      </c>
      <c r="P1310" t="s">
        <v>3488</v>
      </c>
      <c r="Q1310">
        <v>2</v>
      </c>
      <c r="R1310" t="b">
        <v>1</v>
      </c>
    </row>
    <row r="1311" spans="1:18">
      <c r="A1311" t="s">
        <v>192</v>
      </c>
      <c r="B1311" t="s">
        <v>3489</v>
      </c>
      <c r="C1311" t="s">
        <v>3490</v>
      </c>
      <c r="E1311">
        <v>20</v>
      </c>
      <c r="F1311">
        <v>0</v>
      </c>
      <c r="G1311">
        <v>4</v>
      </c>
      <c r="H1311">
        <v>4</v>
      </c>
      <c r="J1311" t="s">
        <v>22</v>
      </c>
      <c r="K1311" t="b">
        <v>1</v>
      </c>
      <c r="L1311">
        <f t="shared" si="20"/>
        <v>24</v>
      </c>
      <c r="M1311">
        <f t="shared" si="20"/>
        <v>4</v>
      </c>
      <c r="N1311" t="b">
        <v>0</v>
      </c>
      <c r="O1311">
        <v>1</v>
      </c>
      <c r="P1311" t="s">
        <v>3491</v>
      </c>
      <c r="Q1311">
        <v>2</v>
      </c>
      <c r="R1311" t="b">
        <v>1</v>
      </c>
    </row>
    <row r="1312" spans="1:18">
      <c r="A1312" t="s">
        <v>274</v>
      </c>
      <c r="B1312" t="s">
        <v>3492</v>
      </c>
      <c r="C1312" t="s">
        <v>3493</v>
      </c>
      <c r="E1312">
        <v>19</v>
      </c>
      <c r="F1312">
        <v>2</v>
      </c>
      <c r="G1312">
        <v>4</v>
      </c>
      <c r="H1312">
        <v>4</v>
      </c>
      <c r="J1312" t="s">
        <v>22</v>
      </c>
      <c r="K1312" t="b">
        <v>1</v>
      </c>
      <c r="L1312">
        <f t="shared" si="20"/>
        <v>23</v>
      </c>
      <c r="M1312">
        <f t="shared" si="20"/>
        <v>6</v>
      </c>
      <c r="N1312" t="b">
        <v>0</v>
      </c>
      <c r="O1312">
        <v>1</v>
      </c>
      <c r="P1312" t="s">
        <v>3494</v>
      </c>
      <c r="Q1312">
        <v>1</v>
      </c>
      <c r="R1312" t="b">
        <v>1</v>
      </c>
    </row>
    <row r="1313" spans="1:18">
      <c r="A1313" t="s">
        <v>1191</v>
      </c>
      <c r="B1313" t="s">
        <v>3495</v>
      </c>
      <c r="C1313" t="s">
        <v>3496</v>
      </c>
      <c r="E1313">
        <v>15</v>
      </c>
      <c r="F1313">
        <v>22</v>
      </c>
      <c r="G1313">
        <v>8</v>
      </c>
      <c r="H1313">
        <v>20</v>
      </c>
      <c r="J1313" t="s">
        <v>22</v>
      </c>
      <c r="K1313" t="b">
        <v>1</v>
      </c>
      <c r="L1313">
        <f t="shared" si="20"/>
        <v>23</v>
      </c>
      <c r="M1313">
        <f t="shared" si="20"/>
        <v>42</v>
      </c>
      <c r="N1313" t="b">
        <v>0</v>
      </c>
      <c r="O1313">
        <v>1</v>
      </c>
      <c r="P1313" t="s">
        <v>3497</v>
      </c>
      <c r="Q1313">
        <v>2</v>
      </c>
      <c r="R1313" t="b">
        <v>1</v>
      </c>
    </row>
    <row r="1314" spans="1:18">
      <c r="A1314" t="s">
        <v>1987</v>
      </c>
      <c r="B1314" t="s">
        <v>3498</v>
      </c>
      <c r="C1314" t="s">
        <v>3499</v>
      </c>
      <c r="E1314">
        <v>19</v>
      </c>
      <c r="F1314">
        <v>186</v>
      </c>
      <c r="G1314">
        <v>4</v>
      </c>
      <c r="H1314">
        <v>17</v>
      </c>
      <c r="J1314" t="s">
        <v>22</v>
      </c>
      <c r="K1314" t="b">
        <v>1</v>
      </c>
      <c r="L1314">
        <f t="shared" si="20"/>
        <v>23</v>
      </c>
      <c r="M1314">
        <f t="shared" si="20"/>
        <v>203</v>
      </c>
      <c r="N1314" t="b">
        <v>0</v>
      </c>
      <c r="O1314">
        <v>1</v>
      </c>
      <c r="P1314" t="s">
        <v>3500</v>
      </c>
      <c r="Q1314">
        <v>2</v>
      </c>
      <c r="R1314" t="b">
        <v>1</v>
      </c>
    </row>
    <row r="1315" spans="1:18" hidden="1">
      <c r="A1315" t="s">
        <v>1293</v>
      </c>
      <c r="B1315" t="s">
        <v>3501</v>
      </c>
      <c r="C1315" t="s">
        <v>3502</v>
      </c>
      <c r="E1315">
        <v>12</v>
      </c>
      <c r="F1315">
        <v>1056</v>
      </c>
      <c r="G1315">
        <v>11</v>
      </c>
      <c r="H1315">
        <v>96</v>
      </c>
      <c r="J1315" t="s">
        <v>93</v>
      </c>
      <c r="K1315" t="b">
        <v>0</v>
      </c>
      <c r="L1315">
        <f t="shared" si="20"/>
        <v>23</v>
      </c>
      <c r="M1315">
        <f t="shared" si="20"/>
        <v>1152</v>
      </c>
      <c r="N1315" t="b">
        <v>0</v>
      </c>
      <c r="O1315">
        <v>0</v>
      </c>
      <c r="Q1315">
        <v>0</v>
      </c>
      <c r="R1315" t="b">
        <v>0</v>
      </c>
    </row>
    <row r="1316" spans="1:18" hidden="1">
      <c r="A1316" t="s">
        <v>24</v>
      </c>
      <c r="B1316" t="s">
        <v>3503</v>
      </c>
      <c r="C1316" t="s">
        <v>3504</v>
      </c>
      <c r="E1316">
        <v>17</v>
      </c>
      <c r="F1316">
        <v>39</v>
      </c>
      <c r="G1316">
        <v>6</v>
      </c>
      <c r="H1316">
        <v>10</v>
      </c>
      <c r="J1316" t="s">
        <v>93</v>
      </c>
      <c r="K1316" t="b">
        <v>1</v>
      </c>
      <c r="L1316">
        <f t="shared" si="20"/>
        <v>23</v>
      </c>
      <c r="M1316">
        <f t="shared" si="20"/>
        <v>49</v>
      </c>
      <c r="N1316" t="b">
        <v>0</v>
      </c>
      <c r="O1316">
        <v>0</v>
      </c>
      <c r="Q1316">
        <v>0</v>
      </c>
      <c r="R1316" t="b">
        <v>0</v>
      </c>
    </row>
    <row r="1317" spans="1:18" hidden="1">
      <c r="A1317" t="s">
        <v>24</v>
      </c>
      <c r="B1317" t="s">
        <v>3505</v>
      </c>
      <c r="C1317" t="s">
        <v>3506</v>
      </c>
      <c r="E1317">
        <v>17</v>
      </c>
      <c r="F1317">
        <v>39</v>
      </c>
      <c r="G1317">
        <v>6</v>
      </c>
      <c r="H1317">
        <v>10</v>
      </c>
      <c r="J1317" t="s">
        <v>93</v>
      </c>
      <c r="K1317" t="b">
        <v>1</v>
      </c>
      <c r="L1317">
        <f t="shared" si="20"/>
        <v>23</v>
      </c>
      <c r="M1317">
        <f t="shared" si="20"/>
        <v>49</v>
      </c>
      <c r="N1317" t="b">
        <v>0</v>
      </c>
      <c r="O1317">
        <v>0</v>
      </c>
      <c r="Q1317">
        <v>0</v>
      </c>
      <c r="R1317" t="b">
        <v>0</v>
      </c>
    </row>
    <row r="1318" spans="1:18" hidden="1">
      <c r="A1318" t="s">
        <v>59</v>
      </c>
      <c r="B1318" t="s">
        <v>3507</v>
      </c>
      <c r="C1318" t="s">
        <v>3508</v>
      </c>
      <c r="E1318">
        <v>14</v>
      </c>
      <c r="F1318">
        <v>16</v>
      </c>
      <c r="G1318">
        <v>9</v>
      </c>
      <c r="H1318">
        <v>65</v>
      </c>
      <c r="J1318" t="s">
        <v>93</v>
      </c>
      <c r="K1318" t="b">
        <v>1</v>
      </c>
      <c r="L1318">
        <f t="shared" si="20"/>
        <v>23</v>
      </c>
      <c r="M1318">
        <f t="shared" si="20"/>
        <v>81</v>
      </c>
      <c r="N1318" t="b">
        <v>0</v>
      </c>
      <c r="O1318">
        <v>0</v>
      </c>
      <c r="Q1318">
        <v>0</v>
      </c>
      <c r="R1318" t="b">
        <v>0</v>
      </c>
    </row>
    <row r="1319" spans="1:18" hidden="1">
      <c r="A1319" t="s">
        <v>3308</v>
      </c>
      <c r="B1319" t="s">
        <v>3509</v>
      </c>
      <c r="C1319" t="s">
        <v>3510</v>
      </c>
      <c r="E1319">
        <v>12</v>
      </c>
      <c r="F1319">
        <v>105</v>
      </c>
      <c r="G1319">
        <v>11</v>
      </c>
      <c r="H1319">
        <v>37</v>
      </c>
      <c r="J1319" t="s">
        <v>93</v>
      </c>
      <c r="K1319" t="b">
        <v>0</v>
      </c>
      <c r="L1319">
        <f t="shared" si="20"/>
        <v>23</v>
      </c>
      <c r="M1319">
        <f t="shared" si="20"/>
        <v>142</v>
      </c>
      <c r="N1319" t="b">
        <v>0</v>
      </c>
      <c r="O1319">
        <v>0</v>
      </c>
      <c r="Q1319">
        <v>0</v>
      </c>
      <c r="R1319" t="b">
        <v>0</v>
      </c>
    </row>
    <row r="1320" spans="1:18" hidden="1">
      <c r="A1320" t="s">
        <v>3511</v>
      </c>
      <c r="B1320" t="s">
        <v>3512</v>
      </c>
      <c r="C1320" t="s">
        <v>3513</v>
      </c>
      <c r="E1320">
        <v>17</v>
      </c>
      <c r="F1320">
        <v>41</v>
      </c>
      <c r="G1320">
        <v>6</v>
      </c>
      <c r="H1320">
        <v>17</v>
      </c>
      <c r="J1320" t="s">
        <v>93</v>
      </c>
      <c r="K1320" t="b">
        <v>0</v>
      </c>
      <c r="L1320">
        <f t="shared" si="20"/>
        <v>23</v>
      </c>
      <c r="M1320">
        <f t="shared" si="20"/>
        <v>58</v>
      </c>
      <c r="N1320" t="b">
        <v>0</v>
      </c>
      <c r="O1320">
        <v>0</v>
      </c>
      <c r="Q1320">
        <v>0</v>
      </c>
      <c r="R1320" t="b">
        <v>0</v>
      </c>
    </row>
    <row r="1321" spans="1:18" hidden="1">
      <c r="A1321" t="s">
        <v>3514</v>
      </c>
      <c r="B1321" t="s">
        <v>3515</v>
      </c>
      <c r="C1321" t="s">
        <v>3516</v>
      </c>
      <c r="E1321">
        <v>17</v>
      </c>
      <c r="F1321">
        <v>41</v>
      </c>
      <c r="G1321">
        <v>6</v>
      </c>
      <c r="H1321">
        <v>17</v>
      </c>
      <c r="J1321" t="s">
        <v>93</v>
      </c>
      <c r="K1321" t="b">
        <v>0</v>
      </c>
      <c r="L1321">
        <f t="shared" si="20"/>
        <v>23</v>
      </c>
      <c r="M1321">
        <f t="shared" si="20"/>
        <v>58</v>
      </c>
      <c r="N1321" t="b">
        <v>0</v>
      </c>
      <c r="O1321">
        <v>0</v>
      </c>
      <c r="Q1321">
        <v>0</v>
      </c>
      <c r="R1321" t="b">
        <v>0</v>
      </c>
    </row>
    <row r="1322" spans="1:18" hidden="1">
      <c r="A1322" t="s">
        <v>43</v>
      </c>
      <c r="B1322" t="s">
        <v>3517</v>
      </c>
      <c r="C1322" t="s">
        <v>3518</v>
      </c>
      <c r="E1322">
        <v>8</v>
      </c>
      <c r="F1322">
        <v>144</v>
      </c>
      <c r="G1322">
        <v>15</v>
      </c>
      <c r="H1322">
        <v>530</v>
      </c>
      <c r="J1322" t="s">
        <v>93</v>
      </c>
      <c r="K1322" t="b">
        <v>1</v>
      </c>
      <c r="L1322">
        <f t="shared" si="20"/>
        <v>23</v>
      </c>
      <c r="M1322">
        <f t="shared" si="20"/>
        <v>674</v>
      </c>
      <c r="N1322" t="b">
        <v>0</v>
      </c>
      <c r="O1322">
        <v>0</v>
      </c>
      <c r="Q1322">
        <v>0</v>
      </c>
      <c r="R1322" t="b">
        <v>0</v>
      </c>
    </row>
    <row r="1323" spans="1:18">
      <c r="A1323" t="s">
        <v>1143</v>
      </c>
      <c r="B1323" t="s">
        <v>3519</v>
      </c>
      <c r="C1323" t="s">
        <v>3520</v>
      </c>
      <c r="E1323">
        <v>0</v>
      </c>
      <c r="F1323">
        <v>0</v>
      </c>
      <c r="G1323">
        <v>23</v>
      </c>
      <c r="H1323">
        <v>86</v>
      </c>
      <c r="J1323" t="s">
        <v>22</v>
      </c>
      <c r="K1323" t="b">
        <v>1</v>
      </c>
      <c r="L1323">
        <f t="shared" si="20"/>
        <v>23</v>
      </c>
      <c r="M1323">
        <f t="shared" si="20"/>
        <v>86</v>
      </c>
      <c r="N1323" t="b">
        <v>0</v>
      </c>
      <c r="O1323">
        <v>0</v>
      </c>
      <c r="Q1323">
        <v>0</v>
      </c>
      <c r="R1323" t="b">
        <v>0</v>
      </c>
    </row>
    <row r="1324" spans="1:18">
      <c r="A1324" t="s">
        <v>1143</v>
      </c>
      <c r="B1324" t="s">
        <v>3521</v>
      </c>
      <c r="C1324" t="s">
        <v>3522</v>
      </c>
      <c r="E1324">
        <v>0</v>
      </c>
      <c r="F1324">
        <v>0</v>
      </c>
      <c r="G1324">
        <v>23</v>
      </c>
      <c r="H1324">
        <v>86</v>
      </c>
      <c r="J1324" t="s">
        <v>22</v>
      </c>
      <c r="K1324" t="b">
        <v>1</v>
      </c>
      <c r="L1324">
        <f t="shared" si="20"/>
        <v>23</v>
      </c>
      <c r="M1324">
        <f t="shared" si="20"/>
        <v>86</v>
      </c>
      <c r="N1324" t="b">
        <v>0</v>
      </c>
      <c r="O1324">
        <v>0</v>
      </c>
      <c r="Q1324">
        <v>0</v>
      </c>
      <c r="R1324" t="b">
        <v>0</v>
      </c>
    </row>
    <row r="1325" spans="1:18">
      <c r="A1325" t="s">
        <v>1143</v>
      </c>
      <c r="B1325" t="s">
        <v>3523</v>
      </c>
      <c r="C1325" t="s">
        <v>3524</v>
      </c>
      <c r="E1325">
        <v>0</v>
      </c>
      <c r="F1325">
        <v>0</v>
      </c>
      <c r="G1325">
        <v>23</v>
      </c>
      <c r="H1325">
        <v>86</v>
      </c>
      <c r="J1325" t="s">
        <v>22</v>
      </c>
      <c r="K1325" t="b">
        <v>1</v>
      </c>
      <c r="L1325">
        <f t="shared" si="20"/>
        <v>23</v>
      </c>
      <c r="M1325">
        <f t="shared" si="20"/>
        <v>86</v>
      </c>
      <c r="N1325" t="b">
        <v>0</v>
      </c>
      <c r="O1325">
        <v>1</v>
      </c>
      <c r="P1325" t="s">
        <v>3525</v>
      </c>
      <c r="Q1325">
        <v>2</v>
      </c>
      <c r="R1325" t="b">
        <v>1</v>
      </c>
    </row>
    <row r="1326" spans="1:18">
      <c r="A1326" t="s">
        <v>1334</v>
      </c>
      <c r="B1326" t="s">
        <v>3526</v>
      </c>
      <c r="C1326" t="s">
        <v>3527</v>
      </c>
      <c r="E1326">
        <v>19</v>
      </c>
      <c r="F1326">
        <v>25</v>
      </c>
      <c r="G1326">
        <v>4</v>
      </c>
      <c r="H1326">
        <v>12</v>
      </c>
      <c r="J1326" t="s">
        <v>22</v>
      </c>
      <c r="K1326" t="b">
        <v>1</v>
      </c>
      <c r="L1326">
        <f t="shared" si="20"/>
        <v>23</v>
      </c>
      <c r="M1326">
        <f t="shared" si="20"/>
        <v>37</v>
      </c>
      <c r="N1326" t="b">
        <v>0</v>
      </c>
      <c r="O1326">
        <v>1</v>
      </c>
      <c r="P1326" t="s">
        <v>3528</v>
      </c>
      <c r="Q1326">
        <v>1</v>
      </c>
      <c r="R1326" t="b">
        <v>1</v>
      </c>
    </row>
    <row r="1327" spans="1:18">
      <c r="A1327" t="s">
        <v>1384</v>
      </c>
      <c r="B1327" t="s">
        <v>3529</v>
      </c>
      <c r="C1327" t="s">
        <v>3530</v>
      </c>
      <c r="E1327">
        <v>14</v>
      </c>
      <c r="F1327">
        <v>93</v>
      </c>
      <c r="G1327">
        <v>9</v>
      </c>
      <c r="H1327">
        <v>207</v>
      </c>
      <c r="J1327" t="s">
        <v>22</v>
      </c>
      <c r="K1327" t="b">
        <v>1</v>
      </c>
      <c r="L1327">
        <f t="shared" si="20"/>
        <v>23</v>
      </c>
      <c r="M1327">
        <f t="shared" si="20"/>
        <v>300</v>
      </c>
      <c r="N1327" t="b">
        <v>0</v>
      </c>
      <c r="O1327">
        <v>1</v>
      </c>
      <c r="P1327" t="s">
        <v>3531</v>
      </c>
      <c r="Q1327">
        <v>2</v>
      </c>
      <c r="R1327" t="b">
        <v>1</v>
      </c>
    </row>
    <row r="1328" spans="1:18">
      <c r="A1328" t="s">
        <v>192</v>
      </c>
      <c r="B1328" t="s">
        <v>3532</v>
      </c>
      <c r="C1328" t="s">
        <v>3533</v>
      </c>
      <c r="E1328">
        <v>23</v>
      </c>
      <c r="F1328">
        <v>2</v>
      </c>
      <c r="G1328">
        <v>0</v>
      </c>
      <c r="H1328">
        <v>0</v>
      </c>
      <c r="J1328" t="s">
        <v>22</v>
      </c>
      <c r="K1328" t="b">
        <v>1</v>
      </c>
      <c r="L1328">
        <f t="shared" si="20"/>
        <v>23</v>
      </c>
      <c r="M1328">
        <f t="shared" si="20"/>
        <v>2</v>
      </c>
      <c r="N1328" t="b">
        <v>0</v>
      </c>
      <c r="O1328">
        <v>1</v>
      </c>
      <c r="P1328" t="s">
        <v>3534</v>
      </c>
      <c r="Q1328">
        <v>2</v>
      </c>
      <c r="R1328" t="b">
        <v>1</v>
      </c>
    </row>
    <row r="1329" spans="1:18">
      <c r="A1329" t="s">
        <v>192</v>
      </c>
      <c r="B1329" t="s">
        <v>3535</v>
      </c>
      <c r="C1329" t="s">
        <v>3536</v>
      </c>
      <c r="E1329">
        <v>19</v>
      </c>
      <c r="F1329">
        <v>1</v>
      </c>
      <c r="G1329">
        <v>4</v>
      </c>
      <c r="H1329">
        <v>4</v>
      </c>
      <c r="J1329" t="s">
        <v>22</v>
      </c>
      <c r="K1329" t="b">
        <v>1</v>
      </c>
      <c r="L1329">
        <f t="shared" si="20"/>
        <v>23</v>
      </c>
      <c r="M1329">
        <f t="shared" si="20"/>
        <v>5</v>
      </c>
      <c r="N1329" t="b">
        <v>0</v>
      </c>
      <c r="O1329">
        <v>1</v>
      </c>
      <c r="P1329" t="s">
        <v>3537</v>
      </c>
      <c r="Q1329">
        <v>2</v>
      </c>
      <c r="R1329" t="b">
        <v>1</v>
      </c>
    </row>
    <row r="1330" spans="1:18">
      <c r="A1330" t="s">
        <v>1191</v>
      </c>
      <c r="B1330" t="s">
        <v>3538</v>
      </c>
      <c r="C1330" t="s">
        <v>3539</v>
      </c>
      <c r="E1330">
        <v>14</v>
      </c>
      <c r="F1330">
        <v>25</v>
      </c>
      <c r="G1330">
        <v>8</v>
      </c>
      <c r="H1330">
        <v>18</v>
      </c>
      <c r="J1330" t="s">
        <v>22</v>
      </c>
      <c r="K1330" t="b">
        <v>1</v>
      </c>
      <c r="L1330">
        <f t="shared" si="20"/>
        <v>22</v>
      </c>
      <c r="M1330">
        <f t="shared" si="20"/>
        <v>43</v>
      </c>
      <c r="N1330" t="b">
        <v>0</v>
      </c>
      <c r="O1330">
        <v>1</v>
      </c>
      <c r="P1330" t="s">
        <v>3540</v>
      </c>
      <c r="Q1330">
        <v>2</v>
      </c>
      <c r="R1330" t="b">
        <v>1</v>
      </c>
    </row>
    <row r="1331" spans="1:18">
      <c r="A1331" t="s">
        <v>857</v>
      </c>
      <c r="B1331" t="s">
        <v>3541</v>
      </c>
      <c r="C1331" t="s">
        <v>3542</v>
      </c>
      <c r="E1331">
        <v>11</v>
      </c>
      <c r="F1331">
        <v>27</v>
      </c>
      <c r="G1331">
        <v>11</v>
      </c>
      <c r="H1331">
        <v>14</v>
      </c>
      <c r="J1331" t="s">
        <v>22</v>
      </c>
      <c r="K1331" t="b">
        <v>1</v>
      </c>
      <c r="L1331">
        <f t="shared" si="20"/>
        <v>22</v>
      </c>
      <c r="M1331">
        <f t="shared" si="20"/>
        <v>41</v>
      </c>
      <c r="N1331" t="b">
        <v>0</v>
      </c>
      <c r="O1331">
        <v>1</v>
      </c>
      <c r="P1331" t="s">
        <v>3543</v>
      </c>
      <c r="Q1331">
        <v>2</v>
      </c>
      <c r="R1331" t="b">
        <v>1</v>
      </c>
    </row>
    <row r="1332" spans="1:18">
      <c r="A1332" t="s">
        <v>24</v>
      </c>
      <c r="B1332" t="s">
        <v>3544</v>
      </c>
      <c r="C1332" t="s">
        <v>3545</v>
      </c>
      <c r="E1332">
        <v>16</v>
      </c>
      <c r="F1332">
        <v>100</v>
      </c>
      <c r="G1332">
        <v>6</v>
      </c>
      <c r="H1332">
        <v>22</v>
      </c>
      <c r="J1332" t="s">
        <v>22</v>
      </c>
      <c r="K1332" t="b">
        <v>1</v>
      </c>
      <c r="L1332">
        <f t="shared" si="20"/>
        <v>22</v>
      </c>
      <c r="M1332">
        <f t="shared" si="20"/>
        <v>122</v>
      </c>
      <c r="N1332" t="b">
        <v>0</v>
      </c>
      <c r="O1332">
        <v>1</v>
      </c>
      <c r="P1332" t="s">
        <v>3546</v>
      </c>
      <c r="Q1332">
        <v>2</v>
      </c>
      <c r="R1332" t="b">
        <v>1</v>
      </c>
    </row>
    <row r="1333" spans="1:18">
      <c r="A1333" t="s">
        <v>24</v>
      </c>
      <c r="B1333" t="s">
        <v>3547</v>
      </c>
      <c r="C1333" t="s">
        <v>3548</v>
      </c>
      <c r="E1333">
        <v>13</v>
      </c>
      <c r="F1333">
        <v>32</v>
      </c>
      <c r="G1333">
        <v>9</v>
      </c>
      <c r="H1333">
        <v>29</v>
      </c>
      <c r="J1333" t="s">
        <v>22</v>
      </c>
      <c r="K1333" t="b">
        <v>1</v>
      </c>
      <c r="L1333">
        <f t="shared" si="20"/>
        <v>22</v>
      </c>
      <c r="M1333">
        <f t="shared" si="20"/>
        <v>61</v>
      </c>
      <c r="N1333" t="b">
        <v>0</v>
      </c>
      <c r="O1333">
        <v>1</v>
      </c>
      <c r="P1333" t="s">
        <v>3549</v>
      </c>
      <c r="Q1333">
        <v>2</v>
      </c>
      <c r="R1333" t="b">
        <v>1</v>
      </c>
    </row>
    <row r="1334" spans="1:18" hidden="1">
      <c r="A1334" t="s">
        <v>1304</v>
      </c>
      <c r="B1334" t="s">
        <v>3550</v>
      </c>
      <c r="C1334" t="s">
        <v>3551</v>
      </c>
      <c r="E1334">
        <v>15</v>
      </c>
      <c r="F1334">
        <v>415</v>
      </c>
      <c r="G1334">
        <v>7</v>
      </c>
      <c r="H1334">
        <v>36</v>
      </c>
      <c r="J1334" t="s">
        <v>93</v>
      </c>
      <c r="K1334" t="b">
        <v>0</v>
      </c>
      <c r="L1334">
        <f t="shared" si="20"/>
        <v>22</v>
      </c>
      <c r="M1334">
        <f t="shared" si="20"/>
        <v>451</v>
      </c>
      <c r="N1334" t="b">
        <v>0</v>
      </c>
      <c r="O1334">
        <v>0</v>
      </c>
      <c r="Q1334">
        <v>0</v>
      </c>
      <c r="R1334" t="b">
        <v>0</v>
      </c>
    </row>
    <row r="1335" spans="1:18" hidden="1">
      <c r="A1335" t="s">
        <v>59</v>
      </c>
      <c r="B1335" t="s">
        <v>3552</v>
      </c>
      <c r="C1335" t="s">
        <v>3553</v>
      </c>
      <c r="E1335">
        <v>16</v>
      </c>
      <c r="F1335">
        <v>35</v>
      </c>
      <c r="G1335">
        <v>6</v>
      </c>
      <c r="H1335">
        <v>14</v>
      </c>
      <c r="J1335" t="s">
        <v>93</v>
      </c>
      <c r="K1335" t="b">
        <v>1</v>
      </c>
      <c r="L1335">
        <f t="shared" si="20"/>
        <v>22</v>
      </c>
      <c r="M1335">
        <f t="shared" si="20"/>
        <v>49</v>
      </c>
      <c r="N1335" t="b">
        <v>0</v>
      </c>
      <c r="O1335">
        <v>0</v>
      </c>
      <c r="Q1335">
        <v>0</v>
      </c>
      <c r="R1335" t="b">
        <v>0</v>
      </c>
    </row>
    <row r="1336" spans="1:18" hidden="1">
      <c r="A1336" t="s">
        <v>59</v>
      </c>
      <c r="B1336" t="s">
        <v>3554</v>
      </c>
      <c r="C1336" t="s">
        <v>3555</v>
      </c>
      <c r="E1336">
        <v>11</v>
      </c>
      <c r="F1336">
        <v>36</v>
      </c>
      <c r="G1336">
        <v>11</v>
      </c>
      <c r="H1336">
        <v>29</v>
      </c>
      <c r="J1336" t="s">
        <v>93</v>
      </c>
      <c r="K1336" t="b">
        <v>1</v>
      </c>
      <c r="L1336">
        <f t="shared" si="20"/>
        <v>22</v>
      </c>
      <c r="M1336">
        <f t="shared" si="20"/>
        <v>65</v>
      </c>
      <c r="N1336" t="b">
        <v>0</v>
      </c>
      <c r="O1336">
        <v>0</v>
      </c>
      <c r="Q1336">
        <v>0</v>
      </c>
      <c r="R1336" t="b">
        <v>0</v>
      </c>
    </row>
    <row r="1337" spans="1:18" hidden="1">
      <c r="A1337" t="s">
        <v>1847</v>
      </c>
      <c r="B1337" t="s">
        <v>3556</v>
      </c>
      <c r="C1337" t="s">
        <v>3557</v>
      </c>
      <c r="E1337">
        <v>15</v>
      </c>
      <c r="F1337">
        <v>78</v>
      </c>
      <c r="G1337">
        <v>7</v>
      </c>
      <c r="H1337">
        <v>93</v>
      </c>
      <c r="J1337" t="s">
        <v>93</v>
      </c>
      <c r="K1337" t="b">
        <v>0</v>
      </c>
      <c r="L1337">
        <f t="shared" si="20"/>
        <v>22</v>
      </c>
      <c r="M1337">
        <f t="shared" si="20"/>
        <v>171</v>
      </c>
      <c r="N1337" t="b">
        <v>0</v>
      </c>
      <c r="O1337">
        <v>0</v>
      </c>
      <c r="Q1337">
        <v>0</v>
      </c>
      <c r="R1337" t="b">
        <v>0</v>
      </c>
    </row>
    <row r="1338" spans="1:18" hidden="1">
      <c r="A1338" t="s">
        <v>2414</v>
      </c>
      <c r="B1338" t="s">
        <v>3558</v>
      </c>
      <c r="C1338" t="s">
        <v>3559</v>
      </c>
      <c r="E1338">
        <v>14</v>
      </c>
      <c r="F1338">
        <v>21</v>
      </c>
      <c r="G1338">
        <v>8</v>
      </c>
      <c r="H1338">
        <v>21</v>
      </c>
      <c r="J1338" t="s">
        <v>93</v>
      </c>
      <c r="K1338" t="b">
        <v>0</v>
      </c>
      <c r="L1338">
        <f t="shared" si="20"/>
        <v>22</v>
      </c>
      <c r="M1338">
        <f t="shared" si="20"/>
        <v>42</v>
      </c>
      <c r="N1338" t="b">
        <v>0</v>
      </c>
      <c r="O1338">
        <v>0</v>
      </c>
      <c r="Q1338">
        <v>0</v>
      </c>
      <c r="R1338" t="b">
        <v>0</v>
      </c>
    </row>
    <row r="1339" spans="1:18" hidden="1">
      <c r="A1339" t="s">
        <v>46</v>
      </c>
      <c r="B1339" t="s">
        <v>3560</v>
      </c>
      <c r="C1339" t="s">
        <v>3561</v>
      </c>
      <c r="E1339">
        <v>6</v>
      </c>
      <c r="F1339">
        <v>11</v>
      </c>
      <c r="G1339">
        <v>16</v>
      </c>
      <c r="H1339">
        <v>135</v>
      </c>
      <c r="J1339" t="s">
        <v>93</v>
      </c>
      <c r="K1339" t="b">
        <v>1</v>
      </c>
      <c r="L1339">
        <f t="shared" si="20"/>
        <v>22</v>
      </c>
      <c r="M1339">
        <f t="shared" si="20"/>
        <v>146</v>
      </c>
      <c r="N1339" t="b">
        <v>0</v>
      </c>
      <c r="O1339">
        <v>0</v>
      </c>
      <c r="Q1339">
        <v>0</v>
      </c>
      <c r="R1339" t="b">
        <v>0</v>
      </c>
    </row>
    <row r="1340" spans="1:18">
      <c r="A1340" t="s">
        <v>1143</v>
      </c>
      <c r="B1340" t="s">
        <v>3562</v>
      </c>
      <c r="C1340" t="s">
        <v>3563</v>
      </c>
      <c r="E1340">
        <v>0</v>
      </c>
      <c r="F1340">
        <v>0</v>
      </c>
      <c r="G1340">
        <v>22</v>
      </c>
      <c r="H1340">
        <v>119</v>
      </c>
      <c r="J1340" t="s">
        <v>22</v>
      </c>
      <c r="K1340" t="b">
        <v>1</v>
      </c>
      <c r="L1340">
        <f t="shared" si="20"/>
        <v>22</v>
      </c>
      <c r="M1340">
        <f t="shared" si="20"/>
        <v>119</v>
      </c>
      <c r="N1340" t="b">
        <v>0</v>
      </c>
      <c r="O1340">
        <v>1</v>
      </c>
      <c r="P1340" t="s">
        <v>3564</v>
      </c>
      <c r="Q1340">
        <v>2</v>
      </c>
      <c r="R1340" t="b">
        <v>1</v>
      </c>
    </row>
    <row r="1341" spans="1:18">
      <c r="A1341" t="s">
        <v>378</v>
      </c>
      <c r="B1341" t="s">
        <v>3565</v>
      </c>
      <c r="C1341" t="s">
        <v>3566</v>
      </c>
      <c r="E1341">
        <v>15</v>
      </c>
      <c r="F1341">
        <v>0</v>
      </c>
      <c r="G1341">
        <v>7</v>
      </c>
      <c r="H1341">
        <v>7</v>
      </c>
      <c r="J1341" t="s">
        <v>22</v>
      </c>
      <c r="K1341" t="b">
        <v>1</v>
      </c>
      <c r="L1341">
        <f t="shared" si="20"/>
        <v>22</v>
      </c>
      <c r="M1341">
        <f t="shared" si="20"/>
        <v>7</v>
      </c>
      <c r="N1341" t="b">
        <v>0</v>
      </c>
      <c r="O1341">
        <v>1</v>
      </c>
      <c r="P1341" t="s">
        <v>3567</v>
      </c>
      <c r="Q1341">
        <v>2</v>
      </c>
      <c r="R1341" t="b">
        <v>1</v>
      </c>
    </row>
    <row r="1342" spans="1:18">
      <c r="A1342" t="s">
        <v>192</v>
      </c>
      <c r="B1342" t="s">
        <v>3568</v>
      </c>
      <c r="C1342" t="s">
        <v>3569</v>
      </c>
      <c r="E1342">
        <v>17</v>
      </c>
      <c r="F1342">
        <v>17</v>
      </c>
      <c r="G1342">
        <v>5</v>
      </c>
      <c r="H1342">
        <v>6</v>
      </c>
      <c r="J1342" t="s">
        <v>22</v>
      </c>
      <c r="K1342" t="b">
        <v>1</v>
      </c>
      <c r="L1342">
        <f t="shared" si="20"/>
        <v>22</v>
      </c>
      <c r="M1342">
        <f t="shared" si="20"/>
        <v>23</v>
      </c>
      <c r="N1342" t="b">
        <v>0</v>
      </c>
      <c r="O1342">
        <v>1</v>
      </c>
      <c r="P1342" t="s">
        <v>3570</v>
      </c>
      <c r="Q1342">
        <v>2</v>
      </c>
      <c r="R1342" t="b">
        <v>1</v>
      </c>
    </row>
    <row r="1343" spans="1:18">
      <c r="A1343" t="s">
        <v>1782</v>
      </c>
      <c r="B1343" t="s">
        <v>3571</v>
      </c>
      <c r="C1343" t="s">
        <v>3572</v>
      </c>
      <c r="E1343">
        <v>8</v>
      </c>
      <c r="F1343">
        <v>15</v>
      </c>
      <c r="G1343">
        <v>14</v>
      </c>
      <c r="H1343">
        <v>29</v>
      </c>
      <c r="J1343" t="s">
        <v>22</v>
      </c>
      <c r="K1343" t="b">
        <v>1</v>
      </c>
      <c r="L1343">
        <f t="shared" si="20"/>
        <v>22</v>
      </c>
      <c r="M1343">
        <f t="shared" si="20"/>
        <v>44</v>
      </c>
      <c r="N1343" t="b">
        <v>0</v>
      </c>
      <c r="O1343">
        <v>1</v>
      </c>
      <c r="P1343" t="s">
        <v>3573</v>
      </c>
      <c r="Q1343">
        <v>2</v>
      </c>
      <c r="R1343" t="b">
        <v>1</v>
      </c>
    </row>
    <row r="1344" spans="1:18">
      <c r="A1344" t="s">
        <v>1191</v>
      </c>
      <c r="B1344" t="s">
        <v>3574</v>
      </c>
      <c r="C1344" t="s">
        <v>3575</v>
      </c>
      <c r="E1344">
        <v>14</v>
      </c>
      <c r="F1344">
        <v>18</v>
      </c>
      <c r="G1344">
        <v>7</v>
      </c>
      <c r="H1344">
        <v>71</v>
      </c>
      <c r="J1344" t="s">
        <v>22</v>
      </c>
      <c r="K1344" t="b">
        <v>1</v>
      </c>
      <c r="L1344">
        <f t="shared" si="20"/>
        <v>21</v>
      </c>
      <c r="M1344">
        <f t="shared" si="20"/>
        <v>89</v>
      </c>
      <c r="N1344" t="b">
        <v>0</v>
      </c>
      <c r="O1344">
        <v>1</v>
      </c>
      <c r="P1344" t="s">
        <v>3576</v>
      </c>
      <c r="Q1344">
        <v>2</v>
      </c>
      <c r="R1344" t="b">
        <v>1</v>
      </c>
    </row>
    <row r="1345" spans="1:18" hidden="1">
      <c r="A1345" t="s">
        <v>1191</v>
      </c>
      <c r="B1345" t="s">
        <v>3577</v>
      </c>
      <c r="C1345" t="s">
        <v>3578</v>
      </c>
      <c r="E1345">
        <v>10</v>
      </c>
      <c r="F1345">
        <v>19</v>
      </c>
      <c r="G1345">
        <v>11</v>
      </c>
      <c r="H1345">
        <v>34</v>
      </c>
      <c r="J1345" t="s">
        <v>93</v>
      </c>
      <c r="K1345" t="b">
        <v>1</v>
      </c>
      <c r="L1345">
        <f t="shared" si="20"/>
        <v>21</v>
      </c>
      <c r="M1345">
        <f t="shared" si="20"/>
        <v>53</v>
      </c>
      <c r="N1345" t="b">
        <v>0</v>
      </c>
      <c r="O1345">
        <v>0</v>
      </c>
      <c r="Q1345">
        <v>0</v>
      </c>
      <c r="R1345" t="b">
        <v>0</v>
      </c>
    </row>
    <row r="1346" spans="1:18" hidden="1">
      <c r="A1346" t="s">
        <v>24</v>
      </c>
      <c r="B1346" t="s">
        <v>3579</v>
      </c>
      <c r="C1346" t="s">
        <v>3580</v>
      </c>
      <c r="E1346">
        <v>12</v>
      </c>
      <c r="F1346">
        <v>39</v>
      </c>
      <c r="G1346">
        <v>9</v>
      </c>
      <c r="H1346">
        <v>22</v>
      </c>
      <c r="J1346" t="s">
        <v>93</v>
      </c>
      <c r="K1346" t="b">
        <v>1</v>
      </c>
      <c r="L1346">
        <f t="shared" si="20"/>
        <v>21</v>
      </c>
      <c r="M1346">
        <f t="shared" si="20"/>
        <v>61</v>
      </c>
      <c r="N1346" t="b">
        <v>0</v>
      </c>
      <c r="O1346">
        <v>0</v>
      </c>
      <c r="Q1346">
        <v>0</v>
      </c>
      <c r="R1346" t="b">
        <v>0</v>
      </c>
    </row>
    <row r="1347" spans="1:18">
      <c r="A1347" t="s">
        <v>24</v>
      </c>
      <c r="B1347" t="s">
        <v>3581</v>
      </c>
      <c r="C1347" t="s">
        <v>3582</v>
      </c>
      <c r="E1347">
        <v>14</v>
      </c>
      <c r="F1347">
        <v>54</v>
      </c>
      <c r="G1347">
        <v>7</v>
      </c>
      <c r="H1347">
        <v>108</v>
      </c>
      <c r="J1347" t="s">
        <v>22</v>
      </c>
      <c r="K1347" t="b">
        <v>1</v>
      </c>
      <c r="L1347">
        <f t="shared" ref="L1347:M1410" si="21">E1347+G1347</f>
        <v>21</v>
      </c>
      <c r="M1347">
        <f t="shared" si="21"/>
        <v>162</v>
      </c>
      <c r="N1347" t="b">
        <v>0</v>
      </c>
      <c r="O1347">
        <v>1</v>
      </c>
      <c r="P1347" t="s">
        <v>3583</v>
      </c>
      <c r="Q1347">
        <v>2</v>
      </c>
      <c r="R1347" t="b">
        <v>1</v>
      </c>
    </row>
    <row r="1348" spans="1:18">
      <c r="A1348" t="s">
        <v>205</v>
      </c>
      <c r="B1348" t="s">
        <v>3584</v>
      </c>
      <c r="C1348" t="s">
        <v>3585</v>
      </c>
      <c r="E1348">
        <v>19</v>
      </c>
      <c r="F1348">
        <v>9</v>
      </c>
      <c r="G1348">
        <v>2</v>
      </c>
      <c r="H1348">
        <v>15</v>
      </c>
      <c r="J1348" t="s">
        <v>22</v>
      </c>
      <c r="K1348" t="b">
        <v>1</v>
      </c>
      <c r="L1348">
        <f t="shared" si="21"/>
        <v>21</v>
      </c>
      <c r="M1348">
        <f t="shared" si="21"/>
        <v>24</v>
      </c>
      <c r="N1348" t="b">
        <v>0</v>
      </c>
      <c r="O1348">
        <v>1</v>
      </c>
      <c r="P1348" t="s">
        <v>3586</v>
      </c>
      <c r="Q1348">
        <v>2</v>
      </c>
      <c r="R1348" t="b">
        <v>1</v>
      </c>
    </row>
    <row r="1349" spans="1:18" hidden="1">
      <c r="A1349" t="s">
        <v>3105</v>
      </c>
      <c r="B1349" t="s">
        <v>3587</v>
      </c>
      <c r="C1349" t="s">
        <v>3588</v>
      </c>
      <c r="E1349">
        <v>14</v>
      </c>
      <c r="F1349">
        <v>110</v>
      </c>
      <c r="G1349">
        <v>7</v>
      </c>
      <c r="H1349">
        <v>25</v>
      </c>
      <c r="J1349" t="s">
        <v>93</v>
      </c>
      <c r="K1349" t="b">
        <v>1</v>
      </c>
      <c r="L1349">
        <f t="shared" si="21"/>
        <v>21</v>
      </c>
      <c r="M1349">
        <f t="shared" si="21"/>
        <v>135</v>
      </c>
      <c r="N1349" t="b">
        <v>0</v>
      </c>
      <c r="O1349">
        <v>0</v>
      </c>
      <c r="Q1349">
        <v>0</v>
      </c>
      <c r="R1349" t="b">
        <v>0</v>
      </c>
    </row>
    <row r="1350" spans="1:18" hidden="1">
      <c r="A1350" t="s">
        <v>1227</v>
      </c>
      <c r="B1350" t="s">
        <v>3589</v>
      </c>
      <c r="C1350" t="s">
        <v>3590</v>
      </c>
      <c r="E1350">
        <v>0</v>
      </c>
      <c r="F1350">
        <v>0</v>
      </c>
      <c r="G1350">
        <v>21</v>
      </c>
      <c r="H1350">
        <v>253</v>
      </c>
      <c r="J1350" t="s">
        <v>93</v>
      </c>
      <c r="K1350" t="b">
        <v>0</v>
      </c>
      <c r="L1350">
        <f t="shared" si="21"/>
        <v>21</v>
      </c>
      <c r="M1350">
        <f t="shared" si="21"/>
        <v>253</v>
      </c>
      <c r="N1350" t="b">
        <v>0</v>
      </c>
      <c r="O1350">
        <v>0</v>
      </c>
      <c r="Q1350">
        <v>0</v>
      </c>
      <c r="R1350" t="b">
        <v>0</v>
      </c>
    </row>
    <row r="1351" spans="1:18" hidden="1">
      <c r="A1351" t="s">
        <v>1424</v>
      </c>
      <c r="B1351" t="s">
        <v>3591</v>
      </c>
      <c r="C1351" t="s">
        <v>3592</v>
      </c>
      <c r="E1351">
        <v>11</v>
      </c>
      <c r="F1351">
        <v>9</v>
      </c>
      <c r="G1351">
        <v>10</v>
      </c>
      <c r="H1351">
        <v>106</v>
      </c>
      <c r="J1351" t="s">
        <v>93</v>
      </c>
      <c r="K1351" t="b">
        <v>0</v>
      </c>
      <c r="L1351">
        <f t="shared" si="21"/>
        <v>21</v>
      </c>
      <c r="M1351">
        <f t="shared" si="21"/>
        <v>115</v>
      </c>
      <c r="N1351" t="b">
        <v>0</v>
      </c>
      <c r="O1351">
        <v>0</v>
      </c>
      <c r="Q1351">
        <v>0</v>
      </c>
      <c r="R1351" t="b">
        <v>0</v>
      </c>
    </row>
    <row r="1352" spans="1:18" hidden="1">
      <c r="A1352" t="s">
        <v>361</v>
      </c>
      <c r="B1352" t="s">
        <v>3593</v>
      </c>
      <c r="C1352" t="s">
        <v>3594</v>
      </c>
      <c r="D1352" t="s">
        <v>519</v>
      </c>
      <c r="E1352">
        <v>17</v>
      </c>
      <c r="F1352">
        <v>103</v>
      </c>
      <c r="G1352">
        <v>4</v>
      </c>
      <c r="H1352">
        <v>6</v>
      </c>
      <c r="I1352" t="s">
        <v>520</v>
      </c>
      <c r="J1352" t="s">
        <v>93</v>
      </c>
      <c r="K1352" t="b">
        <v>0</v>
      </c>
      <c r="L1352">
        <f t="shared" si="21"/>
        <v>21</v>
      </c>
      <c r="M1352">
        <f t="shared" si="21"/>
        <v>109</v>
      </c>
      <c r="N1352" t="b">
        <v>0</v>
      </c>
      <c r="O1352">
        <v>0</v>
      </c>
      <c r="Q1352">
        <v>0</v>
      </c>
      <c r="R1352" t="b">
        <v>0</v>
      </c>
    </row>
    <row r="1353" spans="1:18" hidden="1">
      <c r="A1353" t="s">
        <v>3514</v>
      </c>
      <c r="B1353" t="s">
        <v>3595</v>
      </c>
      <c r="C1353" t="s">
        <v>3596</v>
      </c>
      <c r="E1353">
        <v>15</v>
      </c>
      <c r="F1353">
        <v>38</v>
      </c>
      <c r="G1353">
        <v>6</v>
      </c>
      <c r="H1353">
        <v>17</v>
      </c>
      <c r="J1353" t="s">
        <v>93</v>
      </c>
      <c r="K1353" t="b">
        <v>0</v>
      </c>
      <c r="L1353">
        <f t="shared" si="21"/>
        <v>21</v>
      </c>
      <c r="M1353">
        <f t="shared" si="21"/>
        <v>55</v>
      </c>
      <c r="N1353" t="b">
        <v>0</v>
      </c>
      <c r="O1353">
        <v>0</v>
      </c>
      <c r="Q1353">
        <v>0</v>
      </c>
      <c r="R1353" t="b">
        <v>0</v>
      </c>
    </row>
    <row r="1354" spans="1:18" hidden="1">
      <c r="A1354" t="s">
        <v>3514</v>
      </c>
      <c r="B1354" t="s">
        <v>3597</v>
      </c>
      <c r="C1354" t="s">
        <v>3598</v>
      </c>
      <c r="E1354">
        <v>15</v>
      </c>
      <c r="F1354">
        <v>38</v>
      </c>
      <c r="G1354">
        <v>6</v>
      </c>
      <c r="H1354">
        <v>17</v>
      </c>
      <c r="J1354" t="s">
        <v>93</v>
      </c>
      <c r="K1354" t="b">
        <v>0</v>
      </c>
      <c r="L1354">
        <f t="shared" si="21"/>
        <v>21</v>
      </c>
      <c r="M1354">
        <f t="shared" si="21"/>
        <v>55</v>
      </c>
      <c r="N1354" t="b">
        <v>0</v>
      </c>
      <c r="O1354">
        <v>0</v>
      </c>
      <c r="Q1354">
        <v>0</v>
      </c>
      <c r="R1354" t="b">
        <v>0</v>
      </c>
    </row>
    <row r="1355" spans="1:18" hidden="1">
      <c r="A1355" t="s">
        <v>1304</v>
      </c>
      <c r="B1355" t="s">
        <v>3599</v>
      </c>
      <c r="C1355" t="s">
        <v>3600</v>
      </c>
      <c r="E1355">
        <v>17</v>
      </c>
      <c r="F1355">
        <v>37</v>
      </c>
      <c r="G1355">
        <v>4</v>
      </c>
      <c r="H1355">
        <v>14</v>
      </c>
      <c r="J1355" t="s">
        <v>93</v>
      </c>
      <c r="K1355" t="b">
        <v>0</v>
      </c>
      <c r="L1355">
        <f t="shared" si="21"/>
        <v>21</v>
      </c>
      <c r="M1355">
        <f t="shared" si="21"/>
        <v>51</v>
      </c>
      <c r="N1355" t="b">
        <v>0</v>
      </c>
      <c r="O1355">
        <v>0</v>
      </c>
      <c r="Q1355">
        <v>0</v>
      </c>
      <c r="R1355" t="b">
        <v>0</v>
      </c>
    </row>
    <row r="1356" spans="1:18" hidden="1">
      <c r="A1356" t="s">
        <v>672</v>
      </c>
      <c r="B1356" t="s">
        <v>3601</v>
      </c>
      <c r="C1356" t="s">
        <v>3602</v>
      </c>
      <c r="E1356">
        <v>17</v>
      </c>
      <c r="F1356">
        <v>43</v>
      </c>
      <c r="G1356">
        <v>4</v>
      </c>
      <c r="H1356">
        <v>8</v>
      </c>
      <c r="J1356" t="s">
        <v>93</v>
      </c>
      <c r="K1356" t="b">
        <v>0</v>
      </c>
      <c r="L1356">
        <f t="shared" si="21"/>
        <v>21</v>
      </c>
      <c r="M1356">
        <f t="shared" si="21"/>
        <v>51</v>
      </c>
      <c r="N1356" t="b">
        <v>0</v>
      </c>
      <c r="O1356">
        <v>0</v>
      </c>
      <c r="Q1356">
        <v>0</v>
      </c>
      <c r="R1356" t="b">
        <v>0</v>
      </c>
    </row>
    <row r="1357" spans="1:18" hidden="1">
      <c r="A1357" t="s">
        <v>3067</v>
      </c>
      <c r="B1357" t="s">
        <v>3603</v>
      </c>
      <c r="C1357" t="s">
        <v>3604</v>
      </c>
      <c r="E1357">
        <v>10</v>
      </c>
      <c r="F1357">
        <v>19</v>
      </c>
      <c r="G1357">
        <v>11</v>
      </c>
      <c r="H1357">
        <v>24</v>
      </c>
      <c r="J1357" t="s">
        <v>93</v>
      </c>
      <c r="K1357" t="b">
        <v>0</v>
      </c>
      <c r="L1357">
        <f t="shared" si="21"/>
        <v>21</v>
      </c>
      <c r="M1357">
        <f t="shared" si="21"/>
        <v>43</v>
      </c>
      <c r="N1357" t="b">
        <v>0</v>
      </c>
      <c r="O1357">
        <v>0</v>
      </c>
      <c r="Q1357">
        <v>0</v>
      </c>
      <c r="R1357" t="b">
        <v>0</v>
      </c>
    </row>
    <row r="1358" spans="1:18" hidden="1">
      <c r="A1358" t="s">
        <v>2984</v>
      </c>
      <c r="B1358" t="s">
        <v>3605</v>
      </c>
      <c r="C1358" t="s">
        <v>3606</v>
      </c>
      <c r="E1358">
        <v>13</v>
      </c>
      <c r="F1358">
        <v>24</v>
      </c>
      <c r="G1358">
        <v>8</v>
      </c>
      <c r="H1358">
        <v>11</v>
      </c>
      <c r="J1358" t="s">
        <v>93</v>
      </c>
      <c r="K1358" t="b">
        <v>0</v>
      </c>
      <c r="L1358">
        <f t="shared" si="21"/>
        <v>21</v>
      </c>
      <c r="M1358">
        <f t="shared" si="21"/>
        <v>35</v>
      </c>
      <c r="N1358" t="b">
        <v>0</v>
      </c>
      <c r="O1358">
        <v>0</v>
      </c>
      <c r="Q1358">
        <v>0</v>
      </c>
      <c r="R1358" t="b">
        <v>0</v>
      </c>
    </row>
    <row r="1359" spans="1:18" hidden="1">
      <c r="A1359" t="s">
        <v>43</v>
      </c>
      <c r="B1359" t="s">
        <v>3607</v>
      </c>
      <c r="C1359" t="s">
        <v>3608</v>
      </c>
      <c r="E1359">
        <v>11</v>
      </c>
      <c r="F1359">
        <v>105</v>
      </c>
      <c r="G1359">
        <v>10</v>
      </c>
      <c r="H1359">
        <v>615</v>
      </c>
      <c r="J1359" t="s">
        <v>93</v>
      </c>
      <c r="K1359" t="b">
        <v>1</v>
      </c>
      <c r="L1359">
        <f t="shared" si="21"/>
        <v>21</v>
      </c>
      <c r="M1359">
        <f t="shared" si="21"/>
        <v>720</v>
      </c>
      <c r="N1359" t="b">
        <v>0</v>
      </c>
      <c r="O1359">
        <v>0</v>
      </c>
      <c r="Q1359">
        <v>0</v>
      </c>
      <c r="R1359" t="b">
        <v>0</v>
      </c>
    </row>
    <row r="1360" spans="1:18">
      <c r="A1360" t="s">
        <v>1143</v>
      </c>
      <c r="B1360" t="s">
        <v>3609</v>
      </c>
      <c r="C1360" t="s">
        <v>3610</v>
      </c>
      <c r="E1360">
        <v>0</v>
      </c>
      <c r="F1360">
        <v>0</v>
      </c>
      <c r="G1360">
        <v>21</v>
      </c>
      <c r="H1360">
        <v>117</v>
      </c>
      <c r="J1360" t="s">
        <v>22</v>
      </c>
      <c r="K1360" t="b">
        <v>1</v>
      </c>
      <c r="L1360">
        <f t="shared" si="21"/>
        <v>21</v>
      </c>
      <c r="M1360">
        <f t="shared" si="21"/>
        <v>117</v>
      </c>
      <c r="N1360" t="b">
        <v>0</v>
      </c>
      <c r="O1360">
        <v>1</v>
      </c>
      <c r="P1360" t="s">
        <v>3611</v>
      </c>
      <c r="Q1360">
        <v>2</v>
      </c>
      <c r="R1360" t="b">
        <v>1</v>
      </c>
    </row>
    <row r="1361" spans="1:18">
      <c r="A1361" t="s">
        <v>192</v>
      </c>
      <c r="B1361" t="s">
        <v>3612</v>
      </c>
      <c r="C1361" t="s">
        <v>3613</v>
      </c>
      <c r="E1361">
        <v>15</v>
      </c>
      <c r="F1361">
        <v>2</v>
      </c>
      <c r="G1361">
        <v>6</v>
      </c>
      <c r="H1361">
        <v>6</v>
      </c>
      <c r="J1361" t="s">
        <v>22</v>
      </c>
      <c r="K1361" t="b">
        <v>1</v>
      </c>
      <c r="L1361">
        <f t="shared" si="21"/>
        <v>21</v>
      </c>
      <c r="M1361">
        <f t="shared" si="21"/>
        <v>8</v>
      </c>
      <c r="N1361" t="b">
        <v>0</v>
      </c>
      <c r="O1361">
        <v>1</v>
      </c>
      <c r="P1361" t="s">
        <v>3614</v>
      </c>
      <c r="Q1361">
        <v>2</v>
      </c>
      <c r="R1361" t="b">
        <v>1</v>
      </c>
    </row>
    <row r="1362" spans="1:18">
      <c r="A1362" t="s">
        <v>19</v>
      </c>
      <c r="B1362" t="s">
        <v>3615</v>
      </c>
      <c r="C1362" t="s">
        <v>3616</v>
      </c>
      <c r="E1362">
        <v>17</v>
      </c>
      <c r="F1362">
        <v>103</v>
      </c>
      <c r="G1362">
        <v>4</v>
      </c>
      <c r="H1362">
        <v>6</v>
      </c>
      <c r="J1362" t="s">
        <v>22</v>
      </c>
      <c r="K1362" t="b">
        <v>1</v>
      </c>
      <c r="L1362">
        <f t="shared" si="21"/>
        <v>21</v>
      </c>
      <c r="M1362">
        <f t="shared" si="21"/>
        <v>109</v>
      </c>
      <c r="N1362" t="b">
        <v>0</v>
      </c>
      <c r="O1362">
        <v>1</v>
      </c>
      <c r="P1362" t="s">
        <v>3617</v>
      </c>
      <c r="Q1362">
        <v>2</v>
      </c>
      <c r="R1362" t="b">
        <v>1</v>
      </c>
    </row>
    <row r="1363" spans="1:18">
      <c r="A1363" t="s">
        <v>678</v>
      </c>
      <c r="B1363" t="s">
        <v>3618</v>
      </c>
      <c r="C1363" t="s">
        <v>3619</v>
      </c>
      <c r="E1363">
        <v>17</v>
      </c>
      <c r="F1363">
        <v>43</v>
      </c>
      <c r="G1363">
        <v>4</v>
      </c>
      <c r="H1363">
        <v>8</v>
      </c>
      <c r="J1363" t="s">
        <v>22</v>
      </c>
      <c r="K1363" t="b">
        <v>1</v>
      </c>
      <c r="L1363">
        <f t="shared" si="21"/>
        <v>21</v>
      </c>
      <c r="M1363">
        <f t="shared" si="21"/>
        <v>51</v>
      </c>
      <c r="N1363" t="b">
        <v>0</v>
      </c>
      <c r="O1363">
        <v>1</v>
      </c>
      <c r="P1363" t="s">
        <v>3620</v>
      </c>
      <c r="Q1363">
        <v>2</v>
      </c>
      <c r="R1363" t="b">
        <v>1</v>
      </c>
    </row>
    <row r="1364" spans="1:18">
      <c r="A1364" t="s">
        <v>438</v>
      </c>
      <c r="B1364" t="s">
        <v>3621</v>
      </c>
      <c r="C1364" t="s">
        <v>3622</v>
      </c>
      <c r="E1364">
        <v>19</v>
      </c>
      <c r="F1364">
        <v>0</v>
      </c>
      <c r="G1364">
        <v>1</v>
      </c>
      <c r="H1364">
        <v>1</v>
      </c>
      <c r="J1364" t="s">
        <v>22</v>
      </c>
      <c r="K1364" t="b">
        <v>1</v>
      </c>
      <c r="L1364">
        <f t="shared" si="21"/>
        <v>20</v>
      </c>
      <c r="M1364">
        <f t="shared" si="21"/>
        <v>1</v>
      </c>
      <c r="N1364" t="b">
        <v>0</v>
      </c>
      <c r="O1364">
        <v>1</v>
      </c>
      <c r="P1364" t="s">
        <v>3623</v>
      </c>
      <c r="Q1364">
        <v>2</v>
      </c>
      <c r="R1364" t="b">
        <v>1</v>
      </c>
    </row>
    <row r="1365" spans="1:18">
      <c r="A1365" t="s">
        <v>1191</v>
      </c>
      <c r="B1365" t="s">
        <v>3624</v>
      </c>
      <c r="C1365" t="s">
        <v>3625</v>
      </c>
      <c r="E1365">
        <v>12</v>
      </c>
      <c r="F1365">
        <v>53</v>
      </c>
      <c r="G1365">
        <v>8</v>
      </c>
      <c r="H1365">
        <v>47</v>
      </c>
      <c r="J1365" t="s">
        <v>22</v>
      </c>
      <c r="K1365" t="b">
        <v>1</v>
      </c>
      <c r="L1365">
        <f t="shared" si="21"/>
        <v>20</v>
      </c>
      <c r="M1365">
        <f t="shared" si="21"/>
        <v>100</v>
      </c>
      <c r="N1365" t="b">
        <v>0</v>
      </c>
      <c r="O1365">
        <v>1</v>
      </c>
      <c r="P1365" t="s">
        <v>3626</v>
      </c>
      <c r="Q1365">
        <v>2</v>
      </c>
      <c r="R1365" t="b">
        <v>1</v>
      </c>
    </row>
    <row r="1366" spans="1:18">
      <c r="A1366" t="s">
        <v>3627</v>
      </c>
      <c r="B1366" t="s">
        <v>3628</v>
      </c>
      <c r="C1366" t="s">
        <v>3629</v>
      </c>
      <c r="E1366">
        <v>12</v>
      </c>
      <c r="F1366">
        <v>1075</v>
      </c>
      <c r="G1366">
        <v>8</v>
      </c>
      <c r="H1366">
        <v>34</v>
      </c>
      <c r="J1366" t="s">
        <v>22</v>
      </c>
      <c r="K1366" t="b">
        <v>1</v>
      </c>
      <c r="L1366">
        <f t="shared" si="21"/>
        <v>20</v>
      </c>
      <c r="M1366">
        <f t="shared" si="21"/>
        <v>1109</v>
      </c>
      <c r="N1366" t="b">
        <v>0</v>
      </c>
      <c r="O1366">
        <v>1</v>
      </c>
      <c r="P1366" t="s">
        <v>33</v>
      </c>
      <c r="Q1366">
        <v>2</v>
      </c>
      <c r="R1366" t="b">
        <v>1</v>
      </c>
    </row>
    <row r="1367" spans="1:18">
      <c r="A1367" t="s">
        <v>24</v>
      </c>
      <c r="B1367" t="s">
        <v>3630</v>
      </c>
      <c r="C1367" t="s">
        <v>3631</v>
      </c>
      <c r="E1367">
        <v>15</v>
      </c>
      <c r="F1367">
        <v>82</v>
      </c>
      <c r="G1367">
        <v>5</v>
      </c>
      <c r="H1367">
        <v>11</v>
      </c>
      <c r="J1367" t="s">
        <v>22</v>
      </c>
      <c r="K1367" t="b">
        <v>1</v>
      </c>
      <c r="L1367">
        <f t="shared" si="21"/>
        <v>20</v>
      </c>
      <c r="M1367">
        <f t="shared" si="21"/>
        <v>93</v>
      </c>
      <c r="N1367" t="b">
        <v>0</v>
      </c>
      <c r="O1367">
        <v>1</v>
      </c>
      <c r="P1367" t="s">
        <v>3632</v>
      </c>
      <c r="Q1367">
        <v>6</v>
      </c>
      <c r="R1367" t="b">
        <v>1</v>
      </c>
    </row>
    <row r="1368" spans="1:18">
      <c r="A1368" t="s">
        <v>205</v>
      </c>
      <c r="B1368" t="s">
        <v>3633</v>
      </c>
      <c r="C1368" t="s">
        <v>3634</v>
      </c>
      <c r="E1368">
        <v>15</v>
      </c>
      <c r="F1368">
        <v>6</v>
      </c>
      <c r="G1368">
        <v>5</v>
      </c>
      <c r="H1368">
        <v>6</v>
      </c>
      <c r="J1368" t="s">
        <v>22</v>
      </c>
      <c r="K1368" t="b">
        <v>1</v>
      </c>
      <c r="L1368">
        <f t="shared" si="21"/>
        <v>20</v>
      </c>
      <c r="M1368">
        <f t="shared" si="21"/>
        <v>12</v>
      </c>
      <c r="N1368" t="b">
        <v>0</v>
      </c>
      <c r="O1368">
        <v>1</v>
      </c>
      <c r="P1368" t="s">
        <v>3635</v>
      </c>
      <c r="Q1368">
        <v>2</v>
      </c>
      <c r="R1368" t="b">
        <v>1</v>
      </c>
    </row>
    <row r="1369" spans="1:18" hidden="1">
      <c r="A1369" t="s">
        <v>205</v>
      </c>
      <c r="B1369" t="s">
        <v>3636</v>
      </c>
      <c r="C1369" t="s">
        <v>3637</v>
      </c>
      <c r="E1369">
        <v>12</v>
      </c>
      <c r="F1369">
        <v>30</v>
      </c>
      <c r="G1369">
        <v>8</v>
      </c>
      <c r="H1369">
        <v>57</v>
      </c>
      <c r="J1369" t="s">
        <v>999</v>
      </c>
      <c r="K1369" t="b">
        <v>1</v>
      </c>
      <c r="L1369">
        <f t="shared" si="21"/>
        <v>20</v>
      </c>
      <c r="M1369">
        <f t="shared" si="21"/>
        <v>87</v>
      </c>
      <c r="N1369" t="b">
        <v>0</v>
      </c>
      <c r="O1369">
        <v>0</v>
      </c>
      <c r="Q1369">
        <v>0</v>
      </c>
      <c r="R1369" t="b">
        <v>0</v>
      </c>
    </row>
    <row r="1370" spans="1:18">
      <c r="A1370" t="s">
        <v>205</v>
      </c>
      <c r="B1370" t="s">
        <v>3638</v>
      </c>
      <c r="C1370" t="s">
        <v>3639</v>
      </c>
      <c r="E1370">
        <v>17</v>
      </c>
      <c r="F1370">
        <v>7</v>
      </c>
      <c r="G1370">
        <v>3</v>
      </c>
      <c r="H1370">
        <v>78</v>
      </c>
      <c r="J1370" t="s">
        <v>22</v>
      </c>
      <c r="K1370" t="b">
        <v>1</v>
      </c>
      <c r="L1370">
        <f t="shared" si="21"/>
        <v>20</v>
      </c>
      <c r="M1370">
        <f t="shared" si="21"/>
        <v>85</v>
      </c>
      <c r="N1370" t="b">
        <v>0</v>
      </c>
      <c r="O1370">
        <v>1</v>
      </c>
      <c r="P1370" t="s">
        <v>2469</v>
      </c>
      <c r="Q1370">
        <v>2</v>
      </c>
      <c r="R1370" t="b">
        <v>1</v>
      </c>
    </row>
    <row r="1371" spans="1:18">
      <c r="A1371" t="s">
        <v>205</v>
      </c>
      <c r="B1371" t="s">
        <v>3640</v>
      </c>
      <c r="C1371" t="s">
        <v>3641</v>
      </c>
      <c r="E1371">
        <v>17</v>
      </c>
      <c r="F1371">
        <v>7</v>
      </c>
      <c r="G1371">
        <v>3</v>
      </c>
      <c r="H1371">
        <v>78</v>
      </c>
      <c r="J1371" t="s">
        <v>22</v>
      </c>
      <c r="K1371" t="b">
        <v>1</v>
      </c>
      <c r="L1371">
        <f t="shared" si="21"/>
        <v>20</v>
      </c>
      <c r="M1371">
        <f t="shared" si="21"/>
        <v>85</v>
      </c>
      <c r="N1371" t="b">
        <v>0</v>
      </c>
      <c r="O1371">
        <v>1</v>
      </c>
      <c r="P1371" t="s">
        <v>2640</v>
      </c>
      <c r="Q1371">
        <v>2</v>
      </c>
      <c r="R1371" t="b">
        <v>1</v>
      </c>
    </row>
    <row r="1372" spans="1:18">
      <c r="A1372" t="s">
        <v>3105</v>
      </c>
      <c r="B1372" t="s">
        <v>3642</v>
      </c>
      <c r="C1372" t="s">
        <v>3643</v>
      </c>
      <c r="E1372">
        <v>9</v>
      </c>
      <c r="F1372">
        <v>108</v>
      </c>
      <c r="G1372">
        <v>11</v>
      </c>
      <c r="H1372">
        <v>45</v>
      </c>
      <c r="J1372" t="s">
        <v>22</v>
      </c>
      <c r="K1372" t="b">
        <v>1</v>
      </c>
      <c r="L1372">
        <f t="shared" si="21"/>
        <v>20</v>
      </c>
      <c r="M1372">
        <f t="shared" si="21"/>
        <v>153</v>
      </c>
      <c r="N1372" t="b">
        <v>0</v>
      </c>
      <c r="O1372">
        <v>1</v>
      </c>
      <c r="P1372" t="s">
        <v>3644</v>
      </c>
      <c r="Q1372">
        <v>1</v>
      </c>
      <c r="R1372" t="b">
        <v>1</v>
      </c>
    </row>
    <row r="1373" spans="1:18" hidden="1">
      <c r="A1373" t="s">
        <v>59</v>
      </c>
      <c r="B1373" t="s">
        <v>3645</v>
      </c>
      <c r="C1373" t="s">
        <v>3646</v>
      </c>
      <c r="E1373">
        <v>10</v>
      </c>
      <c r="F1373">
        <v>18</v>
      </c>
      <c r="G1373">
        <v>10</v>
      </c>
      <c r="H1373">
        <v>17</v>
      </c>
      <c r="J1373" t="s">
        <v>999</v>
      </c>
      <c r="K1373" t="b">
        <v>1</v>
      </c>
      <c r="L1373">
        <f t="shared" si="21"/>
        <v>20</v>
      </c>
      <c r="M1373">
        <f t="shared" si="21"/>
        <v>35</v>
      </c>
      <c r="N1373" t="b">
        <v>0</v>
      </c>
      <c r="O1373">
        <v>0.33329999999999999</v>
      </c>
      <c r="P1373" t="s">
        <v>3647</v>
      </c>
      <c r="Q1373">
        <v>4</v>
      </c>
      <c r="R1373" t="b">
        <v>1</v>
      </c>
    </row>
    <row r="1374" spans="1:18" hidden="1">
      <c r="A1374" t="s">
        <v>59</v>
      </c>
      <c r="B1374" t="s">
        <v>3648</v>
      </c>
      <c r="C1374" t="s">
        <v>3649</v>
      </c>
      <c r="E1374">
        <v>10</v>
      </c>
      <c r="F1374">
        <v>18</v>
      </c>
      <c r="G1374">
        <v>10</v>
      </c>
      <c r="H1374">
        <v>17</v>
      </c>
      <c r="J1374" t="s">
        <v>999</v>
      </c>
      <c r="K1374" t="b">
        <v>1</v>
      </c>
      <c r="L1374">
        <f t="shared" si="21"/>
        <v>20</v>
      </c>
      <c r="M1374">
        <f t="shared" si="21"/>
        <v>35</v>
      </c>
      <c r="N1374" t="b">
        <v>0</v>
      </c>
      <c r="O1374">
        <v>0</v>
      </c>
      <c r="Q1374">
        <v>0</v>
      </c>
      <c r="R1374" t="b">
        <v>0</v>
      </c>
    </row>
    <row r="1375" spans="1:18" hidden="1">
      <c r="A1375" t="s">
        <v>672</v>
      </c>
      <c r="B1375" t="s">
        <v>3650</v>
      </c>
      <c r="C1375" t="s">
        <v>3651</v>
      </c>
      <c r="E1375">
        <v>16</v>
      </c>
      <c r="F1375">
        <v>70</v>
      </c>
      <c r="G1375">
        <v>4</v>
      </c>
      <c r="H1375">
        <v>29</v>
      </c>
      <c r="J1375" t="s">
        <v>93</v>
      </c>
      <c r="K1375" t="b">
        <v>0</v>
      </c>
      <c r="L1375">
        <f t="shared" si="21"/>
        <v>20</v>
      </c>
      <c r="M1375">
        <f t="shared" si="21"/>
        <v>99</v>
      </c>
      <c r="N1375" t="b">
        <v>0</v>
      </c>
      <c r="O1375">
        <v>0</v>
      </c>
      <c r="Q1375">
        <v>0</v>
      </c>
      <c r="R1375" t="b">
        <v>0</v>
      </c>
    </row>
    <row r="1376" spans="1:18" hidden="1">
      <c r="A1376" t="s">
        <v>3514</v>
      </c>
      <c r="B1376" t="s">
        <v>3652</v>
      </c>
      <c r="C1376" s="2" t="s">
        <v>3653</v>
      </c>
      <c r="D1376" s="2"/>
      <c r="E1376">
        <v>14</v>
      </c>
      <c r="F1376">
        <v>38</v>
      </c>
      <c r="G1376">
        <v>6</v>
      </c>
      <c r="H1376">
        <v>17</v>
      </c>
      <c r="J1376" t="s">
        <v>93</v>
      </c>
      <c r="K1376" t="b">
        <v>0</v>
      </c>
      <c r="L1376">
        <f t="shared" si="21"/>
        <v>20</v>
      </c>
      <c r="M1376">
        <f t="shared" si="21"/>
        <v>55</v>
      </c>
      <c r="N1376" t="b">
        <v>0</v>
      </c>
      <c r="O1376">
        <v>0</v>
      </c>
      <c r="Q1376">
        <v>0</v>
      </c>
      <c r="R1376" t="b">
        <v>0</v>
      </c>
    </row>
    <row r="1377" spans="1:18" hidden="1">
      <c r="A1377" t="s">
        <v>248</v>
      </c>
      <c r="B1377" t="s">
        <v>3654</v>
      </c>
      <c r="C1377" t="s">
        <v>3655</v>
      </c>
      <c r="E1377">
        <v>14</v>
      </c>
      <c r="F1377">
        <v>274</v>
      </c>
      <c r="G1377">
        <v>6</v>
      </c>
      <c r="H1377">
        <v>13</v>
      </c>
      <c r="J1377" t="s">
        <v>93</v>
      </c>
      <c r="K1377" t="b">
        <v>1</v>
      </c>
      <c r="L1377">
        <f t="shared" si="21"/>
        <v>20</v>
      </c>
      <c r="M1377">
        <f t="shared" si="21"/>
        <v>287</v>
      </c>
      <c r="N1377" t="b">
        <v>0</v>
      </c>
      <c r="O1377">
        <v>0</v>
      </c>
      <c r="Q1377">
        <v>0</v>
      </c>
      <c r="R1377" t="b">
        <v>0</v>
      </c>
    </row>
    <row r="1378" spans="1:18" hidden="1">
      <c r="A1378" t="s">
        <v>248</v>
      </c>
      <c r="B1378" t="s">
        <v>3656</v>
      </c>
      <c r="C1378" t="s">
        <v>3657</v>
      </c>
      <c r="E1378">
        <v>14</v>
      </c>
      <c r="F1378">
        <v>274</v>
      </c>
      <c r="G1378">
        <v>6</v>
      </c>
      <c r="H1378">
        <v>13</v>
      </c>
      <c r="J1378" t="s">
        <v>93</v>
      </c>
      <c r="K1378" t="b">
        <v>1</v>
      </c>
      <c r="L1378">
        <f t="shared" si="21"/>
        <v>20</v>
      </c>
      <c r="M1378">
        <f t="shared" si="21"/>
        <v>287</v>
      </c>
      <c r="N1378" t="b">
        <v>0</v>
      </c>
      <c r="O1378">
        <v>0</v>
      </c>
      <c r="Q1378">
        <v>0</v>
      </c>
      <c r="R1378" t="b">
        <v>0</v>
      </c>
    </row>
    <row r="1379" spans="1:18" hidden="1">
      <c r="A1379" t="s">
        <v>1304</v>
      </c>
      <c r="B1379" t="s">
        <v>3658</v>
      </c>
      <c r="C1379" t="s">
        <v>3659</v>
      </c>
      <c r="E1379">
        <v>11</v>
      </c>
      <c r="F1379">
        <v>20</v>
      </c>
      <c r="G1379">
        <v>9</v>
      </c>
      <c r="H1379">
        <v>20</v>
      </c>
      <c r="J1379" t="s">
        <v>93</v>
      </c>
      <c r="K1379" t="b">
        <v>0</v>
      </c>
      <c r="L1379">
        <f t="shared" si="21"/>
        <v>20</v>
      </c>
      <c r="M1379">
        <f t="shared" si="21"/>
        <v>40</v>
      </c>
      <c r="N1379" t="b">
        <v>0</v>
      </c>
      <c r="O1379">
        <v>0</v>
      </c>
      <c r="Q1379">
        <v>0</v>
      </c>
      <c r="R1379" t="b">
        <v>0</v>
      </c>
    </row>
    <row r="1380" spans="1:18" hidden="1">
      <c r="A1380" t="s">
        <v>2851</v>
      </c>
      <c r="B1380" t="s">
        <v>3660</v>
      </c>
      <c r="C1380" t="s">
        <v>3661</v>
      </c>
      <c r="E1380">
        <v>12</v>
      </c>
      <c r="F1380">
        <v>17</v>
      </c>
      <c r="G1380">
        <v>8</v>
      </c>
      <c r="H1380">
        <v>16</v>
      </c>
      <c r="J1380" t="s">
        <v>93</v>
      </c>
      <c r="K1380" t="b">
        <v>0</v>
      </c>
      <c r="L1380">
        <f t="shared" si="21"/>
        <v>20</v>
      </c>
      <c r="M1380">
        <f t="shared" si="21"/>
        <v>33</v>
      </c>
      <c r="N1380" t="b">
        <v>0</v>
      </c>
      <c r="O1380">
        <v>0</v>
      </c>
      <c r="Q1380">
        <v>0</v>
      </c>
      <c r="R1380" t="b">
        <v>0</v>
      </c>
    </row>
    <row r="1381" spans="1:18">
      <c r="A1381" t="s">
        <v>2775</v>
      </c>
      <c r="B1381" t="s">
        <v>3662</v>
      </c>
      <c r="C1381" t="s">
        <v>3663</v>
      </c>
      <c r="E1381">
        <v>14</v>
      </c>
      <c r="F1381">
        <v>29</v>
      </c>
      <c r="G1381">
        <v>6</v>
      </c>
      <c r="H1381">
        <v>10</v>
      </c>
      <c r="J1381" t="s">
        <v>22</v>
      </c>
      <c r="K1381" t="b">
        <v>1</v>
      </c>
      <c r="L1381">
        <f t="shared" si="21"/>
        <v>20</v>
      </c>
      <c r="M1381">
        <f t="shared" si="21"/>
        <v>39</v>
      </c>
      <c r="N1381" t="b">
        <v>0</v>
      </c>
      <c r="O1381">
        <v>1</v>
      </c>
      <c r="P1381" t="s">
        <v>3664</v>
      </c>
      <c r="Q1381">
        <v>2</v>
      </c>
      <c r="R1381" t="b">
        <v>1</v>
      </c>
    </row>
    <row r="1382" spans="1:18" hidden="1">
      <c r="A1382" t="s">
        <v>1384</v>
      </c>
      <c r="B1382" t="s">
        <v>3665</v>
      </c>
      <c r="C1382" t="s">
        <v>3666</v>
      </c>
      <c r="E1382">
        <v>16</v>
      </c>
      <c r="F1382">
        <v>78</v>
      </c>
      <c r="G1382">
        <v>4</v>
      </c>
      <c r="H1382">
        <v>19</v>
      </c>
      <c r="J1382" t="s">
        <v>93</v>
      </c>
      <c r="K1382" t="b">
        <v>1</v>
      </c>
      <c r="L1382">
        <f t="shared" si="21"/>
        <v>20</v>
      </c>
      <c r="M1382">
        <f t="shared" si="21"/>
        <v>97</v>
      </c>
      <c r="N1382" t="b">
        <v>0</v>
      </c>
      <c r="O1382">
        <v>0</v>
      </c>
      <c r="Q1382">
        <v>0</v>
      </c>
      <c r="R1382" t="b">
        <v>0</v>
      </c>
    </row>
    <row r="1383" spans="1:18">
      <c r="A1383" t="s">
        <v>192</v>
      </c>
      <c r="B1383" t="s">
        <v>3667</v>
      </c>
      <c r="C1383" t="s">
        <v>3668</v>
      </c>
      <c r="E1383">
        <v>20</v>
      </c>
      <c r="F1383">
        <v>2</v>
      </c>
      <c r="G1383">
        <v>0</v>
      </c>
      <c r="H1383">
        <v>0</v>
      </c>
      <c r="J1383" t="s">
        <v>22</v>
      </c>
      <c r="K1383" t="b">
        <v>1</v>
      </c>
      <c r="L1383">
        <f t="shared" si="21"/>
        <v>20</v>
      </c>
      <c r="M1383">
        <f t="shared" si="21"/>
        <v>2</v>
      </c>
      <c r="N1383" t="b">
        <v>0</v>
      </c>
      <c r="O1383">
        <v>1</v>
      </c>
      <c r="P1383" t="s">
        <v>3669</v>
      </c>
      <c r="Q1383">
        <v>2</v>
      </c>
      <c r="R1383" t="b">
        <v>1</v>
      </c>
    </row>
    <row r="1384" spans="1:18" hidden="1">
      <c r="A1384" t="s">
        <v>87</v>
      </c>
      <c r="B1384" t="s">
        <v>3670</v>
      </c>
      <c r="C1384" t="s">
        <v>3671</v>
      </c>
      <c r="E1384">
        <v>15</v>
      </c>
      <c r="F1384">
        <v>18</v>
      </c>
      <c r="G1384">
        <v>5</v>
      </c>
      <c r="H1384">
        <v>135</v>
      </c>
      <c r="J1384" t="s">
        <v>93</v>
      </c>
      <c r="K1384" t="b">
        <v>1</v>
      </c>
      <c r="L1384">
        <f t="shared" si="21"/>
        <v>20</v>
      </c>
      <c r="M1384">
        <f t="shared" si="21"/>
        <v>153</v>
      </c>
      <c r="N1384" t="b">
        <v>0</v>
      </c>
      <c r="O1384">
        <v>0.33329999999999999</v>
      </c>
      <c r="P1384" t="s">
        <v>2730</v>
      </c>
      <c r="Q1384">
        <v>10</v>
      </c>
      <c r="R1384" t="b">
        <v>1</v>
      </c>
    </row>
    <row r="1385" spans="1:18" hidden="1">
      <c r="A1385" t="s">
        <v>1782</v>
      </c>
      <c r="B1385" t="s">
        <v>3672</v>
      </c>
      <c r="C1385" t="s">
        <v>3673</v>
      </c>
      <c r="E1385">
        <v>12</v>
      </c>
      <c r="F1385">
        <v>20</v>
      </c>
      <c r="G1385">
        <v>8</v>
      </c>
      <c r="H1385">
        <v>13</v>
      </c>
      <c r="J1385" t="s">
        <v>93</v>
      </c>
      <c r="K1385" t="b">
        <v>1</v>
      </c>
      <c r="L1385">
        <f t="shared" si="21"/>
        <v>20</v>
      </c>
      <c r="M1385">
        <f t="shared" si="21"/>
        <v>33</v>
      </c>
      <c r="N1385" t="b">
        <v>0</v>
      </c>
      <c r="O1385">
        <v>0</v>
      </c>
      <c r="Q1385">
        <v>0</v>
      </c>
      <c r="R1385" t="b">
        <v>0</v>
      </c>
    </row>
    <row r="1386" spans="1:18">
      <c r="A1386" t="s">
        <v>678</v>
      </c>
      <c r="B1386" t="s">
        <v>3674</v>
      </c>
      <c r="C1386" t="s">
        <v>3675</v>
      </c>
      <c r="E1386">
        <v>16</v>
      </c>
      <c r="F1386">
        <v>70</v>
      </c>
      <c r="G1386">
        <v>4</v>
      </c>
      <c r="H1386">
        <v>29</v>
      </c>
      <c r="J1386" t="s">
        <v>22</v>
      </c>
      <c r="K1386" t="b">
        <v>1</v>
      </c>
      <c r="L1386">
        <f t="shared" si="21"/>
        <v>20</v>
      </c>
      <c r="M1386">
        <f t="shared" si="21"/>
        <v>99</v>
      </c>
      <c r="N1386" t="b">
        <v>0</v>
      </c>
      <c r="O1386">
        <v>1</v>
      </c>
      <c r="P1386" t="s">
        <v>3676</v>
      </c>
      <c r="Q1386">
        <v>2</v>
      </c>
      <c r="R1386" t="b">
        <v>1</v>
      </c>
    </row>
    <row r="1387" spans="1:18">
      <c r="A1387" t="s">
        <v>1191</v>
      </c>
      <c r="B1387" t="s">
        <v>3677</v>
      </c>
      <c r="C1387" t="s">
        <v>3678</v>
      </c>
      <c r="E1387">
        <v>9</v>
      </c>
      <c r="F1387">
        <v>15</v>
      </c>
      <c r="G1387">
        <v>10</v>
      </c>
      <c r="H1387">
        <v>24</v>
      </c>
      <c r="J1387" t="s">
        <v>22</v>
      </c>
      <c r="K1387" t="b">
        <v>1</v>
      </c>
      <c r="L1387">
        <f t="shared" si="21"/>
        <v>19</v>
      </c>
      <c r="M1387">
        <f t="shared" si="21"/>
        <v>39</v>
      </c>
      <c r="N1387" t="b">
        <v>0</v>
      </c>
      <c r="O1387">
        <v>1</v>
      </c>
      <c r="P1387" t="s">
        <v>3679</v>
      </c>
      <c r="Q1387">
        <v>2</v>
      </c>
      <c r="R1387" t="b">
        <v>1</v>
      </c>
    </row>
    <row r="1388" spans="1:18">
      <c r="A1388" t="s">
        <v>1191</v>
      </c>
      <c r="B1388" t="s">
        <v>3680</v>
      </c>
      <c r="C1388" t="s">
        <v>3681</v>
      </c>
      <c r="E1388">
        <v>10</v>
      </c>
      <c r="F1388">
        <v>30</v>
      </c>
      <c r="G1388">
        <v>9</v>
      </c>
      <c r="H1388">
        <v>83</v>
      </c>
      <c r="J1388" t="s">
        <v>22</v>
      </c>
      <c r="K1388" t="b">
        <v>1</v>
      </c>
      <c r="L1388">
        <f t="shared" si="21"/>
        <v>19</v>
      </c>
      <c r="M1388">
        <f t="shared" si="21"/>
        <v>113</v>
      </c>
      <c r="N1388" t="b">
        <v>0</v>
      </c>
      <c r="O1388">
        <v>1</v>
      </c>
      <c r="P1388" t="s">
        <v>3682</v>
      </c>
      <c r="Q1388">
        <v>2</v>
      </c>
      <c r="R1388" t="b">
        <v>1</v>
      </c>
    </row>
    <row r="1389" spans="1:18">
      <c r="A1389" t="s">
        <v>1191</v>
      </c>
      <c r="B1389" t="s">
        <v>3683</v>
      </c>
      <c r="C1389" t="s">
        <v>3684</v>
      </c>
      <c r="E1389">
        <v>10</v>
      </c>
      <c r="F1389">
        <v>30</v>
      </c>
      <c r="G1389">
        <v>9</v>
      </c>
      <c r="H1389">
        <v>83</v>
      </c>
      <c r="J1389" t="s">
        <v>22</v>
      </c>
      <c r="K1389" t="b">
        <v>1</v>
      </c>
      <c r="L1389">
        <f t="shared" si="21"/>
        <v>19</v>
      </c>
      <c r="M1389">
        <f t="shared" si="21"/>
        <v>113</v>
      </c>
      <c r="N1389" t="b">
        <v>0</v>
      </c>
      <c r="O1389">
        <v>1</v>
      </c>
      <c r="P1389" t="s">
        <v>3685</v>
      </c>
      <c r="Q1389">
        <v>2</v>
      </c>
      <c r="R1389" t="b">
        <v>1</v>
      </c>
    </row>
    <row r="1390" spans="1:18" hidden="1">
      <c r="A1390" t="s">
        <v>24</v>
      </c>
      <c r="B1390" t="s">
        <v>3686</v>
      </c>
      <c r="C1390" t="s">
        <v>3687</v>
      </c>
      <c r="E1390">
        <v>14</v>
      </c>
      <c r="F1390">
        <v>532</v>
      </c>
      <c r="G1390">
        <v>5</v>
      </c>
      <c r="H1390">
        <v>14</v>
      </c>
      <c r="J1390" t="s">
        <v>93</v>
      </c>
      <c r="K1390" t="b">
        <v>1</v>
      </c>
      <c r="L1390">
        <f t="shared" si="21"/>
        <v>19</v>
      </c>
      <c r="M1390">
        <f t="shared" si="21"/>
        <v>546</v>
      </c>
      <c r="N1390" t="b">
        <v>0</v>
      </c>
      <c r="O1390">
        <v>0</v>
      </c>
      <c r="Q1390">
        <v>0</v>
      </c>
      <c r="R1390" t="b">
        <v>0</v>
      </c>
    </row>
    <row r="1391" spans="1:18">
      <c r="A1391" t="s">
        <v>205</v>
      </c>
      <c r="B1391" t="s">
        <v>3688</v>
      </c>
      <c r="C1391" t="s">
        <v>3689</v>
      </c>
      <c r="E1391">
        <v>14</v>
      </c>
      <c r="F1391">
        <v>28</v>
      </c>
      <c r="G1391">
        <v>5</v>
      </c>
      <c r="H1391">
        <v>19</v>
      </c>
      <c r="J1391" t="s">
        <v>22</v>
      </c>
      <c r="K1391" t="b">
        <v>1</v>
      </c>
      <c r="L1391">
        <f t="shared" si="21"/>
        <v>19</v>
      </c>
      <c r="M1391">
        <f t="shared" si="21"/>
        <v>47</v>
      </c>
      <c r="N1391" t="b">
        <v>0</v>
      </c>
      <c r="O1391">
        <v>1</v>
      </c>
      <c r="P1391" t="s">
        <v>2754</v>
      </c>
      <c r="Q1391">
        <v>2</v>
      </c>
      <c r="R1391" t="b">
        <v>1</v>
      </c>
    </row>
    <row r="1392" spans="1:18" hidden="1">
      <c r="A1392" t="s">
        <v>59</v>
      </c>
      <c r="B1392" t="s">
        <v>3690</v>
      </c>
      <c r="C1392" t="s">
        <v>3691</v>
      </c>
      <c r="E1392">
        <v>7</v>
      </c>
      <c r="F1392">
        <v>8</v>
      </c>
      <c r="G1392">
        <v>12</v>
      </c>
      <c r="H1392">
        <v>63</v>
      </c>
      <c r="J1392" t="s">
        <v>93</v>
      </c>
      <c r="K1392" t="b">
        <v>1</v>
      </c>
      <c r="L1392">
        <f t="shared" si="21"/>
        <v>19</v>
      </c>
      <c r="M1392">
        <f t="shared" si="21"/>
        <v>71</v>
      </c>
      <c r="N1392" t="b">
        <v>0</v>
      </c>
      <c r="O1392">
        <v>0.33329999999999999</v>
      </c>
      <c r="P1392" t="s">
        <v>228</v>
      </c>
      <c r="Q1392">
        <v>16</v>
      </c>
      <c r="R1392" t="b">
        <v>1</v>
      </c>
    </row>
    <row r="1393" spans="1:18" hidden="1">
      <c r="A1393" t="s">
        <v>37</v>
      </c>
      <c r="B1393" t="s">
        <v>3692</v>
      </c>
      <c r="C1393" t="s">
        <v>3693</v>
      </c>
      <c r="E1393">
        <v>11</v>
      </c>
      <c r="F1393">
        <v>454</v>
      </c>
      <c r="G1393">
        <v>8</v>
      </c>
      <c r="H1393">
        <v>190</v>
      </c>
      <c r="J1393" t="s">
        <v>93</v>
      </c>
      <c r="K1393" t="b">
        <v>1</v>
      </c>
      <c r="L1393">
        <f t="shared" si="21"/>
        <v>19</v>
      </c>
      <c r="M1393">
        <f t="shared" si="21"/>
        <v>644</v>
      </c>
      <c r="N1393" t="b">
        <v>0</v>
      </c>
      <c r="O1393">
        <v>0</v>
      </c>
      <c r="Q1393">
        <v>0</v>
      </c>
      <c r="R1393" t="b">
        <v>0</v>
      </c>
    </row>
    <row r="1394" spans="1:18" hidden="1">
      <c r="A1394" t="s">
        <v>37</v>
      </c>
      <c r="B1394" t="s">
        <v>3694</v>
      </c>
      <c r="C1394" t="s">
        <v>3695</v>
      </c>
      <c r="E1394">
        <v>12</v>
      </c>
      <c r="F1394">
        <v>455</v>
      </c>
      <c r="G1394">
        <v>7</v>
      </c>
      <c r="H1394">
        <v>67</v>
      </c>
      <c r="J1394" t="s">
        <v>93</v>
      </c>
      <c r="K1394" t="b">
        <v>1</v>
      </c>
      <c r="L1394">
        <f t="shared" si="21"/>
        <v>19</v>
      </c>
      <c r="M1394">
        <f t="shared" si="21"/>
        <v>522</v>
      </c>
      <c r="N1394" t="b">
        <v>0</v>
      </c>
      <c r="O1394">
        <v>0</v>
      </c>
      <c r="Q1394">
        <v>0</v>
      </c>
      <c r="R1394" t="b">
        <v>0</v>
      </c>
    </row>
    <row r="1395" spans="1:18" hidden="1">
      <c r="A1395" t="s">
        <v>37</v>
      </c>
      <c r="B1395" t="s">
        <v>3696</v>
      </c>
      <c r="C1395" t="s">
        <v>3697</v>
      </c>
      <c r="E1395">
        <v>16</v>
      </c>
      <c r="F1395">
        <v>215</v>
      </c>
      <c r="G1395">
        <v>3</v>
      </c>
      <c r="H1395">
        <v>12</v>
      </c>
      <c r="J1395" t="s">
        <v>93</v>
      </c>
      <c r="K1395" t="b">
        <v>1</v>
      </c>
      <c r="L1395">
        <f t="shared" si="21"/>
        <v>19</v>
      </c>
      <c r="M1395">
        <f t="shared" si="21"/>
        <v>227</v>
      </c>
      <c r="N1395" t="b">
        <v>0</v>
      </c>
      <c r="O1395">
        <v>0</v>
      </c>
      <c r="Q1395">
        <v>0</v>
      </c>
      <c r="R1395" t="b">
        <v>0</v>
      </c>
    </row>
    <row r="1396" spans="1:18" hidden="1">
      <c r="A1396" t="s">
        <v>46</v>
      </c>
      <c r="B1396" t="s">
        <v>3698</v>
      </c>
      <c r="C1396" t="s">
        <v>3699</v>
      </c>
      <c r="E1396">
        <v>6</v>
      </c>
      <c r="F1396">
        <v>11</v>
      </c>
      <c r="G1396">
        <v>13</v>
      </c>
      <c r="H1396">
        <v>75</v>
      </c>
      <c r="J1396" t="s">
        <v>93</v>
      </c>
      <c r="K1396" t="b">
        <v>1</v>
      </c>
      <c r="L1396">
        <f t="shared" si="21"/>
        <v>19</v>
      </c>
      <c r="M1396">
        <f t="shared" si="21"/>
        <v>86</v>
      </c>
      <c r="N1396" t="b">
        <v>0</v>
      </c>
      <c r="O1396">
        <v>0</v>
      </c>
      <c r="Q1396">
        <v>0</v>
      </c>
      <c r="R1396" t="b">
        <v>0</v>
      </c>
    </row>
    <row r="1397" spans="1:18" hidden="1">
      <c r="A1397" t="s">
        <v>1984</v>
      </c>
      <c r="B1397" t="s">
        <v>3700</v>
      </c>
      <c r="C1397" t="s">
        <v>3701</v>
      </c>
      <c r="E1397">
        <v>13</v>
      </c>
      <c r="F1397">
        <v>24</v>
      </c>
      <c r="G1397">
        <v>6</v>
      </c>
      <c r="H1397">
        <v>10</v>
      </c>
      <c r="J1397" t="s">
        <v>93</v>
      </c>
      <c r="K1397" t="b">
        <v>1</v>
      </c>
      <c r="L1397">
        <f t="shared" si="21"/>
        <v>19</v>
      </c>
      <c r="M1397">
        <f t="shared" si="21"/>
        <v>34</v>
      </c>
      <c r="N1397" t="b">
        <v>0</v>
      </c>
      <c r="O1397">
        <v>0</v>
      </c>
      <c r="Q1397">
        <v>0</v>
      </c>
      <c r="R1397" t="b">
        <v>0</v>
      </c>
    </row>
    <row r="1398" spans="1:18" hidden="1">
      <c r="A1398" t="s">
        <v>3702</v>
      </c>
      <c r="B1398" t="s">
        <v>3703</v>
      </c>
      <c r="C1398" t="s">
        <v>3704</v>
      </c>
      <c r="E1398">
        <v>12</v>
      </c>
      <c r="F1398">
        <v>22</v>
      </c>
      <c r="G1398">
        <v>7</v>
      </c>
      <c r="H1398">
        <v>11</v>
      </c>
      <c r="J1398" t="s">
        <v>93</v>
      </c>
      <c r="K1398" t="b">
        <v>0</v>
      </c>
      <c r="L1398">
        <f t="shared" si="21"/>
        <v>19</v>
      </c>
      <c r="M1398">
        <f t="shared" si="21"/>
        <v>33</v>
      </c>
      <c r="N1398" t="b">
        <v>0</v>
      </c>
      <c r="O1398">
        <v>0</v>
      </c>
      <c r="Q1398">
        <v>0</v>
      </c>
      <c r="R1398" t="b">
        <v>0</v>
      </c>
    </row>
    <row r="1399" spans="1:18" hidden="1">
      <c r="A1399" t="s">
        <v>3702</v>
      </c>
      <c r="B1399" t="s">
        <v>3705</v>
      </c>
      <c r="C1399" t="s">
        <v>3706</v>
      </c>
      <c r="E1399">
        <v>12</v>
      </c>
      <c r="F1399">
        <v>22</v>
      </c>
      <c r="G1399">
        <v>7</v>
      </c>
      <c r="H1399">
        <v>11</v>
      </c>
      <c r="J1399" t="s">
        <v>93</v>
      </c>
      <c r="K1399" t="b">
        <v>0</v>
      </c>
      <c r="L1399">
        <f t="shared" si="21"/>
        <v>19</v>
      </c>
      <c r="M1399">
        <f t="shared" si="21"/>
        <v>33</v>
      </c>
      <c r="N1399" t="b">
        <v>0</v>
      </c>
      <c r="O1399">
        <v>0</v>
      </c>
      <c r="Q1399">
        <v>0</v>
      </c>
      <c r="R1399" t="b">
        <v>0</v>
      </c>
    </row>
    <row r="1400" spans="1:18" hidden="1">
      <c r="A1400" t="s">
        <v>3702</v>
      </c>
      <c r="B1400" t="s">
        <v>3707</v>
      </c>
      <c r="C1400" t="s">
        <v>3708</v>
      </c>
      <c r="E1400">
        <v>12</v>
      </c>
      <c r="F1400">
        <v>22</v>
      </c>
      <c r="G1400">
        <v>7</v>
      </c>
      <c r="H1400">
        <v>11</v>
      </c>
      <c r="J1400" t="s">
        <v>93</v>
      </c>
      <c r="K1400" t="b">
        <v>0</v>
      </c>
      <c r="L1400">
        <f t="shared" si="21"/>
        <v>19</v>
      </c>
      <c r="M1400">
        <f t="shared" si="21"/>
        <v>33</v>
      </c>
      <c r="N1400" t="b">
        <v>0</v>
      </c>
      <c r="O1400">
        <v>0</v>
      </c>
      <c r="Q1400">
        <v>0</v>
      </c>
      <c r="R1400" t="b">
        <v>0</v>
      </c>
    </row>
    <row r="1401" spans="1:18" hidden="1">
      <c r="A1401" t="s">
        <v>3702</v>
      </c>
      <c r="B1401" t="s">
        <v>3709</v>
      </c>
      <c r="C1401" t="s">
        <v>3710</v>
      </c>
      <c r="E1401">
        <v>12</v>
      </c>
      <c r="F1401">
        <v>22</v>
      </c>
      <c r="G1401">
        <v>7</v>
      </c>
      <c r="H1401">
        <v>11</v>
      </c>
      <c r="J1401" t="s">
        <v>93</v>
      </c>
      <c r="K1401" t="b">
        <v>0</v>
      </c>
      <c r="L1401">
        <f t="shared" si="21"/>
        <v>19</v>
      </c>
      <c r="M1401">
        <f t="shared" si="21"/>
        <v>33</v>
      </c>
      <c r="N1401" t="b">
        <v>0</v>
      </c>
      <c r="O1401">
        <v>0</v>
      </c>
      <c r="Q1401">
        <v>0</v>
      </c>
      <c r="R1401" t="b">
        <v>0</v>
      </c>
    </row>
    <row r="1402" spans="1:18" hidden="1">
      <c r="A1402" t="s">
        <v>3702</v>
      </c>
      <c r="B1402" t="s">
        <v>3711</v>
      </c>
      <c r="C1402" t="s">
        <v>3712</v>
      </c>
      <c r="E1402">
        <v>12</v>
      </c>
      <c r="F1402">
        <v>22</v>
      </c>
      <c r="G1402">
        <v>7</v>
      </c>
      <c r="H1402">
        <v>11</v>
      </c>
      <c r="J1402" t="s">
        <v>93</v>
      </c>
      <c r="K1402" t="b">
        <v>0</v>
      </c>
      <c r="L1402">
        <f t="shared" si="21"/>
        <v>19</v>
      </c>
      <c r="M1402">
        <f t="shared" si="21"/>
        <v>33</v>
      </c>
      <c r="N1402" t="b">
        <v>0</v>
      </c>
      <c r="O1402">
        <v>0</v>
      </c>
      <c r="Q1402">
        <v>0</v>
      </c>
      <c r="R1402" t="b">
        <v>0</v>
      </c>
    </row>
    <row r="1403" spans="1:18" hidden="1">
      <c r="A1403" t="s">
        <v>1143</v>
      </c>
      <c r="B1403" t="s">
        <v>3713</v>
      </c>
      <c r="C1403" t="s">
        <v>3714</v>
      </c>
      <c r="E1403">
        <v>0</v>
      </c>
      <c r="F1403">
        <v>0</v>
      </c>
      <c r="G1403">
        <v>19</v>
      </c>
      <c r="H1403">
        <v>54</v>
      </c>
      <c r="J1403" t="s">
        <v>93</v>
      </c>
      <c r="K1403" t="b">
        <v>1</v>
      </c>
      <c r="L1403">
        <f t="shared" si="21"/>
        <v>19</v>
      </c>
      <c r="M1403">
        <f t="shared" si="21"/>
        <v>54</v>
      </c>
      <c r="N1403" t="b">
        <v>0</v>
      </c>
      <c r="O1403">
        <v>0</v>
      </c>
      <c r="Q1403">
        <v>0</v>
      </c>
      <c r="R1403" t="b">
        <v>0</v>
      </c>
    </row>
    <row r="1404" spans="1:18" hidden="1">
      <c r="A1404" t="s">
        <v>1143</v>
      </c>
      <c r="B1404" t="s">
        <v>3715</v>
      </c>
      <c r="C1404" t="s">
        <v>3716</v>
      </c>
      <c r="E1404">
        <v>0</v>
      </c>
      <c r="F1404">
        <v>0</v>
      </c>
      <c r="G1404">
        <v>19</v>
      </c>
      <c r="H1404">
        <v>54</v>
      </c>
      <c r="J1404" t="s">
        <v>93</v>
      </c>
      <c r="K1404" t="b">
        <v>1</v>
      </c>
      <c r="L1404">
        <f t="shared" si="21"/>
        <v>19</v>
      </c>
      <c r="M1404">
        <f t="shared" si="21"/>
        <v>54</v>
      </c>
      <c r="N1404" t="b">
        <v>0</v>
      </c>
      <c r="O1404">
        <v>0</v>
      </c>
      <c r="Q1404">
        <v>0</v>
      </c>
      <c r="R1404" t="b">
        <v>0</v>
      </c>
    </row>
    <row r="1405" spans="1:18">
      <c r="A1405" t="s">
        <v>1334</v>
      </c>
      <c r="B1405" t="s">
        <v>3717</v>
      </c>
      <c r="C1405" t="s">
        <v>3718</v>
      </c>
      <c r="E1405">
        <v>10</v>
      </c>
      <c r="F1405">
        <v>15</v>
      </c>
      <c r="G1405">
        <v>9</v>
      </c>
      <c r="H1405">
        <v>24</v>
      </c>
      <c r="J1405" t="s">
        <v>22</v>
      </c>
      <c r="K1405" t="b">
        <v>1</v>
      </c>
      <c r="L1405">
        <f t="shared" si="21"/>
        <v>19</v>
      </c>
      <c r="M1405">
        <f t="shared" si="21"/>
        <v>39</v>
      </c>
      <c r="N1405" t="b">
        <v>0</v>
      </c>
      <c r="O1405">
        <v>1</v>
      </c>
      <c r="P1405" t="s">
        <v>3719</v>
      </c>
      <c r="Q1405">
        <v>1</v>
      </c>
      <c r="R1405" t="b">
        <v>1</v>
      </c>
    </row>
    <row r="1406" spans="1:18">
      <c r="A1406" t="s">
        <v>274</v>
      </c>
      <c r="B1406" t="s">
        <v>3720</v>
      </c>
      <c r="C1406" t="s">
        <v>3721</v>
      </c>
      <c r="E1406">
        <v>15</v>
      </c>
      <c r="F1406">
        <v>0</v>
      </c>
      <c r="G1406">
        <v>3</v>
      </c>
      <c r="H1406">
        <v>3</v>
      </c>
      <c r="J1406" t="s">
        <v>22</v>
      </c>
      <c r="K1406" t="b">
        <v>1</v>
      </c>
      <c r="L1406">
        <f t="shared" si="21"/>
        <v>18</v>
      </c>
      <c r="M1406">
        <f t="shared" si="21"/>
        <v>3</v>
      </c>
      <c r="N1406" t="b">
        <v>1</v>
      </c>
      <c r="O1406">
        <v>1</v>
      </c>
      <c r="P1406" t="s">
        <v>3722</v>
      </c>
      <c r="Q1406">
        <v>1</v>
      </c>
      <c r="R1406" t="b">
        <v>1</v>
      </c>
    </row>
    <row r="1407" spans="1:18">
      <c r="A1407" t="s">
        <v>1191</v>
      </c>
      <c r="B1407" t="s">
        <v>3723</v>
      </c>
      <c r="C1407" t="s">
        <v>3724</v>
      </c>
      <c r="E1407">
        <v>7</v>
      </c>
      <c r="F1407">
        <v>29</v>
      </c>
      <c r="G1407">
        <v>11</v>
      </c>
      <c r="H1407">
        <v>85</v>
      </c>
      <c r="J1407" t="s">
        <v>22</v>
      </c>
      <c r="K1407" t="b">
        <v>1</v>
      </c>
      <c r="L1407">
        <f t="shared" si="21"/>
        <v>18</v>
      </c>
      <c r="M1407">
        <f t="shared" si="21"/>
        <v>114</v>
      </c>
      <c r="N1407" t="b">
        <v>0</v>
      </c>
      <c r="O1407">
        <v>1</v>
      </c>
      <c r="P1407" t="s">
        <v>3725</v>
      </c>
      <c r="Q1407">
        <v>2</v>
      </c>
      <c r="R1407" t="b">
        <v>1</v>
      </c>
    </row>
    <row r="1408" spans="1:18">
      <c r="A1408" t="s">
        <v>1191</v>
      </c>
      <c r="B1408" t="s">
        <v>3726</v>
      </c>
      <c r="C1408" t="s">
        <v>3727</v>
      </c>
      <c r="E1408">
        <v>7</v>
      </c>
      <c r="F1408">
        <v>29</v>
      </c>
      <c r="G1408">
        <v>11</v>
      </c>
      <c r="H1408">
        <v>85</v>
      </c>
      <c r="J1408" t="s">
        <v>22</v>
      </c>
      <c r="K1408" t="b">
        <v>1</v>
      </c>
      <c r="L1408">
        <f t="shared" si="21"/>
        <v>18</v>
      </c>
      <c r="M1408">
        <f t="shared" si="21"/>
        <v>114</v>
      </c>
      <c r="N1408" t="b">
        <v>0</v>
      </c>
      <c r="O1408">
        <v>1</v>
      </c>
      <c r="P1408" t="s">
        <v>3728</v>
      </c>
      <c r="Q1408">
        <v>2</v>
      </c>
      <c r="R1408" t="b">
        <v>1</v>
      </c>
    </row>
    <row r="1409" spans="1:18">
      <c r="A1409" t="s">
        <v>3729</v>
      </c>
      <c r="B1409" t="s">
        <v>3730</v>
      </c>
      <c r="C1409" t="s">
        <v>3731</v>
      </c>
      <c r="E1409">
        <v>11</v>
      </c>
      <c r="F1409">
        <v>63</v>
      </c>
      <c r="G1409">
        <v>7</v>
      </c>
      <c r="H1409">
        <v>60</v>
      </c>
      <c r="J1409" t="s">
        <v>22</v>
      </c>
      <c r="K1409" t="b">
        <v>1</v>
      </c>
      <c r="L1409">
        <f t="shared" si="21"/>
        <v>18</v>
      </c>
      <c r="M1409">
        <f t="shared" si="21"/>
        <v>123</v>
      </c>
      <c r="N1409" t="b">
        <v>0</v>
      </c>
      <c r="O1409">
        <v>0</v>
      </c>
      <c r="Q1409">
        <v>0</v>
      </c>
      <c r="R1409" t="b">
        <v>0</v>
      </c>
    </row>
    <row r="1410" spans="1:18">
      <c r="A1410" t="s">
        <v>3729</v>
      </c>
      <c r="B1410" t="s">
        <v>3732</v>
      </c>
      <c r="C1410" t="s">
        <v>3733</v>
      </c>
      <c r="E1410">
        <v>11</v>
      </c>
      <c r="F1410">
        <v>63</v>
      </c>
      <c r="G1410">
        <v>7</v>
      </c>
      <c r="H1410">
        <v>60</v>
      </c>
      <c r="J1410" t="s">
        <v>22</v>
      </c>
      <c r="K1410" t="b">
        <v>1</v>
      </c>
      <c r="L1410">
        <f t="shared" si="21"/>
        <v>18</v>
      </c>
      <c r="M1410">
        <f t="shared" si="21"/>
        <v>123</v>
      </c>
      <c r="N1410" t="b">
        <v>0</v>
      </c>
      <c r="O1410">
        <v>0</v>
      </c>
      <c r="Q1410">
        <v>0</v>
      </c>
      <c r="R1410" t="b">
        <v>0</v>
      </c>
    </row>
    <row r="1411" spans="1:18">
      <c r="A1411" t="s">
        <v>3729</v>
      </c>
      <c r="B1411" t="s">
        <v>3734</v>
      </c>
      <c r="C1411" t="s">
        <v>3735</v>
      </c>
      <c r="E1411">
        <v>11</v>
      </c>
      <c r="F1411">
        <v>63</v>
      </c>
      <c r="G1411">
        <v>7</v>
      </c>
      <c r="H1411">
        <v>60</v>
      </c>
      <c r="J1411" t="s">
        <v>22</v>
      </c>
      <c r="K1411" t="b">
        <v>1</v>
      </c>
      <c r="L1411">
        <f t="shared" ref="L1411:M1474" si="22">E1411+G1411</f>
        <v>18</v>
      </c>
      <c r="M1411">
        <f t="shared" si="22"/>
        <v>123</v>
      </c>
      <c r="N1411" t="b">
        <v>0</v>
      </c>
      <c r="O1411">
        <v>1</v>
      </c>
      <c r="P1411" t="s">
        <v>3736</v>
      </c>
      <c r="Q1411">
        <v>2</v>
      </c>
      <c r="R1411" t="b">
        <v>1</v>
      </c>
    </row>
    <row r="1412" spans="1:18">
      <c r="A1412" t="s">
        <v>3729</v>
      </c>
      <c r="B1412" t="s">
        <v>3737</v>
      </c>
      <c r="C1412" t="s">
        <v>3738</v>
      </c>
      <c r="E1412">
        <v>11</v>
      </c>
      <c r="F1412">
        <v>63</v>
      </c>
      <c r="G1412">
        <v>7</v>
      </c>
      <c r="H1412">
        <v>62</v>
      </c>
      <c r="J1412" t="s">
        <v>22</v>
      </c>
      <c r="K1412" t="b">
        <v>1</v>
      </c>
      <c r="L1412">
        <f t="shared" si="22"/>
        <v>18</v>
      </c>
      <c r="M1412">
        <f t="shared" si="22"/>
        <v>125</v>
      </c>
      <c r="N1412" t="b">
        <v>0</v>
      </c>
      <c r="O1412">
        <v>0</v>
      </c>
      <c r="Q1412">
        <v>0</v>
      </c>
      <c r="R1412" t="b">
        <v>0</v>
      </c>
    </row>
    <row r="1413" spans="1:18">
      <c r="A1413" t="s">
        <v>3729</v>
      </c>
      <c r="B1413" t="s">
        <v>3739</v>
      </c>
      <c r="C1413" t="s">
        <v>3740</v>
      </c>
      <c r="E1413">
        <v>11</v>
      </c>
      <c r="F1413">
        <v>63</v>
      </c>
      <c r="G1413">
        <v>7</v>
      </c>
      <c r="H1413">
        <v>62</v>
      </c>
      <c r="J1413" t="s">
        <v>22</v>
      </c>
      <c r="K1413" t="b">
        <v>1</v>
      </c>
      <c r="L1413">
        <f t="shared" si="22"/>
        <v>18</v>
      </c>
      <c r="M1413">
        <f t="shared" si="22"/>
        <v>125</v>
      </c>
      <c r="N1413" t="b">
        <v>0</v>
      </c>
      <c r="O1413">
        <v>1</v>
      </c>
      <c r="P1413" t="s">
        <v>3741</v>
      </c>
      <c r="Q1413">
        <v>2</v>
      </c>
      <c r="R1413" t="b">
        <v>1</v>
      </c>
    </row>
    <row r="1414" spans="1:18">
      <c r="A1414" t="s">
        <v>3729</v>
      </c>
      <c r="B1414" t="s">
        <v>3742</v>
      </c>
      <c r="C1414" t="s">
        <v>3743</v>
      </c>
      <c r="E1414">
        <v>11</v>
      </c>
      <c r="F1414">
        <v>63</v>
      </c>
      <c r="G1414">
        <v>7</v>
      </c>
      <c r="H1414">
        <v>62</v>
      </c>
      <c r="J1414" t="s">
        <v>22</v>
      </c>
      <c r="K1414" t="b">
        <v>1</v>
      </c>
      <c r="L1414">
        <f t="shared" si="22"/>
        <v>18</v>
      </c>
      <c r="M1414">
        <f t="shared" si="22"/>
        <v>125</v>
      </c>
      <c r="N1414" t="b">
        <v>0</v>
      </c>
      <c r="O1414">
        <v>0</v>
      </c>
      <c r="Q1414">
        <v>0</v>
      </c>
      <c r="R1414" t="b">
        <v>0</v>
      </c>
    </row>
    <row r="1415" spans="1:18">
      <c r="A1415" t="s">
        <v>1418</v>
      </c>
      <c r="B1415" t="s">
        <v>3744</v>
      </c>
      <c r="C1415" t="s">
        <v>3745</v>
      </c>
      <c r="E1415">
        <v>11</v>
      </c>
      <c r="F1415">
        <v>267</v>
      </c>
      <c r="G1415">
        <v>7</v>
      </c>
      <c r="H1415">
        <v>329</v>
      </c>
      <c r="J1415" t="s">
        <v>22</v>
      </c>
      <c r="K1415" t="b">
        <v>1</v>
      </c>
      <c r="L1415">
        <f t="shared" si="22"/>
        <v>18</v>
      </c>
      <c r="M1415">
        <f t="shared" si="22"/>
        <v>596</v>
      </c>
      <c r="N1415" t="b">
        <v>0</v>
      </c>
      <c r="O1415">
        <v>1</v>
      </c>
      <c r="P1415" t="s">
        <v>3746</v>
      </c>
      <c r="Q1415">
        <v>2</v>
      </c>
      <c r="R1415" t="b">
        <v>1</v>
      </c>
    </row>
    <row r="1416" spans="1:18">
      <c r="A1416" t="s">
        <v>24</v>
      </c>
      <c r="B1416" t="s">
        <v>3747</v>
      </c>
      <c r="C1416" t="s">
        <v>3748</v>
      </c>
      <c r="E1416">
        <v>12</v>
      </c>
      <c r="F1416">
        <v>370</v>
      </c>
      <c r="G1416">
        <v>6</v>
      </c>
      <c r="H1416">
        <v>19</v>
      </c>
      <c r="J1416" t="s">
        <v>22</v>
      </c>
      <c r="K1416" t="b">
        <v>1</v>
      </c>
      <c r="L1416">
        <f t="shared" si="22"/>
        <v>18</v>
      </c>
      <c r="M1416">
        <f t="shared" si="22"/>
        <v>389</v>
      </c>
      <c r="N1416" t="b">
        <v>0</v>
      </c>
      <c r="O1416">
        <v>1</v>
      </c>
      <c r="P1416" t="s">
        <v>3749</v>
      </c>
      <c r="Q1416">
        <v>2</v>
      </c>
      <c r="R1416" t="b">
        <v>1</v>
      </c>
    </row>
    <row r="1417" spans="1:18" hidden="1">
      <c r="A1417" t="s">
        <v>24</v>
      </c>
      <c r="B1417" t="s">
        <v>3750</v>
      </c>
      <c r="C1417" t="s">
        <v>3751</v>
      </c>
      <c r="E1417">
        <v>10</v>
      </c>
      <c r="F1417">
        <v>20</v>
      </c>
      <c r="G1417">
        <v>8</v>
      </c>
      <c r="H1417">
        <v>17</v>
      </c>
      <c r="J1417" t="s">
        <v>93</v>
      </c>
      <c r="K1417" t="b">
        <v>1</v>
      </c>
      <c r="L1417">
        <f t="shared" si="22"/>
        <v>18</v>
      </c>
      <c r="M1417">
        <f t="shared" si="22"/>
        <v>37</v>
      </c>
      <c r="N1417" t="b">
        <v>0</v>
      </c>
      <c r="O1417">
        <v>0</v>
      </c>
      <c r="Q1417">
        <v>0</v>
      </c>
      <c r="R1417" t="b">
        <v>0</v>
      </c>
    </row>
    <row r="1418" spans="1:18">
      <c r="A1418" t="s">
        <v>24</v>
      </c>
      <c r="B1418" t="s">
        <v>3752</v>
      </c>
      <c r="C1418" t="s">
        <v>3753</v>
      </c>
      <c r="E1418">
        <v>17</v>
      </c>
      <c r="F1418">
        <v>76</v>
      </c>
      <c r="G1418">
        <v>1</v>
      </c>
      <c r="H1418">
        <v>1</v>
      </c>
      <c r="J1418" t="s">
        <v>22</v>
      </c>
      <c r="K1418" t="b">
        <v>1</v>
      </c>
      <c r="L1418">
        <f t="shared" si="22"/>
        <v>18</v>
      </c>
      <c r="M1418">
        <f t="shared" si="22"/>
        <v>77</v>
      </c>
      <c r="N1418" t="b">
        <v>0</v>
      </c>
      <c r="O1418">
        <v>1</v>
      </c>
      <c r="P1418" t="s">
        <v>2774</v>
      </c>
      <c r="Q1418">
        <v>2</v>
      </c>
      <c r="R1418" t="b">
        <v>1</v>
      </c>
    </row>
    <row r="1419" spans="1:18">
      <c r="A1419" t="s">
        <v>24</v>
      </c>
      <c r="B1419" t="s">
        <v>3754</v>
      </c>
      <c r="C1419" t="s">
        <v>3755</v>
      </c>
      <c r="E1419">
        <v>11</v>
      </c>
      <c r="F1419">
        <v>41</v>
      </c>
      <c r="G1419">
        <v>7</v>
      </c>
      <c r="H1419">
        <v>18</v>
      </c>
      <c r="J1419" t="s">
        <v>22</v>
      </c>
      <c r="K1419" t="b">
        <v>1</v>
      </c>
      <c r="L1419">
        <f t="shared" si="22"/>
        <v>18</v>
      </c>
      <c r="M1419">
        <f t="shared" si="22"/>
        <v>59</v>
      </c>
      <c r="N1419" t="b">
        <v>0</v>
      </c>
      <c r="O1419">
        <v>1</v>
      </c>
      <c r="P1419" t="s">
        <v>3756</v>
      </c>
      <c r="Q1419">
        <v>2</v>
      </c>
      <c r="R1419" t="b">
        <v>1</v>
      </c>
    </row>
    <row r="1420" spans="1:18" hidden="1">
      <c r="A1420" t="s">
        <v>3757</v>
      </c>
      <c r="B1420" t="s">
        <v>3758</v>
      </c>
      <c r="C1420" t="s">
        <v>3759</v>
      </c>
      <c r="E1420">
        <v>15</v>
      </c>
      <c r="F1420">
        <v>921</v>
      </c>
      <c r="G1420">
        <v>3</v>
      </c>
      <c r="H1420">
        <v>6</v>
      </c>
      <c r="J1420" t="s">
        <v>93</v>
      </c>
      <c r="K1420" t="b">
        <v>0</v>
      </c>
      <c r="L1420">
        <f t="shared" si="22"/>
        <v>18</v>
      </c>
      <c r="M1420">
        <f t="shared" si="22"/>
        <v>927</v>
      </c>
      <c r="N1420" t="b">
        <v>0</v>
      </c>
      <c r="O1420">
        <v>0</v>
      </c>
      <c r="Q1420">
        <v>0</v>
      </c>
      <c r="R1420" t="b">
        <v>0</v>
      </c>
    </row>
    <row r="1421" spans="1:18" hidden="1">
      <c r="A1421" t="s">
        <v>205</v>
      </c>
      <c r="B1421" t="s">
        <v>3760</v>
      </c>
      <c r="C1421" t="s">
        <v>3761</v>
      </c>
      <c r="E1421">
        <v>7</v>
      </c>
      <c r="F1421">
        <v>11</v>
      </c>
      <c r="G1421">
        <v>11</v>
      </c>
      <c r="H1421">
        <v>39</v>
      </c>
      <c r="J1421" t="s">
        <v>93</v>
      </c>
      <c r="K1421" t="b">
        <v>1</v>
      </c>
      <c r="L1421">
        <f t="shared" si="22"/>
        <v>18</v>
      </c>
      <c r="M1421">
        <f t="shared" si="22"/>
        <v>50</v>
      </c>
      <c r="N1421" t="b">
        <v>0</v>
      </c>
      <c r="O1421">
        <v>0</v>
      </c>
      <c r="Q1421">
        <v>0</v>
      </c>
      <c r="R1421" t="b">
        <v>0</v>
      </c>
    </row>
    <row r="1422" spans="1:18">
      <c r="A1422" t="s">
        <v>205</v>
      </c>
      <c r="B1422" t="s">
        <v>3762</v>
      </c>
      <c r="C1422" t="s">
        <v>3763</v>
      </c>
      <c r="E1422">
        <v>11</v>
      </c>
      <c r="F1422">
        <v>24</v>
      </c>
      <c r="G1422">
        <v>7</v>
      </c>
      <c r="H1422">
        <v>28</v>
      </c>
      <c r="J1422" t="s">
        <v>22</v>
      </c>
      <c r="K1422" t="b">
        <v>1</v>
      </c>
      <c r="L1422">
        <f t="shared" si="22"/>
        <v>18</v>
      </c>
      <c r="M1422">
        <f t="shared" si="22"/>
        <v>52</v>
      </c>
      <c r="N1422" t="b">
        <v>0</v>
      </c>
      <c r="O1422">
        <v>1</v>
      </c>
      <c r="P1422" t="s">
        <v>2453</v>
      </c>
      <c r="Q1422">
        <v>2</v>
      </c>
      <c r="R1422" t="b">
        <v>1</v>
      </c>
    </row>
    <row r="1423" spans="1:18" hidden="1">
      <c r="A1423" t="s">
        <v>2919</v>
      </c>
      <c r="B1423" t="s">
        <v>3764</v>
      </c>
      <c r="C1423" t="s">
        <v>3765</v>
      </c>
      <c r="E1423">
        <v>11</v>
      </c>
      <c r="F1423">
        <v>108</v>
      </c>
      <c r="G1423">
        <v>7</v>
      </c>
      <c r="H1423">
        <v>16</v>
      </c>
      <c r="J1423" t="s">
        <v>93</v>
      </c>
      <c r="K1423" t="b">
        <v>0</v>
      </c>
      <c r="L1423">
        <f t="shared" si="22"/>
        <v>18</v>
      </c>
      <c r="M1423">
        <f t="shared" si="22"/>
        <v>124</v>
      </c>
      <c r="N1423" t="b">
        <v>0</v>
      </c>
      <c r="O1423">
        <v>0</v>
      </c>
      <c r="Q1423">
        <v>0</v>
      </c>
      <c r="R1423" t="b">
        <v>0</v>
      </c>
    </row>
    <row r="1424" spans="1:18" hidden="1">
      <c r="A1424" t="s">
        <v>1293</v>
      </c>
      <c r="B1424" t="s">
        <v>3766</v>
      </c>
      <c r="C1424" t="s">
        <v>3767</v>
      </c>
      <c r="E1424">
        <v>7</v>
      </c>
      <c r="F1424">
        <v>6</v>
      </c>
      <c r="G1424">
        <v>11</v>
      </c>
      <c r="H1424">
        <v>96</v>
      </c>
      <c r="J1424" t="s">
        <v>93</v>
      </c>
      <c r="K1424" t="b">
        <v>0</v>
      </c>
      <c r="L1424">
        <f t="shared" si="22"/>
        <v>18</v>
      </c>
      <c r="M1424">
        <f t="shared" si="22"/>
        <v>102</v>
      </c>
      <c r="N1424" t="b">
        <v>0</v>
      </c>
      <c r="O1424">
        <v>0</v>
      </c>
      <c r="Q1424">
        <v>0</v>
      </c>
      <c r="R1424" t="b">
        <v>0</v>
      </c>
    </row>
    <row r="1425" spans="1:18" hidden="1">
      <c r="A1425" t="s">
        <v>1712</v>
      </c>
      <c r="B1425" t="s">
        <v>3768</v>
      </c>
      <c r="C1425" t="s">
        <v>3769</v>
      </c>
      <c r="E1425">
        <v>14</v>
      </c>
      <c r="F1425">
        <v>65</v>
      </c>
      <c r="G1425">
        <v>4</v>
      </c>
      <c r="H1425">
        <v>18</v>
      </c>
      <c r="J1425" t="s">
        <v>93</v>
      </c>
      <c r="K1425" t="b">
        <v>0</v>
      </c>
      <c r="L1425">
        <f t="shared" si="22"/>
        <v>18</v>
      </c>
      <c r="M1425">
        <f t="shared" si="22"/>
        <v>83</v>
      </c>
      <c r="N1425" t="b">
        <v>0</v>
      </c>
      <c r="O1425">
        <v>0</v>
      </c>
      <c r="Q1425">
        <v>0</v>
      </c>
      <c r="R1425" t="b">
        <v>0</v>
      </c>
    </row>
    <row r="1426" spans="1:18" hidden="1">
      <c r="A1426" t="s">
        <v>1424</v>
      </c>
      <c r="B1426" t="s">
        <v>3770</v>
      </c>
      <c r="C1426" t="s">
        <v>3771</v>
      </c>
      <c r="E1426">
        <v>13</v>
      </c>
      <c r="F1426">
        <v>75</v>
      </c>
      <c r="G1426">
        <v>5</v>
      </c>
      <c r="H1426">
        <v>8</v>
      </c>
      <c r="J1426" t="s">
        <v>93</v>
      </c>
      <c r="K1426" t="b">
        <v>0</v>
      </c>
      <c r="L1426">
        <f t="shared" si="22"/>
        <v>18</v>
      </c>
      <c r="M1426">
        <f t="shared" si="22"/>
        <v>83</v>
      </c>
      <c r="N1426" t="b">
        <v>0</v>
      </c>
      <c r="O1426">
        <v>0</v>
      </c>
      <c r="Q1426">
        <v>0</v>
      </c>
      <c r="R1426" t="b">
        <v>0</v>
      </c>
    </row>
    <row r="1427" spans="1:18" hidden="1">
      <c r="A1427" t="s">
        <v>1424</v>
      </c>
      <c r="B1427" t="s">
        <v>3772</v>
      </c>
      <c r="C1427" t="s">
        <v>3773</v>
      </c>
      <c r="E1427">
        <v>8</v>
      </c>
      <c r="F1427">
        <v>57</v>
      </c>
      <c r="G1427">
        <v>10</v>
      </c>
      <c r="H1427">
        <v>12</v>
      </c>
      <c r="J1427" t="s">
        <v>93</v>
      </c>
      <c r="K1427" t="b">
        <v>0</v>
      </c>
      <c r="L1427">
        <f t="shared" si="22"/>
        <v>18</v>
      </c>
      <c r="M1427">
        <f t="shared" si="22"/>
        <v>69</v>
      </c>
      <c r="N1427" t="b">
        <v>0</v>
      </c>
      <c r="O1427">
        <v>0</v>
      </c>
      <c r="Q1427">
        <v>0</v>
      </c>
      <c r="R1427" t="b">
        <v>0</v>
      </c>
    </row>
    <row r="1428" spans="1:18" hidden="1">
      <c r="A1428" t="s">
        <v>37</v>
      </c>
      <c r="B1428" t="s">
        <v>3774</v>
      </c>
      <c r="C1428" t="s">
        <v>3775</v>
      </c>
      <c r="E1428">
        <v>7</v>
      </c>
      <c r="F1428">
        <v>439</v>
      </c>
      <c r="G1428">
        <v>11</v>
      </c>
      <c r="H1428">
        <v>270</v>
      </c>
      <c r="J1428" t="s">
        <v>93</v>
      </c>
      <c r="K1428" t="b">
        <v>1</v>
      </c>
      <c r="L1428">
        <f t="shared" si="22"/>
        <v>18</v>
      </c>
      <c r="M1428">
        <f t="shared" si="22"/>
        <v>709</v>
      </c>
      <c r="N1428" t="b">
        <v>0</v>
      </c>
      <c r="O1428">
        <v>0</v>
      </c>
      <c r="Q1428">
        <v>0</v>
      </c>
      <c r="R1428" t="b">
        <v>0</v>
      </c>
    </row>
    <row r="1429" spans="1:18" hidden="1">
      <c r="A1429" t="s">
        <v>37</v>
      </c>
      <c r="B1429" t="s">
        <v>3776</v>
      </c>
      <c r="C1429" t="s">
        <v>3777</v>
      </c>
      <c r="E1429">
        <v>12</v>
      </c>
      <c r="F1429">
        <v>455</v>
      </c>
      <c r="G1429">
        <v>6</v>
      </c>
      <c r="H1429">
        <v>46</v>
      </c>
      <c r="J1429" t="s">
        <v>93</v>
      </c>
      <c r="K1429" t="b">
        <v>1</v>
      </c>
      <c r="L1429">
        <f t="shared" si="22"/>
        <v>18</v>
      </c>
      <c r="M1429">
        <f t="shared" si="22"/>
        <v>501</v>
      </c>
      <c r="N1429" t="b">
        <v>0</v>
      </c>
      <c r="O1429">
        <v>0</v>
      </c>
      <c r="Q1429">
        <v>0</v>
      </c>
      <c r="R1429" t="b">
        <v>0</v>
      </c>
    </row>
    <row r="1430" spans="1:18">
      <c r="A1430" t="s">
        <v>2759</v>
      </c>
      <c r="B1430" t="s">
        <v>3778</v>
      </c>
      <c r="C1430" t="s">
        <v>3779</v>
      </c>
      <c r="E1430">
        <v>17</v>
      </c>
      <c r="F1430">
        <v>238</v>
      </c>
      <c r="G1430">
        <v>1</v>
      </c>
      <c r="H1430">
        <v>1</v>
      </c>
      <c r="J1430" t="s">
        <v>22</v>
      </c>
      <c r="K1430" t="b">
        <v>1</v>
      </c>
      <c r="L1430">
        <f t="shared" si="22"/>
        <v>18</v>
      </c>
      <c r="M1430">
        <f t="shared" si="22"/>
        <v>239</v>
      </c>
      <c r="N1430" t="b">
        <v>0</v>
      </c>
      <c r="O1430">
        <v>1</v>
      </c>
      <c r="P1430" t="s">
        <v>3780</v>
      </c>
      <c r="Q1430">
        <v>2</v>
      </c>
      <c r="R1430" t="b">
        <v>1</v>
      </c>
    </row>
    <row r="1431" spans="1:18">
      <c r="A1431" t="s">
        <v>1334</v>
      </c>
      <c r="B1431" t="s">
        <v>3781</v>
      </c>
      <c r="C1431" t="s">
        <v>3782</v>
      </c>
      <c r="E1431">
        <v>14</v>
      </c>
      <c r="F1431">
        <v>17</v>
      </c>
      <c r="G1431">
        <v>4</v>
      </c>
      <c r="H1431">
        <v>12</v>
      </c>
      <c r="J1431" t="s">
        <v>22</v>
      </c>
      <c r="K1431" t="b">
        <v>1</v>
      </c>
      <c r="L1431">
        <f t="shared" si="22"/>
        <v>18</v>
      </c>
      <c r="M1431">
        <f t="shared" si="22"/>
        <v>29</v>
      </c>
      <c r="N1431" t="b">
        <v>0</v>
      </c>
      <c r="O1431">
        <v>1</v>
      </c>
      <c r="P1431" t="s">
        <v>3783</v>
      </c>
      <c r="Q1431">
        <v>1</v>
      </c>
      <c r="R1431" t="b">
        <v>1</v>
      </c>
    </row>
    <row r="1432" spans="1:18">
      <c r="A1432" t="s">
        <v>30</v>
      </c>
      <c r="B1432" t="s">
        <v>3784</v>
      </c>
      <c r="C1432" t="s">
        <v>3785</v>
      </c>
      <c r="E1432">
        <v>16</v>
      </c>
      <c r="F1432">
        <v>44</v>
      </c>
      <c r="G1432">
        <v>2</v>
      </c>
      <c r="H1432">
        <v>26</v>
      </c>
      <c r="J1432" t="s">
        <v>22</v>
      </c>
      <c r="K1432" t="b">
        <v>1</v>
      </c>
      <c r="L1432">
        <f t="shared" si="22"/>
        <v>18</v>
      </c>
      <c r="M1432">
        <f t="shared" si="22"/>
        <v>70</v>
      </c>
      <c r="N1432" t="b">
        <v>0</v>
      </c>
      <c r="O1432">
        <v>1</v>
      </c>
      <c r="P1432" t="s">
        <v>3786</v>
      </c>
      <c r="Q1432">
        <v>2</v>
      </c>
      <c r="R1432" t="b">
        <v>1</v>
      </c>
    </row>
    <row r="1433" spans="1:18" hidden="1">
      <c r="A1433" t="s">
        <v>87</v>
      </c>
      <c r="B1433" t="s">
        <v>3787</v>
      </c>
      <c r="C1433" t="s">
        <v>3788</v>
      </c>
      <c r="E1433">
        <v>13</v>
      </c>
      <c r="F1433">
        <v>32</v>
      </c>
      <c r="G1433">
        <v>5</v>
      </c>
      <c r="H1433">
        <v>6</v>
      </c>
      <c r="J1433" t="s">
        <v>93</v>
      </c>
      <c r="K1433" t="b">
        <v>1</v>
      </c>
      <c r="L1433">
        <f t="shared" si="22"/>
        <v>18</v>
      </c>
      <c r="M1433">
        <f t="shared" si="22"/>
        <v>38</v>
      </c>
      <c r="N1433" t="b">
        <v>0</v>
      </c>
      <c r="O1433">
        <v>0</v>
      </c>
      <c r="Q1433">
        <v>0</v>
      </c>
      <c r="R1433" t="b">
        <v>0</v>
      </c>
    </row>
    <row r="1434" spans="1:18">
      <c r="A1434" t="s">
        <v>334</v>
      </c>
      <c r="B1434" t="s">
        <v>3789</v>
      </c>
      <c r="C1434" t="s">
        <v>3790</v>
      </c>
      <c r="E1434">
        <v>11</v>
      </c>
      <c r="F1434">
        <v>122</v>
      </c>
      <c r="G1434">
        <v>6</v>
      </c>
      <c r="H1434">
        <v>227</v>
      </c>
      <c r="J1434" t="s">
        <v>22</v>
      </c>
      <c r="K1434" t="b">
        <v>1</v>
      </c>
      <c r="L1434">
        <f t="shared" si="22"/>
        <v>17</v>
      </c>
      <c r="M1434">
        <f t="shared" si="22"/>
        <v>349</v>
      </c>
      <c r="N1434" t="b">
        <v>0</v>
      </c>
      <c r="O1434">
        <v>1</v>
      </c>
      <c r="P1434" t="s">
        <v>3791</v>
      </c>
      <c r="Q1434">
        <v>2</v>
      </c>
      <c r="R1434" t="b">
        <v>1</v>
      </c>
    </row>
    <row r="1435" spans="1:18">
      <c r="A1435" t="s">
        <v>1191</v>
      </c>
      <c r="B1435" t="s">
        <v>3792</v>
      </c>
      <c r="C1435" t="s">
        <v>3793</v>
      </c>
      <c r="E1435">
        <v>10</v>
      </c>
      <c r="F1435">
        <v>16</v>
      </c>
      <c r="G1435">
        <v>7</v>
      </c>
      <c r="H1435">
        <v>15</v>
      </c>
      <c r="J1435" t="s">
        <v>22</v>
      </c>
      <c r="K1435" t="b">
        <v>1</v>
      </c>
      <c r="L1435">
        <f t="shared" si="22"/>
        <v>17</v>
      </c>
      <c r="M1435">
        <f t="shared" si="22"/>
        <v>31</v>
      </c>
      <c r="N1435" t="b">
        <v>0</v>
      </c>
      <c r="O1435">
        <v>1</v>
      </c>
      <c r="P1435" t="s">
        <v>3794</v>
      </c>
      <c r="Q1435">
        <v>2</v>
      </c>
      <c r="R1435" t="b">
        <v>1</v>
      </c>
    </row>
    <row r="1436" spans="1:18">
      <c r="A1436" t="s">
        <v>3627</v>
      </c>
      <c r="B1436" t="s">
        <v>3795</v>
      </c>
      <c r="C1436" t="s">
        <v>3796</v>
      </c>
      <c r="E1436">
        <v>10</v>
      </c>
      <c r="F1436">
        <v>1073</v>
      </c>
      <c r="G1436">
        <v>7</v>
      </c>
      <c r="H1436">
        <v>33</v>
      </c>
      <c r="J1436" t="s">
        <v>22</v>
      </c>
      <c r="K1436" t="b">
        <v>1</v>
      </c>
      <c r="L1436">
        <f t="shared" si="22"/>
        <v>17</v>
      </c>
      <c r="M1436">
        <f t="shared" si="22"/>
        <v>1106</v>
      </c>
      <c r="N1436" t="b">
        <v>0</v>
      </c>
      <c r="O1436">
        <v>1</v>
      </c>
      <c r="P1436" t="s">
        <v>3797</v>
      </c>
      <c r="Q1436">
        <v>2</v>
      </c>
      <c r="R1436" t="b">
        <v>1</v>
      </c>
    </row>
    <row r="1437" spans="1:18">
      <c r="A1437" t="s">
        <v>3627</v>
      </c>
      <c r="B1437" t="s">
        <v>3798</v>
      </c>
      <c r="C1437" t="s">
        <v>3799</v>
      </c>
      <c r="E1437">
        <v>10</v>
      </c>
      <c r="F1437">
        <v>1073</v>
      </c>
      <c r="G1437">
        <v>7</v>
      </c>
      <c r="H1437">
        <v>33</v>
      </c>
      <c r="J1437" t="s">
        <v>22</v>
      </c>
      <c r="K1437" t="b">
        <v>1</v>
      </c>
      <c r="L1437">
        <f t="shared" si="22"/>
        <v>17</v>
      </c>
      <c r="M1437">
        <f t="shared" si="22"/>
        <v>1106</v>
      </c>
      <c r="N1437" t="b">
        <v>0</v>
      </c>
      <c r="O1437">
        <v>1</v>
      </c>
      <c r="P1437" t="s">
        <v>3800</v>
      </c>
      <c r="Q1437">
        <v>2</v>
      </c>
      <c r="R1437" t="b">
        <v>1</v>
      </c>
    </row>
    <row r="1438" spans="1:18">
      <c r="A1438" t="s">
        <v>3801</v>
      </c>
      <c r="B1438" t="s">
        <v>3802</v>
      </c>
      <c r="C1438" t="s">
        <v>3803</v>
      </c>
      <c r="E1438">
        <v>11</v>
      </c>
      <c r="F1438">
        <v>46</v>
      </c>
      <c r="G1438">
        <v>6</v>
      </c>
      <c r="H1438">
        <v>48</v>
      </c>
      <c r="J1438" t="s">
        <v>22</v>
      </c>
      <c r="K1438" t="b">
        <v>1</v>
      </c>
      <c r="L1438">
        <f t="shared" si="22"/>
        <v>17</v>
      </c>
      <c r="M1438">
        <f t="shared" si="22"/>
        <v>94</v>
      </c>
      <c r="N1438" t="b">
        <v>0</v>
      </c>
      <c r="O1438">
        <v>1</v>
      </c>
      <c r="P1438" t="s">
        <v>3804</v>
      </c>
      <c r="Q1438">
        <v>1</v>
      </c>
      <c r="R1438" t="b">
        <v>1</v>
      </c>
    </row>
    <row r="1439" spans="1:18">
      <c r="A1439" t="s">
        <v>3801</v>
      </c>
      <c r="B1439" t="s">
        <v>3805</v>
      </c>
      <c r="C1439" t="s">
        <v>3806</v>
      </c>
      <c r="E1439">
        <v>11</v>
      </c>
      <c r="F1439">
        <v>46</v>
      </c>
      <c r="G1439">
        <v>6</v>
      </c>
      <c r="H1439">
        <v>48</v>
      </c>
      <c r="J1439" t="s">
        <v>22</v>
      </c>
      <c r="K1439" t="b">
        <v>1</v>
      </c>
      <c r="L1439">
        <f t="shared" si="22"/>
        <v>17</v>
      </c>
      <c r="M1439">
        <f t="shared" si="22"/>
        <v>94</v>
      </c>
      <c r="N1439" t="b">
        <v>0</v>
      </c>
      <c r="O1439">
        <v>1</v>
      </c>
      <c r="P1439" t="s">
        <v>3807</v>
      </c>
      <c r="Q1439">
        <v>1</v>
      </c>
      <c r="R1439" t="b">
        <v>1</v>
      </c>
    </row>
    <row r="1440" spans="1:18" hidden="1">
      <c r="A1440" t="s">
        <v>790</v>
      </c>
      <c r="B1440" t="s">
        <v>3808</v>
      </c>
      <c r="C1440" t="s">
        <v>3809</v>
      </c>
      <c r="E1440">
        <v>12</v>
      </c>
      <c r="F1440">
        <v>66</v>
      </c>
      <c r="G1440">
        <v>5</v>
      </c>
      <c r="H1440">
        <v>11</v>
      </c>
      <c r="J1440" t="s">
        <v>93</v>
      </c>
      <c r="K1440" t="b">
        <v>0</v>
      </c>
      <c r="L1440">
        <f t="shared" si="22"/>
        <v>17</v>
      </c>
      <c r="M1440">
        <f t="shared" si="22"/>
        <v>77</v>
      </c>
      <c r="N1440" t="b">
        <v>0</v>
      </c>
      <c r="O1440">
        <v>0</v>
      </c>
      <c r="Q1440">
        <v>0</v>
      </c>
      <c r="R1440" t="b">
        <v>0</v>
      </c>
    </row>
    <row r="1441" spans="1:18" hidden="1">
      <c r="A1441" t="s">
        <v>3810</v>
      </c>
      <c r="B1441" t="s">
        <v>3811</v>
      </c>
      <c r="C1441" t="s">
        <v>3812</v>
      </c>
      <c r="E1441">
        <v>17</v>
      </c>
      <c r="F1441">
        <v>48</v>
      </c>
      <c r="G1441">
        <v>0</v>
      </c>
      <c r="H1441">
        <v>0</v>
      </c>
      <c r="J1441" t="s">
        <v>93</v>
      </c>
      <c r="K1441" t="b">
        <v>0</v>
      </c>
      <c r="L1441">
        <f t="shared" si="22"/>
        <v>17</v>
      </c>
      <c r="M1441">
        <f t="shared" si="22"/>
        <v>48</v>
      </c>
      <c r="N1441" t="b">
        <v>0</v>
      </c>
      <c r="O1441">
        <v>0</v>
      </c>
      <c r="Q1441">
        <v>0</v>
      </c>
      <c r="R1441" t="b">
        <v>0</v>
      </c>
    </row>
    <row r="1442" spans="1:18" hidden="1">
      <c r="A1442" t="s">
        <v>3810</v>
      </c>
      <c r="B1442" t="s">
        <v>3813</v>
      </c>
      <c r="C1442" t="s">
        <v>3814</v>
      </c>
      <c r="E1442">
        <v>17</v>
      </c>
      <c r="F1442">
        <v>48</v>
      </c>
      <c r="G1442">
        <v>0</v>
      </c>
      <c r="H1442">
        <v>0</v>
      </c>
      <c r="J1442" t="s">
        <v>93</v>
      </c>
      <c r="K1442" t="b">
        <v>0</v>
      </c>
      <c r="L1442">
        <f t="shared" si="22"/>
        <v>17</v>
      </c>
      <c r="M1442">
        <f t="shared" si="22"/>
        <v>48</v>
      </c>
      <c r="N1442" t="b">
        <v>0</v>
      </c>
      <c r="O1442">
        <v>0</v>
      </c>
      <c r="Q1442">
        <v>0</v>
      </c>
      <c r="R1442" t="b">
        <v>0</v>
      </c>
    </row>
    <row r="1443" spans="1:18" hidden="1">
      <c r="A1443" t="s">
        <v>3810</v>
      </c>
      <c r="B1443" t="s">
        <v>3815</v>
      </c>
      <c r="C1443" t="s">
        <v>3816</v>
      </c>
      <c r="E1443">
        <v>17</v>
      </c>
      <c r="F1443">
        <v>48</v>
      </c>
      <c r="G1443">
        <v>0</v>
      </c>
      <c r="H1443">
        <v>0</v>
      </c>
      <c r="J1443" t="s">
        <v>93</v>
      </c>
      <c r="K1443" t="b">
        <v>0</v>
      </c>
      <c r="L1443">
        <f t="shared" si="22"/>
        <v>17</v>
      </c>
      <c r="M1443">
        <f t="shared" si="22"/>
        <v>48</v>
      </c>
      <c r="N1443" t="b">
        <v>0</v>
      </c>
      <c r="O1443">
        <v>0</v>
      </c>
      <c r="Q1443">
        <v>0</v>
      </c>
      <c r="R1443" t="b">
        <v>0</v>
      </c>
    </row>
    <row r="1444" spans="1:18" hidden="1">
      <c r="A1444" t="s">
        <v>3810</v>
      </c>
      <c r="B1444" t="s">
        <v>3817</v>
      </c>
      <c r="C1444" t="s">
        <v>3818</v>
      </c>
      <c r="E1444">
        <v>17</v>
      </c>
      <c r="F1444">
        <v>48</v>
      </c>
      <c r="G1444">
        <v>0</v>
      </c>
      <c r="H1444">
        <v>0</v>
      </c>
      <c r="J1444" t="s">
        <v>93</v>
      </c>
      <c r="K1444" t="b">
        <v>0</v>
      </c>
      <c r="L1444">
        <f t="shared" si="22"/>
        <v>17</v>
      </c>
      <c r="M1444">
        <f t="shared" si="22"/>
        <v>48</v>
      </c>
      <c r="N1444" t="b">
        <v>0</v>
      </c>
      <c r="O1444">
        <v>0</v>
      </c>
      <c r="Q1444">
        <v>0</v>
      </c>
      <c r="R1444" t="b">
        <v>0</v>
      </c>
    </row>
    <row r="1445" spans="1:18" hidden="1">
      <c r="A1445" t="s">
        <v>3514</v>
      </c>
      <c r="B1445" t="s">
        <v>3819</v>
      </c>
      <c r="C1445" t="s">
        <v>3820</v>
      </c>
      <c r="E1445">
        <v>12</v>
      </c>
      <c r="F1445">
        <v>30</v>
      </c>
      <c r="G1445">
        <v>5</v>
      </c>
      <c r="H1445">
        <v>16</v>
      </c>
      <c r="J1445" t="s">
        <v>93</v>
      </c>
      <c r="K1445" t="b">
        <v>0</v>
      </c>
      <c r="L1445">
        <f t="shared" si="22"/>
        <v>17</v>
      </c>
      <c r="M1445">
        <f t="shared" si="22"/>
        <v>46</v>
      </c>
      <c r="N1445" t="b">
        <v>0</v>
      </c>
      <c r="O1445">
        <v>0</v>
      </c>
      <c r="Q1445">
        <v>0</v>
      </c>
      <c r="R1445" t="b">
        <v>0</v>
      </c>
    </row>
    <row r="1446" spans="1:18" hidden="1">
      <c r="A1446" t="s">
        <v>3511</v>
      </c>
      <c r="B1446" t="s">
        <v>3821</v>
      </c>
      <c r="C1446" t="s">
        <v>3822</v>
      </c>
      <c r="E1446">
        <v>13</v>
      </c>
      <c r="F1446">
        <v>31</v>
      </c>
      <c r="G1446">
        <v>4</v>
      </c>
      <c r="H1446">
        <v>14</v>
      </c>
      <c r="J1446" t="s">
        <v>93</v>
      </c>
      <c r="K1446" t="b">
        <v>0</v>
      </c>
      <c r="L1446">
        <f t="shared" si="22"/>
        <v>17</v>
      </c>
      <c r="M1446">
        <f t="shared" si="22"/>
        <v>45</v>
      </c>
      <c r="N1446" t="b">
        <v>0</v>
      </c>
      <c r="O1446">
        <v>0</v>
      </c>
      <c r="Q1446">
        <v>0</v>
      </c>
      <c r="R1446" t="b">
        <v>0</v>
      </c>
    </row>
    <row r="1447" spans="1:18" hidden="1">
      <c r="A1447" t="s">
        <v>37</v>
      </c>
      <c r="B1447" t="s">
        <v>3823</v>
      </c>
      <c r="C1447" t="s">
        <v>3824</v>
      </c>
      <c r="E1447">
        <v>6</v>
      </c>
      <c r="F1447">
        <v>6</v>
      </c>
      <c r="G1447">
        <v>11</v>
      </c>
      <c r="H1447">
        <v>192</v>
      </c>
      <c r="J1447" t="s">
        <v>93</v>
      </c>
      <c r="K1447" t="b">
        <v>1</v>
      </c>
      <c r="L1447">
        <f t="shared" si="22"/>
        <v>17</v>
      </c>
      <c r="M1447">
        <f t="shared" si="22"/>
        <v>198</v>
      </c>
      <c r="N1447" t="b">
        <v>0</v>
      </c>
      <c r="O1447">
        <v>0</v>
      </c>
      <c r="Q1447">
        <v>0</v>
      </c>
      <c r="R1447" t="b">
        <v>0</v>
      </c>
    </row>
    <row r="1448" spans="1:18" hidden="1">
      <c r="A1448" t="s">
        <v>2477</v>
      </c>
      <c r="B1448" t="s">
        <v>3825</v>
      </c>
      <c r="C1448" t="s">
        <v>3826</v>
      </c>
      <c r="E1448">
        <v>7</v>
      </c>
      <c r="F1448">
        <v>5</v>
      </c>
      <c r="G1448">
        <v>10</v>
      </c>
      <c r="H1448">
        <v>19</v>
      </c>
      <c r="J1448" t="s">
        <v>93</v>
      </c>
      <c r="K1448" t="b">
        <v>0</v>
      </c>
      <c r="L1448">
        <f t="shared" si="22"/>
        <v>17</v>
      </c>
      <c r="M1448">
        <f t="shared" si="22"/>
        <v>24</v>
      </c>
      <c r="N1448" t="b">
        <v>0</v>
      </c>
      <c r="O1448">
        <v>0</v>
      </c>
      <c r="Q1448">
        <v>0</v>
      </c>
      <c r="R1448" t="b">
        <v>0</v>
      </c>
    </row>
    <row r="1449" spans="1:18" hidden="1">
      <c r="A1449" t="s">
        <v>706</v>
      </c>
      <c r="B1449" t="s">
        <v>3827</v>
      </c>
      <c r="C1449" t="s">
        <v>3828</v>
      </c>
      <c r="E1449">
        <v>10</v>
      </c>
      <c r="F1449">
        <v>10</v>
      </c>
      <c r="G1449">
        <v>7</v>
      </c>
      <c r="H1449">
        <v>14</v>
      </c>
      <c r="J1449" t="s">
        <v>93</v>
      </c>
      <c r="K1449" t="b">
        <v>0</v>
      </c>
      <c r="L1449">
        <f t="shared" si="22"/>
        <v>17</v>
      </c>
      <c r="M1449">
        <f t="shared" si="22"/>
        <v>24</v>
      </c>
      <c r="N1449" t="b">
        <v>0</v>
      </c>
      <c r="O1449">
        <v>0</v>
      </c>
      <c r="Q1449">
        <v>0</v>
      </c>
      <c r="R1449" t="b">
        <v>0</v>
      </c>
    </row>
    <row r="1450" spans="1:18">
      <c r="A1450" t="s">
        <v>3478</v>
      </c>
      <c r="B1450" t="s">
        <v>3829</v>
      </c>
      <c r="C1450" t="s">
        <v>3830</v>
      </c>
      <c r="E1450">
        <v>12</v>
      </c>
      <c r="F1450">
        <v>27</v>
      </c>
      <c r="G1450">
        <v>5</v>
      </c>
      <c r="H1450">
        <v>7</v>
      </c>
      <c r="J1450" t="s">
        <v>22</v>
      </c>
      <c r="K1450" t="b">
        <v>1</v>
      </c>
      <c r="L1450">
        <f t="shared" si="22"/>
        <v>17</v>
      </c>
      <c r="M1450">
        <f t="shared" si="22"/>
        <v>34</v>
      </c>
      <c r="N1450" t="b">
        <v>0</v>
      </c>
      <c r="O1450">
        <v>1</v>
      </c>
      <c r="P1450" t="s">
        <v>3831</v>
      </c>
      <c r="Q1450">
        <v>2</v>
      </c>
      <c r="R1450" t="b">
        <v>1</v>
      </c>
    </row>
    <row r="1451" spans="1:18" hidden="1">
      <c r="A1451" t="s">
        <v>133</v>
      </c>
      <c r="B1451" t="s">
        <v>3832</v>
      </c>
      <c r="C1451" t="s">
        <v>3833</v>
      </c>
      <c r="E1451">
        <v>10</v>
      </c>
      <c r="F1451">
        <v>39</v>
      </c>
      <c r="G1451">
        <v>7</v>
      </c>
      <c r="H1451">
        <v>62</v>
      </c>
      <c r="J1451" t="s">
        <v>93</v>
      </c>
      <c r="K1451" t="b">
        <v>1</v>
      </c>
      <c r="L1451">
        <f t="shared" si="22"/>
        <v>17</v>
      </c>
      <c r="M1451">
        <f t="shared" si="22"/>
        <v>101</v>
      </c>
      <c r="N1451" t="b">
        <v>0</v>
      </c>
      <c r="O1451">
        <v>0</v>
      </c>
      <c r="Q1451">
        <v>0</v>
      </c>
      <c r="R1451" t="b">
        <v>0</v>
      </c>
    </row>
    <row r="1452" spans="1:18">
      <c r="A1452" t="s">
        <v>192</v>
      </c>
      <c r="B1452" t="s">
        <v>3834</v>
      </c>
      <c r="C1452" t="s">
        <v>3835</v>
      </c>
      <c r="E1452">
        <v>14</v>
      </c>
      <c r="F1452">
        <v>103</v>
      </c>
      <c r="G1452">
        <v>3</v>
      </c>
      <c r="H1452">
        <v>32</v>
      </c>
      <c r="J1452" t="s">
        <v>22</v>
      </c>
      <c r="K1452" t="b">
        <v>1</v>
      </c>
      <c r="L1452">
        <f t="shared" si="22"/>
        <v>17</v>
      </c>
      <c r="M1452">
        <f t="shared" si="22"/>
        <v>135</v>
      </c>
      <c r="N1452" t="b">
        <v>0</v>
      </c>
      <c r="O1452">
        <v>1</v>
      </c>
      <c r="P1452" t="s">
        <v>3836</v>
      </c>
      <c r="Q1452">
        <v>2</v>
      </c>
      <c r="R1452" t="b">
        <v>1</v>
      </c>
    </row>
    <row r="1453" spans="1:18" hidden="1">
      <c r="A1453" t="s">
        <v>160</v>
      </c>
      <c r="B1453" t="s">
        <v>3837</v>
      </c>
      <c r="C1453" t="s">
        <v>3838</v>
      </c>
      <c r="E1453">
        <v>11</v>
      </c>
      <c r="F1453">
        <v>163</v>
      </c>
      <c r="G1453">
        <v>6</v>
      </c>
      <c r="H1453">
        <v>86</v>
      </c>
      <c r="J1453" t="s">
        <v>93</v>
      </c>
      <c r="K1453" t="b">
        <v>1</v>
      </c>
      <c r="L1453">
        <f t="shared" si="22"/>
        <v>17</v>
      </c>
      <c r="M1453">
        <f t="shared" si="22"/>
        <v>249</v>
      </c>
      <c r="N1453" t="b">
        <v>0</v>
      </c>
      <c r="O1453">
        <v>0.25</v>
      </c>
      <c r="P1453" t="s">
        <v>3289</v>
      </c>
      <c r="Q1453">
        <v>2</v>
      </c>
      <c r="R1453" t="b">
        <v>1</v>
      </c>
    </row>
    <row r="1454" spans="1:18" hidden="1">
      <c r="A1454" t="s">
        <v>3627</v>
      </c>
      <c r="B1454" t="s">
        <v>3839</v>
      </c>
      <c r="C1454" s="2" t="s">
        <v>3840</v>
      </c>
      <c r="D1454" s="2"/>
      <c r="E1454">
        <v>9</v>
      </c>
      <c r="F1454">
        <v>1073</v>
      </c>
      <c r="G1454">
        <v>7</v>
      </c>
      <c r="H1454">
        <v>32</v>
      </c>
      <c r="J1454" t="s">
        <v>93</v>
      </c>
      <c r="K1454" t="b">
        <v>1</v>
      </c>
      <c r="L1454">
        <f t="shared" si="22"/>
        <v>16</v>
      </c>
      <c r="M1454">
        <f t="shared" si="22"/>
        <v>1105</v>
      </c>
      <c r="N1454" t="b">
        <v>0</v>
      </c>
      <c r="O1454">
        <v>0</v>
      </c>
      <c r="Q1454">
        <v>0</v>
      </c>
      <c r="R1454" t="b">
        <v>0</v>
      </c>
    </row>
    <row r="1455" spans="1:18">
      <c r="A1455" t="s">
        <v>1224</v>
      </c>
      <c r="B1455" t="s">
        <v>3841</v>
      </c>
      <c r="C1455" t="s">
        <v>3842</v>
      </c>
      <c r="E1455">
        <v>14</v>
      </c>
      <c r="F1455">
        <v>120</v>
      </c>
      <c r="G1455">
        <v>2</v>
      </c>
      <c r="H1455">
        <v>7</v>
      </c>
      <c r="J1455" t="s">
        <v>22</v>
      </c>
      <c r="K1455" t="b">
        <v>1</v>
      </c>
      <c r="L1455">
        <f t="shared" si="22"/>
        <v>16</v>
      </c>
      <c r="M1455">
        <f t="shared" si="22"/>
        <v>127</v>
      </c>
      <c r="N1455" t="b">
        <v>0</v>
      </c>
      <c r="O1455">
        <v>1</v>
      </c>
      <c r="P1455" t="s">
        <v>3843</v>
      </c>
      <c r="Q1455">
        <v>2</v>
      </c>
      <c r="R1455" t="b">
        <v>1</v>
      </c>
    </row>
    <row r="1456" spans="1:18" hidden="1">
      <c r="A1456" t="s">
        <v>24</v>
      </c>
      <c r="B1456" t="s">
        <v>3844</v>
      </c>
      <c r="C1456" t="s">
        <v>3845</v>
      </c>
      <c r="E1456">
        <v>14</v>
      </c>
      <c r="F1456">
        <v>90</v>
      </c>
      <c r="G1456">
        <v>2</v>
      </c>
      <c r="H1456">
        <v>10</v>
      </c>
      <c r="J1456" t="s">
        <v>93</v>
      </c>
      <c r="K1456" t="b">
        <v>1</v>
      </c>
      <c r="L1456">
        <f t="shared" si="22"/>
        <v>16</v>
      </c>
      <c r="M1456">
        <f t="shared" si="22"/>
        <v>100</v>
      </c>
      <c r="N1456" t="b">
        <v>0</v>
      </c>
      <c r="O1456">
        <v>0.5</v>
      </c>
      <c r="P1456" t="s">
        <v>77</v>
      </c>
      <c r="Q1456">
        <v>30</v>
      </c>
      <c r="R1456" t="b">
        <v>1</v>
      </c>
    </row>
    <row r="1457" spans="1:18" hidden="1">
      <c r="A1457" t="s">
        <v>24</v>
      </c>
      <c r="B1457" t="s">
        <v>3846</v>
      </c>
      <c r="C1457" t="s">
        <v>3847</v>
      </c>
      <c r="E1457">
        <v>16</v>
      </c>
      <c r="F1457">
        <v>144</v>
      </c>
      <c r="G1457">
        <v>0</v>
      </c>
      <c r="H1457">
        <v>0</v>
      </c>
      <c r="J1457" t="s">
        <v>93</v>
      </c>
      <c r="K1457" t="b">
        <v>1</v>
      </c>
      <c r="L1457">
        <f t="shared" si="22"/>
        <v>16</v>
      </c>
      <c r="M1457">
        <f t="shared" si="22"/>
        <v>144</v>
      </c>
      <c r="N1457" t="b">
        <v>0</v>
      </c>
      <c r="O1457">
        <v>0</v>
      </c>
      <c r="Q1457">
        <v>0</v>
      </c>
      <c r="R1457" t="b">
        <v>0</v>
      </c>
    </row>
    <row r="1458" spans="1:18" hidden="1">
      <c r="A1458" t="s">
        <v>24</v>
      </c>
      <c r="B1458" t="s">
        <v>3848</v>
      </c>
      <c r="C1458" t="s">
        <v>3849</v>
      </c>
      <c r="E1458">
        <v>9</v>
      </c>
      <c r="F1458">
        <v>76</v>
      </c>
      <c r="G1458">
        <v>7</v>
      </c>
      <c r="H1458">
        <v>49</v>
      </c>
      <c r="J1458" t="s">
        <v>93</v>
      </c>
      <c r="K1458" t="b">
        <v>1</v>
      </c>
      <c r="L1458">
        <f t="shared" si="22"/>
        <v>16</v>
      </c>
      <c r="M1458">
        <f t="shared" si="22"/>
        <v>125</v>
      </c>
      <c r="N1458" t="b">
        <v>0</v>
      </c>
      <c r="O1458">
        <v>0</v>
      </c>
      <c r="Q1458">
        <v>0</v>
      </c>
      <c r="R1458" t="b">
        <v>0</v>
      </c>
    </row>
    <row r="1459" spans="1:18">
      <c r="A1459" t="s">
        <v>24</v>
      </c>
      <c r="B1459" t="s">
        <v>3850</v>
      </c>
      <c r="C1459" t="s">
        <v>3851</v>
      </c>
      <c r="E1459">
        <v>13</v>
      </c>
      <c r="F1459">
        <v>103</v>
      </c>
      <c r="G1459">
        <v>3</v>
      </c>
      <c r="H1459">
        <v>32</v>
      </c>
      <c r="J1459" t="s">
        <v>22</v>
      </c>
      <c r="K1459" t="b">
        <v>1</v>
      </c>
      <c r="L1459">
        <f t="shared" si="22"/>
        <v>16</v>
      </c>
      <c r="M1459">
        <f t="shared" si="22"/>
        <v>135</v>
      </c>
      <c r="N1459" t="b">
        <v>0</v>
      </c>
      <c r="O1459">
        <v>1</v>
      </c>
      <c r="P1459" t="s">
        <v>3852</v>
      </c>
      <c r="Q1459">
        <v>2</v>
      </c>
      <c r="R1459" t="b">
        <v>1</v>
      </c>
    </row>
    <row r="1460" spans="1:18" hidden="1">
      <c r="A1460" t="s">
        <v>205</v>
      </c>
      <c r="B1460" t="s">
        <v>3853</v>
      </c>
      <c r="C1460" t="s">
        <v>3854</v>
      </c>
      <c r="E1460">
        <v>10</v>
      </c>
      <c r="F1460">
        <v>31</v>
      </c>
      <c r="G1460">
        <v>6</v>
      </c>
      <c r="H1460">
        <v>13</v>
      </c>
      <c r="J1460" t="s">
        <v>93</v>
      </c>
      <c r="K1460" t="b">
        <v>1</v>
      </c>
      <c r="L1460">
        <f t="shared" si="22"/>
        <v>16</v>
      </c>
      <c r="M1460">
        <f t="shared" si="22"/>
        <v>44</v>
      </c>
      <c r="N1460" t="b">
        <v>0</v>
      </c>
      <c r="O1460">
        <v>0</v>
      </c>
      <c r="Q1460">
        <v>0</v>
      </c>
      <c r="R1460" t="b">
        <v>0</v>
      </c>
    </row>
    <row r="1461" spans="1:18">
      <c r="A1461" t="s">
        <v>59</v>
      </c>
      <c r="B1461" t="s">
        <v>3855</v>
      </c>
      <c r="C1461" t="s">
        <v>3856</v>
      </c>
      <c r="E1461">
        <v>16</v>
      </c>
      <c r="F1461">
        <v>52</v>
      </c>
      <c r="G1461">
        <v>0</v>
      </c>
      <c r="H1461">
        <v>0</v>
      </c>
      <c r="J1461" t="s">
        <v>22</v>
      </c>
      <c r="K1461" t="b">
        <v>1</v>
      </c>
      <c r="L1461">
        <f t="shared" si="22"/>
        <v>16</v>
      </c>
      <c r="M1461">
        <f t="shared" si="22"/>
        <v>52</v>
      </c>
      <c r="N1461" t="b">
        <v>0</v>
      </c>
      <c r="O1461">
        <v>1</v>
      </c>
      <c r="P1461" t="s">
        <v>3857</v>
      </c>
      <c r="Q1461">
        <v>2</v>
      </c>
      <c r="R1461" t="b">
        <v>1</v>
      </c>
    </row>
    <row r="1462" spans="1:18" hidden="1">
      <c r="A1462" t="s">
        <v>768</v>
      </c>
      <c r="B1462" t="s">
        <v>3858</v>
      </c>
      <c r="C1462" t="s">
        <v>3859</v>
      </c>
      <c r="E1462">
        <v>11</v>
      </c>
      <c r="F1462">
        <v>105</v>
      </c>
      <c r="G1462">
        <v>5</v>
      </c>
      <c r="H1462">
        <v>13</v>
      </c>
      <c r="J1462" t="s">
        <v>93</v>
      </c>
      <c r="K1462" t="b">
        <v>0</v>
      </c>
      <c r="L1462">
        <f t="shared" si="22"/>
        <v>16</v>
      </c>
      <c r="M1462">
        <f t="shared" si="22"/>
        <v>118</v>
      </c>
      <c r="N1462" t="b">
        <v>0</v>
      </c>
      <c r="O1462">
        <v>0</v>
      </c>
      <c r="Q1462">
        <v>0</v>
      </c>
      <c r="R1462" t="b">
        <v>0</v>
      </c>
    </row>
    <row r="1463" spans="1:18">
      <c r="A1463" t="s">
        <v>2805</v>
      </c>
      <c r="B1463" t="s">
        <v>3860</v>
      </c>
      <c r="C1463" t="s">
        <v>3861</v>
      </c>
      <c r="E1463">
        <v>0</v>
      </c>
      <c r="F1463">
        <v>0</v>
      </c>
      <c r="G1463">
        <v>16</v>
      </c>
      <c r="H1463">
        <v>46</v>
      </c>
      <c r="J1463" t="s">
        <v>22</v>
      </c>
      <c r="K1463" t="b">
        <v>1</v>
      </c>
      <c r="L1463">
        <f t="shared" si="22"/>
        <v>16</v>
      </c>
      <c r="M1463">
        <f t="shared" si="22"/>
        <v>46</v>
      </c>
      <c r="N1463" t="b">
        <v>0</v>
      </c>
      <c r="O1463">
        <v>1</v>
      </c>
      <c r="P1463" t="s">
        <v>3862</v>
      </c>
      <c r="Q1463">
        <v>2</v>
      </c>
      <c r="R1463" t="b">
        <v>1</v>
      </c>
    </row>
    <row r="1464" spans="1:18">
      <c r="A1464" t="s">
        <v>2805</v>
      </c>
      <c r="B1464" t="s">
        <v>3863</v>
      </c>
      <c r="C1464" t="s">
        <v>3864</v>
      </c>
      <c r="E1464">
        <v>0</v>
      </c>
      <c r="F1464">
        <v>0</v>
      </c>
      <c r="G1464">
        <v>16</v>
      </c>
      <c r="H1464">
        <v>46</v>
      </c>
      <c r="J1464" t="s">
        <v>22</v>
      </c>
      <c r="K1464" t="b">
        <v>1</v>
      </c>
      <c r="L1464">
        <f t="shared" si="22"/>
        <v>16</v>
      </c>
      <c r="M1464">
        <f t="shared" si="22"/>
        <v>46</v>
      </c>
      <c r="N1464" t="b">
        <v>0</v>
      </c>
      <c r="O1464">
        <v>1</v>
      </c>
      <c r="P1464" t="s">
        <v>3865</v>
      </c>
      <c r="Q1464">
        <v>2</v>
      </c>
      <c r="R1464" t="b">
        <v>1</v>
      </c>
    </row>
    <row r="1465" spans="1:18">
      <c r="A1465" t="s">
        <v>2805</v>
      </c>
      <c r="B1465" t="s">
        <v>3866</v>
      </c>
      <c r="C1465" t="s">
        <v>3867</v>
      </c>
      <c r="E1465">
        <v>0</v>
      </c>
      <c r="F1465">
        <v>0</v>
      </c>
      <c r="G1465">
        <v>16</v>
      </c>
      <c r="H1465">
        <v>46</v>
      </c>
      <c r="J1465" t="s">
        <v>22</v>
      </c>
      <c r="K1465" t="b">
        <v>1</v>
      </c>
      <c r="L1465">
        <f t="shared" si="22"/>
        <v>16</v>
      </c>
      <c r="M1465">
        <f t="shared" si="22"/>
        <v>46</v>
      </c>
      <c r="N1465" t="b">
        <v>0</v>
      </c>
      <c r="O1465">
        <v>1</v>
      </c>
      <c r="P1465" t="s">
        <v>3868</v>
      </c>
      <c r="Q1465">
        <v>2</v>
      </c>
      <c r="R1465" t="b">
        <v>1</v>
      </c>
    </row>
    <row r="1466" spans="1:18">
      <c r="A1466" t="s">
        <v>2805</v>
      </c>
      <c r="B1466" t="s">
        <v>3869</v>
      </c>
      <c r="C1466" t="s">
        <v>3870</v>
      </c>
      <c r="E1466">
        <v>0</v>
      </c>
      <c r="F1466">
        <v>0</v>
      </c>
      <c r="G1466">
        <v>16</v>
      </c>
      <c r="H1466">
        <v>46</v>
      </c>
      <c r="J1466" t="s">
        <v>22</v>
      </c>
      <c r="K1466" t="b">
        <v>1</v>
      </c>
      <c r="L1466">
        <f t="shared" si="22"/>
        <v>16</v>
      </c>
      <c r="M1466">
        <f t="shared" si="22"/>
        <v>46</v>
      </c>
      <c r="N1466" t="b">
        <v>0</v>
      </c>
      <c r="O1466">
        <v>1</v>
      </c>
      <c r="P1466" t="s">
        <v>3871</v>
      </c>
      <c r="Q1466">
        <v>2</v>
      </c>
      <c r="R1466" t="b">
        <v>1</v>
      </c>
    </row>
    <row r="1467" spans="1:18" hidden="1">
      <c r="A1467" t="s">
        <v>37</v>
      </c>
      <c r="B1467" t="s">
        <v>3872</v>
      </c>
      <c r="C1467" t="s">
        <v>3873</v>
      </c>
      <c r="E1467">
        <v>3</v>
      </c>
      <c r="F1467">
        <v>43</v>
      </c>
      <c r="G1467">
        <v>13</v>
      </c>
      <c r="H1467">
        <v>184</v>
      </c>
      <c r="J1467" t="s">
        <v>93</v>
      </c>
      <c r="K1467" t="b">
        <v>1</v>
      </c>
      <c r="L1467">
        <f t="shared" si="22"/>
        <v>16</v>
      </c>
      <c r="M1467">
        <f t="shared" si="22"/>
        <v>227</v>
      </c>
      <c r="N1467" t="b">
        <v>0</v>
      </c>
      <c r="O1467">
        <v>0</v>
      </c>
      <c r="Q1467">
        <v>0</v>
      </c>
      <c r="R1467" t="b">
        <v>0</v>
      </c>
    </row>
    <row r="1468" spans="1:18" hidden="1">
      <c r="A1468" t="s">
        <v>3874</v>
      </c>
      <c r="B1468" t="s">
        <v>3875</v>
      </c>
      <c r="C1468" t="s">
        <v>3876</v>
      </c>
      <c r="E1468">
        <v>11</v>
      </c>
      <c r="F1468">
        <v>27</v>
      </c>
      <c r="G1468">
        <v>5</v>
      </c>
      <c r="H1468">
        <v>15</v>
      </c>
      <c r="J1468" t="s">
        <v>93</v>
      </c>
      <c r="K1468" t="b">
        <v>0</v>
      </c>
      <c r="L1468">
        <f t="shared" si="22"/>
        <v>16</v>
      </c>
      <c r="M1468">
        <f t="shared" si="22"/>
        <v>42</v>
      </c>
      <c r="N1468" t="b">
        <v>0</v>
      </c>
      <c r="O1468">
        <v>0</v>
      </c>
      <c r="Q1468">
        <v>0</v>
      </c>
      <c r="R1468" t="b">
        <v>0</v>
      </c>
    </row>
    <row r="1469" spans="1:18" hidden="1">
      <c r="A1469" t="s">
        <v>3874</v>
      </c>
      <c r="B1469" t="s">
        <v>3877</v>
      </c>
      <c r="C1469" t="s">
        <v>3878</v>
      </c>
      <c r="E1469">
        <v>11</v>
      </c>
      <c r="F1469">
        <v>27</v>
      </c>
      <c r="G1469">
        <v>5</v>
      </c>
      <c r="H1469">
        <v>15</v>
      </c>
      <c r="J1469" t="s">
        <v>93</v>
      </c>
      <c r="K1469" t="b">
        <v>0</v>
      </c>
      <c r="L1469">
        <f t="shared" si="22"/>
        <v>16</v>
      </c>
      <c r="M1469">
        <f t="shared" si="22"/>
        <v>42</v>
      </c>
      <c r="N1469" t="b">
        <v>0</v>
      </c>
      <c r="O1469">
        <v>0</v>
      </c>
      <c r="Q1469">
        <v>0</v>
      </c>
      <c r="R1469" t="b">
        <v>0</v>
      </c>
    </row>
    <row r="1470" spans="1:18">
      <c r="A1470" t="s">
        <v>1143</v>
      </c>
      <c r="B1470" t="s">
        <v>3879</v>
      </c>
      <c r="C1470" t="s">
        <v>3880</v>
      </c>
      <c r="E1470">
        <v>0</v>
      </c>
      <c r="F1470">
        <v>0</v>
      </c>
      <c r="G1470">
        <v>16</v>
      </c>
      <c r="H1470">
        <v>111</v>
      </c>
      <c r="J1470" t="s">
        <v>22</v>
      </c>
      <c r="K1470" t="b">
        <v>1</v>
      </c>
      <c r="L1470">
        <f t="shared" si="22"/>
        <v>16</v>
      </c>
      <c r="M1470">
        <f t="shared" si="22"/>
        <v>111</v>
      </c>
      <c r="N1470" t="b">
        <v>0</v>
      </c>
      <c r="O1470">
        <v>1</v>
      </c>
      <c r="P1470" t="s">
        <v>3881</v>
      </c>
      <c r="Q1470">
        <v>2</v>
      </c>
      <c r="R1470" t="b">
        <v>1</v>
      </c>
    </row>
    <row r="1471" spans="1:18" hidden="1">
      <c r="A1471" t="s">
        <v>115</v>
      </c>
      <c r="B1471" t="s">
        <v>3882</v>
      </c>
      <c r="C1471" t="s">
        <v>3883</v>
      </c>
      <c r="E1471">
        <v>14</v>
      </c>
      <c r="F1471">
        <v>23</v>
      </c>
      <c r="G1471">
        <v>2</v>
      </c>
      <c r="H1471">
        <v>2</v>
      </c>
      <c r="J1471" t="s">
        <v>93</v>
      </c>
      <c r="K1471" t="b">
        <v>1</v>
      </c>
      <c r="L1471">
        <f t="shared" si="22"/>
        <v>16</v>
      </c>
      <c r="M1471">
        <f t="shared" si="22"/>
        <v>25</v>
      </c>
      <c r="N1471" t="b">
        <v>0</v>
      </c>
      <c r="O1471">
        <v>0</v>
      </c>
      <c r="Q1471">
        <v>0</v>
      </c>
      <c r="R1471" t="b">
        <v>0</v>
      </c>
    </row>
    <row r="1472" spans="1:18" hidden="1">
      <c r="A1472" t="s">
        <v>192</v>
      </c>
      <c r="B1472" t="s">
        <v>3884</v>
      </c>
      <c r="C1472" t="s">
        <v>3885</v>
      </c>
      <c r="E1472">
        <v>16</v>
      </c>
      <c r="F1472">
        <v>0</v>
      </c>
      <c r="G1472">
        <v>0</v>
      </c>
      <c r="H1472">
        <v>0</v>
      </c>
      <c r="J1472" t="s">
        <v>93</v>
      </c>
      <c r="K1472" t="b">
        <v>1</v>
      </c>
      <c r="L1472">
        <f t="shared" si="22"/>
        <v>16</v>
      </c>
      <c r="M1472">
        <f t="shared" si="22"/>
        <v>0</v>
      </c>
      <c r="N1472" t="b">
        <v>0</v>
      </c>
      <c r="O1472">
        <v>0.5</v>
      </c>
      <c r="P1472" t="s">
        <v>2578</v>
      </c>
      <c r="Q1472">
        <v>2</v>
      </c>
      <c r="R1472" t="b">
        <v>1</v>
      </c>
    </row>
    <row r="1473" spans="1:18" hidden="1">
      <c r="A1473" t="s">
        <v>192</v>
      </c>
      <c r="B1473" t="s">
        <v>3886</v>
      </c>
      <c r="C1473" t="s">
        <v>3887</v>
      </c>
      <c r="E1473">
        <v>9</v>
      </c>
      <c r="F1473">
        <v>42</v>
      </c>
      <c r="G1473">
        <v>7</v>
      </c>
      <c r="H1473">
        <v>701</v>
      </c>
      <c r="J1473" t="s">
        <v>93</v>
      </c>
      <c r="K1473" t="b">
        <v>1</v>
      </c>
      <c r="L1473">
        <f t="shared" si="22"/>
        <v>16</v>
      </c>
      <c r="M1473">
        <f t="shared" si="22"/>
        <v>743</v>
      </c>
      <c r="N1473" t="b">
        <v>0</v>
      </c>
      <c r="O1473">
        <v>0</v>
      </c>
      <c r="Q1473">
        <v>0</v>
      </c>
      <c r="R1473" t="b">
        <v>0</v>
      </c>
    </row>
    <row r="1474" spans="1:18">
      <c r="A1474" t="s">
        <v>87</v>
      </c>
      <c r="B1474" t="s">
        <v>3888</v>
      </c>
      <c r="C1474" t="s">
        <v>3889</v>
      </c>
      <c r="E1474">
        <v>9</v>
      </c>
      <c r="F1474">
        <v>48</v>
      </c>
      <c r="G1474">
        <v>7</v>
      </c>
      <c r="H1474">
        <v>10</v>
      </c>
      <c r="J1474" t="s">
        <v>22</v>
      </c>
      <c r="K1474" t="b">
        <v>1</v>
      </c>
      <c r="L1474">
        <f t="shared" si="22"/>
        <v>16</v>
      </c>
      <c r="M1474">
        <f t="shared" si="22"/>
        <v>58</v>
      </c>
      <c r="N1474" t="b">
        <v>0</v>
      </c>
      <c r="O1474">
        <v>1</v>
      </c>
      <c r="P1474" t="s">
        <v>3890</v>
      </c>
      <c r="Q1474">
        <v>2</v>
      </c>
      <c r="R1474" t="b">
        <v>1</v>
      </c>
    </row>
    <row r="1475" spans="1:18">
      <c r="A1475" t="s">
        <v>334</v>
      </c>
      <c r="B1475" t="s">
        <v>3891</v>
      </c>
      <c r="C1475" t="s">
        <v>3892</v>
      </c>
      <c r="E1475">
        <v>12</v>
      </c>
      <c r="F1475">
        <v>546</v>
      </c>
      <c r="G1475">
        <v>3</v>
      </c>
      <c r="H1475">
        <v>28</v>
      </c>
      <c r="J1475" t="s">
        <v>22</v>
      </c>
      <c r="K1475" t="b">
        <v>1</v>
      </c>
      <c r="L1475">
        <f t="shared" ref="L1475:M1538" si="23">E1475+G1475</f>
        <v>15</v>
      </c>
      <c r="M1475">
        <f t="shared" si="23"/>
        <v>574</v>
      </c>
      <c r="N1475" t="b">
        <v>0</v>
      </c>
      <c r="O1475">
        <v>1</v>
      </c>
      <c r="P1475" t="s">
        <v>3893</v>
      </c>
      <c r="Q1475">
        <v>2</v>
      </c>
      <c r="R1475" t="b">
        <v>1</v>
      </c>
    </row>
    <row r="1476" spans="1:18" hidden="1">
      <c r="A1476" t="s">
        <v>1191</v>
      </c>
      <c r="B1476" t="s">
        <v>3894</v>
      </c>
      <c r="C1476" t="s">
        <v>3895</v>
      </c>
      <c r="E1476">
        <v>9</v>
      </c>
      <c r="F1476">
        <v>18</v>
      </c>
      <c r="G1476">
        <v>6</v>
      </c>
      <c r="H1476">
        <v>36</v>
      </c>
      <c r="J1476" t="s">
        <v>93</v>
      </c>
      <c r="K1476" t="b">
        <v>1</v>
      </c>
      <c r="L1476">
        <f t="shared" si="23"/>
        <v>15</v>
      </c>
      <c r="M1476">
        <f t="shared" si="23"/>
        <v>54</v>
      </c>
      <c r="N1476" t="b">
        <v>0</v>
      </c>
      <c r="O1476">
        <v>0.4</v>
      </c>
      <c r="P1476" t="s">
        <v>3896</v>
      </c>
      <c r="Q1476">
        <v>4</v>
      </c>
      <c r="R1476" t="b">
        <v>1</v>
      </c>
    </row>
    <row r="1477" spans="1:18" hidden="1">
      <c r="A1477" t="s">
        <v>372</v>
      </c>
      <c r="B1477" t="s">
        <v>3897</v>
      </c>
      <c r="C1477" t="s">
        <v>3898</v>
      </c>
      <c r="E1477">
        <v>14</v>
      </c>
      <c r="F1477">
        <v>889</v>
      </c>
      <c r="G1477">
        <v>1</v>
      </c>
      <c r="H1477">
        <v>11</v>
      </c>
      <c r="J1477" t="s">
        <v>93</v>
      </c>
      <c r="K1477" t="b">
        <v>1</v>
      </c>
      <c r="L1477">
        <f t="shared" si="23"/>
        <v>15</v>
      </c>
      <c r="M1477">
        <f t="shared" si="23"/>
        <v>900</v>
      </c>
      <c r="N1477" t="b">
        <v>0</v>
      </c>
      <c r="O1477">
        <v>0</v>
      </c>
      <c r="Q1477">
        <v>0</v>
      </c>
      <c r="R1477" t="b">
        <v>0</v>
      </c>
    </row>
    <row r="1478" spans="1:18">
      <c r="A1478" t="s">
        <v>3627</v>
      </c>
      <c r="B1478" t="s">
        <v>3899</v>
      </c>
      <c r="C1478" t="s">
        <v>3900</v>
      </c>
      <c r="E1478">
        <v>8</v>
      </c>
      <c r="F1478">
        <v>1073</v>
      </c>
      <c r="G1478">
        <v>7</v>
      </c>
      <c r="H1478">
        <v>33</v>
      </c>
      <c r="J1478" t="s">
        <v>22</v>
      </c>
      <c r="K1478" t="b">
        <v>1</v>
      </c>
      <c r="L1478">
        <f t="shared" si="23"/>
        <v>15</v>
      </c>
      <c r="M1478">
        <f t="shared" si="23"/>
        <v>1106</v>
      </c>
      <c r="N1478" t="b">
        <v>0</v>
      </c>
      <c r="O1478">
        <v>1</v>
      </c>
      <c r="P1478" t="s">
        <v>3901</v>
      </c>
      <c r="Q1478">
        <v>2</v>
      </c>
      <c r="R1478" t="b">
        <v>1</v>
      </c>
    </row>
    <row r="1479" spans="1:18" hidden="1">
      <c r="A1479" t="s">
        <v>24</v>
      </c>
      <c r="B1479" t="s">
        <v>3902</v>
      </c>
      <c r="C1479" t="s">
        <v>3903</v>
      </c>
      <c r="E1479">
        <v>7</v>
      </c>
      <c r="F1479">
        <v>11</v>
      </c>
      <c r="G1479">
        <v>8</v>
      </c>
      <c r="H1479">
        <v>879</v>
      </c>
      <c r="J1479" t="s">
        <v>93</v>
      </c>
      <c r="K1479" t="b">
        <v>1</v>
      </c>
      <c r="L1479">
        <f t="shared" si="23"/>
        <v>15</v>
      </c>
      <c r="M1479">
        <f t="shared" si="23"/>
        <v>890</v>
      </c>
      <c r="N1479" t="b">
        <v>0</v>
      </c>
      <c r="O1479">
        <v>0</v>
      </c>
      <c r="Q1479">
        <v>0</v>
      </c>
      <c r="R1479" t="b">
        <v>0</v>
      </c>
    </row>
    <row r="1480" spans="1:18">
      <c r="A1480" t="s">
        <v>24</v>
      </c>
      <c r="B1480" t="s">
        <v>3904</v>
      </c>
      <c r="C1480" t="s">
        <v>3905</v>
      </c>
      <c r="E1480">
        <v>8</v>
      </c>
      <c r="F1480">
        <v>26</v>
      </c>
      <c r="G1480">
        <v>7</v>
      </c>
      <c r="H1480">
        <v>17</v>
      </c>
      <c r="J1480" t="s">
        <v>22</v>
      </c>
      <c r="K1480" t="b">
        <v>1</v>
      </c>
      <c r="L1480">
        <f t="shared" si="23"/>
        <v>15</v>
      </c>
      <c r="M1480">
        <f t="shared" si="23"/>
        <v>43</v>
      </c>
      <c r="N1480" t="b">
        <v>0</v>
      </c>
      <c r="O1480">
        <v>1</v>
      </c>
      <c r="P1480" t="s">
        <v>3906</v>
      </c>
      <c r="Q1480">
        <v>2</v>
      </c>
      <c r="R1480" t="b">
        <v>1</v>
      </c>
    </row>
    <row r="1481" spans="1:18" hidden="1">
      <c r="A1481" t="s">
        <v>24</v>
      </c>
      <c r="B1481" t="s">
        <v>3907</v>
      </c>
      <c r="C1481" t="s">
        <v>3908</v>
      </c>
      <c r="E1481">
        <v>8</v>
      </c>
      <c r="F1481">
        <v>42</v>
      </c>
      <c r="G1481">
        <v>7</v>
      </c>
      <c r="H1481">
        <v>701</v>
      </c>
      <c r="J1481" t="s">
        <v>999</v>
      </c>
      <c r="K1481" t="b">
        <v>1</v>
      </c>
      <c r="L1481">
        <f t="shared" si="23"/>
        <v>15</v>
      </c>
      <c r="M1481">
        <f t="shared" si="23"/>
        <v>743</v>
      </c>
      <c r="N1481" t="b">
        <v>0</v>
      </c>
      <c r="O1481">
        <v>0</v>
      </c>
      <c r="Q1481">
        <v>0</v>
      </c>
      <c r="R1481" t="b">
        <v>0</v>
      </c>
    </row>
    <row r="1482" spans="1:18">
      <c r="A1482" t="s">
        <v>205</v>
      </c>
      <c r="B1482" t="s">
        <v>3909</v>
      </c>
      <c r="C1482" t="s">
        <v>3910</v>
      </c>
      <c r="E1482">
        <v>13</v>
      </c>
      <c r="F1482">
        <v>4</v>
      </c>
      <c r="G1482">
        <v>2</v>
      </c>
      <c r="H1482">
        <v>75</v>
      </c>
      <c r="J1482" t="s">
        <v>22</v>
      </c>
      <c r="K1482" t="b">
        <v>1</v>
      </c>
      <c r="L1482">
        <f t="shared" si="23"/>
        <v>15</v>
      </c>
      <c r="M1482">
        <f t="shared" si="23"/>
        <v>79</v>
      </c>
      <c r="N1482" t="b">
        <v>0</v>
      </c>
      <c r="O1482">
        <v>1</v>
      </c>
      <c r="P1482" t="s">
        <v>2828</v>
      </c>
      <c r="Q1482">
        <v>2</v>
      </c>
      <c r="R1482" t="b">
        <v>1</v>
      </c>
    </row>
    <row r="1483" spans="1:18" hidden="1">
      <c r="A1483" t="s">
        <v>3911</v>
      </c>
      <c r="B1483" t="s">
        <v>3912</v>
      </c>
      <c r="C1483" t="s">
        <v>3913</v>
      </c>
      <c r="E1483">
        <v>10</v>
      </c>
      <c r="F1483">
        <v>292</v>
      </c>
      <c r="G1483">
        <v>5</v>
      </c>
      <c r="H1483">
        <v>202</v>
      </c>
      <c r="J1483" t="s">
        <v>93</v>
      </c>
      <c r="K1483" t="b">
        <v>0</v>
      </c>
      <c r="L1483">
        <f t="shared" si="23"/>
        <v>15</v>
      </c>
      <c r="M1483">
        <f t="shared" si="23"/>
        <v>494</v>
      </c>
      <c r="N1483" t="b">
        <v>0</v>
      </c>
      <c r="O1483">
        <v>0</v>
      </c>
      <c r="Q1483">
        <v>0</v>
      </c>
      <c r="R1483" t="b">
        <v>0</v>
      </c>
    </row>
    <row r="1484" spans="1:18">
      <c r="A1484" t="s">
        <v>2472</v>
      </c>
      <c r="B1484" t="s">
        <v>3914</v>
      </c>
      <c r="C1484" t="s">
        <v>3915</v>
      </c>
      <c r="E1484">
        <v>9</v>
      </c>
      <c r="F1484">
        <v>15</v>
      </c>
      <c r="G1484">
        <v>6</v>
      </c>
      <c r="H1484">
        <v>10</v>
      </c>
      <c r="J1484" t="s">
        <v>22</v>
      </c>
      <c r="K1484" t="b">
        <v>1</v>
      </c>
      <c r="L1484">
        <f t="shared" si="23"/>
        <v>15</v>
      </c>
      <c r="M1484">
        <f t="shared" si="23"/>
        <v>25</v>
      </c>
      <c r="N1484" t="b">
        <v>0</v>
      </c>
      <c r="O1484">
        <v>1</v>
      </c>
      <c r="P1484" t="s">
        <v>3916</v>
      </c>
      <c r="Q1484">
        <v>2</v>
      </c>
      <c r="R1484" t="b">
        <v>1</v>
      </c>
    </row>
    <row r="1485" spans="1:18">
      <c r="A1485" t="s">
        <v>59</v>
      </c>
      <c r="B1485" t="s">
        <v>3917</v>
      </c>
      <c r="C1485" t="s">
        <v>3918</v>
      </c>
      <c r="E1485">
        <v>13</v>
      </c>
      <c r="F1485">
        <v>739</v>
      </c>
      <c r="G1485">
        <v>2</v>
      </c>
      <c r="H1485">
        <v>11</v>
      </c>
      <c r="J1485" t="s">
        <v>22</v>
      </c>
      <c r="K1485" t="b">
        <v>1</v>
      </c>
      <c r="L1485">
        <f t="shared" si="23"/>
        <v>15</v>
      </c>
      <c r="M1485">
        <f t="shared" si="23"/>
        <v>750</v>
      </c>
      <c r="N1485" t="b">
        <v>0</v>
      </c>
      <c r="O1485">
        <v>1</v>
      </c>
      <c r="P1485" t="s">
        <v>3919</v>
      </c>
      <c r="Q1485">
        <v>2</v>
      </c>
      <c r="R1485" t="b">
        <v>1</v>
      </c>
    </row>
    <row r="1486" spans="1:18">
      <c r="A1486" t="s">
        <v>334</v>
      </c>
      <c r="B1486" t="s">
        <v>3920</v>
      </c>
      <c r="C1486" t="s">
        <v>3921</v>
      </c>
      <c r="E1486">
        <v>0</v>
      </c>
      <c r="F1486">
        <v>0</v>
      </c>
      <c r="G1486">
        <v>15</v>
      </c>
      <c r="H1486">
        <v>186</v>
      </c>
      <c r="J1486" t="s">
        <v>22</v>
      </c>
      <c r="K1486" t="b">
        <v>1</v>
      </c>
      <c r="L1486">
        <f t="shared" si="23"/>
        <v>15</v>
      </c>
      <c r="M1486">
        <f t="shared" si="23"/>
        <v>186</v>
      </c>
      <c r="N1486" t="b">
        <v>0</v>
      </c>
      <c r="O1486">
        <v>1</v>
      </c>
      <c r="P1486" t="s">
        <v>3922</v>
      </c>
      <c r="Q1486">
        <v>2</v>
      </c>
      <c r="R1486" t="b">
        <v>1</v>
      </c>
    </row>
    <row r="1487" spans="1:18" hidden="1">
      <c r="A1487" t="s">
        <v>37</v>
      </c>
      <c r="B1487" t="s">
        <v>3923</v>
      </c>
      <c r="C1487" t="s">
        <v>3924</v>
      </c>
      <c r="E1487">
        <v>9</v>
      </c>
      <c r="F1487">
        <v>33</v>
      </c>
      <c r="G1487">
        <v>6</v>
      </c>
      <c r="H1487">
        <v>46</v>
      </c>
      <c r="J1487" t="s">
        <v>93</v>
      </c>
      <c r="K1487" t="b">
        <v>1</v>
      </c>
      <c r="L1487">
        <f t="shared" si="23"/>
        <v>15</v>
      </c>
      <c r="M1487">
        <f t="shared" si="23"/>
        <v>79</v>
      </c>
      <c r="N1487" t="b">
        <v>0</v>
      </c>
      <c r="O1487">
        <v>0</v>
      </c>
      <c r="Q1487">
        <v>0</v>
      </c>
      <c r="R1487" t="b">
        <v>0</v>
      </c>
    </row>
    <row r="1488" spans="1:18" hidden="1">
      <c r="A1488" t="s">
        <v>248</v>
      </c>
      <c r="B1488" t="s">
        <v>3925</v>
      </c>
      <c r="C1488" t="s">
        <v>3926</v>
      </c>
      <c r="E1488">
        <v>6</v>
      </c>
      <c r="F1488">
        <v>255</v>
      </c>
      <c r="G1488">
        <v>9</v>
      </c>
      <c r="H1488">
        <v>54</v>
      </c>
      <c r="J1488" t="s">
        <v>93</v>
      </c>
      <c r="K1488" t="b">
        <v>1</v>
      </c>
      <c r="L1488">
        <f t="shared" si="23"/>
        <v>15</v>
      </c>
      <c r="M1488">
        <f t="shared" si="23"/>
        <v>309</v>
      </c>
      <c r="N1488" t="b">
        <v>0</v>
      </c>
      <c r="O1488">
        <v>0</v>
      </c>
      <c r="Q1488">
        <v>0</v>
      </c>
      <c r="R1488" t="b">
        <v>0</v>
      </c>
    </row>
    <row r="1489" spans="1:18" hidden="1">
      <c r="A1489" t="s">
        <v>1191</v>
      </c>
      <c r="B1489" t="s">
        <v>3927</v>
      </c>
      <c r="C1489" s="2" t="s">
        <v>3928</v>
      </c>
      <c r="D1489" s="2"/>
      <c r="E1489">
        <v>0</v>
      </c>
      <c r="F1489">
        <v>0</v>
      </c>
      <c r="G1489">
        <v>15</v>
      </c>
      <c r="H1489">
        <v>36</v>
      </c>
      <c r="J1489" t="s">
        <v>93</v>
      </c>
      <c r="K1489" t="b">
        <v>1</v>
      </c>
      <c r="L1489">
        <f t="shared" si="23"/>
        <v>15</v>
      </c>
      <c r="M1489">
        <f t="shared" si="23"/>
        <v>36</v>
      </c>
      <c r="N1489" t="b">
        <v>0</v>
      </c>
      <c r="O1489">
        <v>0</v>
      </c>
      <c r="Q1489">
        <v>0</v>
      </c>
      <c r="R1489" t="b">
        <v>0</v>
      </c>
    </row>
    <row r="1490" spans="1:18" hidden="1">
      <c r="A1490" t="s">
        <v>3929</v>
      </c>
      <c r="B1490" t="s">
        <v>3930</v>
      </c>
      <c r="C1490" t="s">
        <v>3931</v>
      </c>
      <c r="E1490">
        <v>12</v>
      </c>
      <c r="F1490">
        <v>11</v>
      </c>
      <c r="G1490">
        <v>3</v>
      </c>
      <c r="H1490">
        <v>4</v>
      </c>
      <c r="J1490" t="s">
        <v>93</v>
      </c>
      <c r="K1490" t="b">
        <v>0</v>
      </c>
      <c r="L1490">
        <f t="shared" si="23"/>
        <v>15</v>
      </c>
      <c r="M1490">
        <f t="shared" si="23"/>
        <v>15</v>
      </c>
      <c r="N1490" t="b">
        <v>0</v>
      </c>
      <c r="O1490">
        <v>0</v>
      </c>
      <c r="Q1490">
        <v>0</v>
      </c>
      <c r="R1490" t="b">
        <v>0</v>
      </c>
    </row>
    <row r="1491" spans="1:18">
      <c r="A1491" t="s">
        <v>1143</v>
      </c>
      <c r="B1491" t="s">
        <v>3932</v>
      </c>
      <c r="C1491" t="s">
        <v>3933</v>
      </c>
      <c r="E1491">
        <v>0</v>
      </c>
      <c r="F1491">
        <v>0</v>
      </c>
      <c r="G1491">
        <v>15</v>
      </c>
      <c r="H1491">
        <v>40</v>
      </c>
      <c r="J1491" t="s">
        <v>22</v>
      </c>
      <c r="K1491" t="b">
        <v>1</v>
      </c>
      <c r="L1491">
        <f t="shared" si="23"/>
        <v>15</v>
      </c>
      <c r="M1491">
        <f t="shared" si="23"/>
        <v>40</v>
      </c>
      <c r="N1491" t="b">
        <v>0</v>
      </c>
      <c r="O1491">
        <v>1</v>
      </c>
      <c r="P1491" t="s">
        <v>3934</v>
      </c>
      <c r="Q1491">
        <v>2</v>
      </c>
      <c r="R1491" t="b">
        <v>1</v>
      </c>
    </row>
    <row r="1492" spans="1:18">
      <c r="A1492" t="s">
        <v>1143</v>
      </c>
      <c r="B1492" t="s">
        <v>3935</v>
      </c>
      <c r="C1492" t="s">
        <v>3936</v>
      </c>
      <c r="E1492">
        <v>0</v>
      </c>
      <c r="F1492">
        <v>0</v>
      </c>
      <c r="G1492">
        <v>15</v>
      </c>
      <c r="H1492">
        <v>26</v>
      </c>
      <c r="J1492" t="s">
        <v>22</v>
      </c>
      <c r="K1492" t="b">
        <v>1</v>
      </c>
      <c r="L1492">
        <f t="shared" si="23"/>
        <v>15</v>
      </c>
      <c r="M1492">
        <f t="shared" si="23"/>
        <v>26</v>
      </c>
      <c r="N1492" t="b">
        <v>0</v>
      </c>
      <c r="O1492">
        <v>1</v>
      </c>
      <c r="P1492" t="s">
        <v>3937</v>
      </c>
      <c r="Q1492">
        <v>2</v>
      </c>
      <c r="R1492" t="b">
        <v>1</v>
      </c>
    </row>
    <row r="1493" spans="1:18">
      <c r="A1493" t="s">
        <v>1462</v>
      </c>
      <c r="B1493" t="s">
        <v>3938</v>
      </c>
      <c r="C1493" t="s">
        <v>3939</v>
      </c>
      <c r="E1493">
        <v>8</v>
      </c>
      <c r="F1493">
        <v>15</v>
      </c>
      <c r="G1493">
        <v>7</v>
      </c>
      <c r="H1493">
        <v>33</v>
      </c>
      <c r="J1493" t="s">
        <v>22</v>
      </c>
      <c r="K1493" t="b">
        <v>1</v>
      </c>
      <c r="L1493">
        <f t="shared" si="23"/>
        <v>15</v>
      </c>
      <c r="M1493">
        <f t="shared" si="23"/>
        <v>48</v>
      </c>
      <c r="N1493" t="b">
        <v>0</v>
      </c>
      <c r="O1493">
        <v>1</v>
      </c>
      <c r="P1493" t="s">
        <v>3940</v>
      </c>
      <c r="Q1493">
        <v>4</v>
      </c>
      <c r="R1493" t="b">
        <v>1</v>
      </c>
    </row>
    <row r="1494" spans="1:18">
      <c r="A1494" t="s">
        <v>30</v>
      </c>
      <c r="B1494" t="s">
        <v>3941</v>
      </c>
      <c r="C1494" t="s">
        <v>3942</v>
      </c>
      <c r="E1494">
        <v>12</v>
      </c>
      <c r="F1494">
        <v>923</v>
      </c>
      <c r="G1494">
        <v>3</v>
      </c>
      <c r="H1494">
        <v>32</v>
      </c>
      <c r="J1494" t="s">
        <v>22</v>
      </c>
      <c r="K1494" t="b">
        <v>1</v>
      </c>
      <c r="L1494">
        <f t="shared" si="23"/>
        <v>15</v>
      </c>
      <c r="M1494">
        <f t="shared" si="23"/>
        <v>955</v>
      </c>
      <c r="N1494" t="b">
        <v>0</v>
      </c>
      <c r="O1494">
        <v>1</v>
      </c>
      <c r="P1494" t="s">
        <v>3943</v>
      </c>
      <c r="Q1494">
        <v>2</v>
      </c>
      <c r="R1494" t="b">
        <v>1</v>
      </c>
    </row>
    <row r="1495" spans="1:18">
      <c r="A1495" t="s">
        <v>334</v>
      </c>
      <c r="B1495" t="s">
        <v>3944</v>
      </c>
      <c r="C1495" t="s">
        <v>3945</v>
      </c>
      <c r="E1495">
        <v>9</v>
      </c>
      <c r="F1495">
        <v>99</v>
      </c>
      <c r="G1495">
        <v>5</v>
      </c>
      <c r="H1495">
        <v>226</v>
      </c>
      <c r="J1495" t="s">
        <v>22</v>
      </c>
      <c r="K1495" t="b">
        <v>1</v>
      </c>
      <c r="L1495">
        <f t="shared" si="23"/>
        <v>14</v>
      </c>
      <c r="M1495">
        <f t="shared" si="23"/>
        <v>325</v>
      </c>
      <c r="N1495" t="b">
        <v>0</v>
      </c>
      <c r="O1495">
        <v>1</v>
      </c>
      <c r="P1495" t="s">
        <v>3946</v>
      </c>
      <c r="Q1495">
        <v>2</v>
      </c>
      <c r="R1495" t="b">
        <v>1</v>
      </c>
    </row>
    <row r="1496" spans="1:18" hidden="1">
      <c r="A1496" t="s">
        <v>1191</v>
      </c>
      <c r="B1496" t="s">
        <v>3947</v>
      </c>
      <c r="C1496" t="s">
        <v>3948</v>
      </c>
      <c r="E1496">
        <v>6</v>
      </c>
      <c r="F1496">
        <v>14</v>
      </c>
      <c r="G1496">
        <v>8</v>
      </c>
      <c r="H1496">
        <v>16</v>
      </c>
      <c r="J1496" t="s">
        <v>93</v>
      </c>
      <c r="K1496" t="b">
        <v>1</v>
      </c>
      <c r="L1496">
        <f t="shared" si="23"/>
        <v>14</v>
      </c>
      <c r="M1496">
        <f t="shared" si="23"/>
        <v>30</v>
      </c>
      <c r="N1496" t="b">
        <v>0</v>
      </c>
      <c r="O1496">
        <v>0</v>
      </c>
      <c r="Q1496">
        <v>0</v>
      </c>
      <c r="R1496" t="b">
        <v>0</v>
      </c>
    </row>
    <row r="1497" spans="1:18">
      <c r="A1497" t="s">
        <v>1191</v>
      </c>
      <c r="B1497" t="s">
        <v>3949</v>
      </c>
      <c r="C1497" t="s">
        <v>3950</v>
      </c>
      <c r="E1497">
        <v>12</v>
      </c>
      <c r="F1497">
        <v>16</v>
      </c>
      <c r="G1497">
        <v>2</v>
      </c>
      <c r="H1497">
        <v>16</v>
      </c>
      <c r="J1497" t="s">
        <v>22</v>
      </c>
      <c r="K1497" t="b">
        <v>1</v>
      </c>
      <c r="L1497">
        <f t="shared" si="23"/>
        <v>14</v>
      </c>
      <c r="M1497">
        <f t="shared" si="23"/>
        <v>32</v>
      </c>
      <c r="N1497" t="b">
        <v>0</v>
      </c>
      <c r="O1497">
        <v>1</v>
      </c>
      <c r="P1497" t="s">
        <v>3951</v>
      </c>
      <c r="Q1497">
        <v>2</v>
      </c>
      <c r="R1497" t="b">
        <v>1</v>
      </c>
    </row>
    <row r="1498" spans="1:18" hidden="1">
      <c r="A1498" t="s">
        <v>1224</v>
      </c>
      <c r="B1498" t="s">
        <v>3952</v>
      </c>
      <c r="C1498" t="s">
        <v>3953</v>
      </c>
      <c r="E1498">
        <v>14</v>
      </c>
      <c r="F1498">
        <v>66</v>
      </c>
      <c r="G1498">
        <v>0</v>
      </c>
      <c r="H1498">
        <v>0</v>
      </c>
      <c r="J1498" t="s">
        <v>93</v>
      </c>
      <c r="K1498" t="b">
        <v>1</v>
      </c>
      <c r="L1498">
        <f t="shared" si="23"/>
        <v>14</v>
      </c>
      <c r="M1498">
        <f t="shared" si="23"/>
        <v>66</v>
      </c>
      <c r="N1498" t="b">
        <v>0</v>
      </c>
      <c r="O1498">
        <v>0</v>
      </c>
      <c r="Q1498">
        <v>0</v>
      </c>
      <c r="R1498" t="b">
        <v>0</v>
      </c>
    </row>
    <row r="1499" spans="1:18" hidden="1">
      <c r="A1499" t="s">
        <v>1293</v>
      </c>
      <c r="B1499" t="s">
        <v>3954</v>
      </c>
      <c r="C1499" t="s">
        <v>3955</v>
      </c>
      <c r="E1499">
        <v>8</v>
      </c>
      <c r="F1499">
        <v>1064</v>
      </c>
      <c r="G1499">
        <v>6</v>
      </c>
      <c r="H1499">
        <v>31</v>
      </c>
      <c r="J1499" t="s">
        <v>93</v>
      </c>
      <c r="K1499" t="b">
        <v>0</v>
      </c>
      <c r="L1499">
        <f t="shared" si="23"/>
        <v>14</v>
      </c>
      <c r="M1499">
        <f t="shared" si="23"/>
        <v>1095</v>
      </c>
      <c r="N1499" t="b">
        <v>0</v>
      </c>
      <c r="O1499">
        <v>0</v>
      </c>
      <c r="Q1499">
        <v>0</v>
      </c>
      <c r="R1499" t="b">
        <v>0</v>
      </c>
    </row>
    <row r="1500" spans="1:18" hidden="1">
      <c r="A1500" t="s">
        <v>24</v>
      </c>
      <c r="B1500" t="s">
        <v>3956</v>
      </c>
      <c r="C1500" t="s">
        <v>3957</v>
      </c>
      <c r="E1500">
        <v>8</v>
      </c>
      <c r="F1500">
        <v>52</v>
      </c>
      <c r="G1500">
        <v>6</v>
      </c>
      <c r="H1500">
        <v>20</v>
      </c>
      <c r="J1500" t="s">
        <v>93</v>
      </c>
      <c r="K1500" t="b">
        <v>1</v>
      </c>
      <c r="L1500">
        <f t="shared" si="23"/>
        <v>14</v>
      </c>
      <c r="M1500">
        <f t="shared" si="23"/>
        <v>72</v>
      </c>
      <c r="N1500" t="b">
        <v>0</v>
      </c>
      <c r="O1500">
        <v>0.25</v>
      </c>
      <c r="P1500" t="s">
        <v>3958</v>
      </c>
      <c r="Q1500">
        <v>2</v>
      </c>
      <c r="R1500" t="b">
        <v>1</v>
      </c>
    </row>
    <row r="1501" spans="1:18" hidden="1">
      <c r="A1501" t="s">
        <v>24</v>
      </c>
      <c r="B1501" t="s">
        <v>3959</v>
      </c>
      <c r="C1501" t="s">
        <v>3960</v>
      </c>
      <c r="E1501">
        <v>9</v>
      </c>
      <c r="F1501">
        <v>291</v>
      </c>
      <c r="G1501">
        <v>5</v>
      </c>
      <c r="H1501">
        <v>202</v>
      </c>
      <c r="J1501" t="s">
        <v>93</v>
      </c>
      <c r="K1501" t="b">
        <v>1</v>
      </c>
      <c r="L1501">
        <f t="shared" si="23"/>
        <v>14</v>
      </c>
      <c r="M1501">
        <f t="shared" si="23"/>
        <v>493</v>
      </c>
      <c r="N1501" t="b">
        <v>0</v>
      </c>
      <c r="O1501">
        <v>0.5</v>
      </c>
      <c r="P1501" t="s">
        <v>3961</v>
      </c>
      <c r="Q1501">
        <v>8</v>
      </c>
      <c r="R1501" t="b">
        <v>1</v>
      </c>
    </row>
    <row r="1502" spans="1:18" hidden="1">
      <c r="A1502" t="s">
        <v>205</v>
      </c>
      <c r="B1502" t="s">
        <v>3962</v>
      </c>
      <c r="C1502" t="s">
        <v>3963</v>
      </c>
      <c r="E1502">
        <v>9</v>
      </c>
      <c r="F1502">
        <v>34</v>
      </c>
      <c r="G1502">
        <v>5</v>
      </c>
      <c r="H1502">
        <v>6</v>
      </c>
      <c r="J1502" t="s">
        <v>93</v>
      </c>
      <c r="K1502" t="b">
        <v>1</v>
      </c>
      <c r="L1502">
        <f t="shared" si="23"/>
        <v>14</v>
      </c>
      <c r="M1502">
        <f t="shared" si="23"/>
        <v>40</v>
      </c>
      <c r="N1502" t="b">
        <v>0</v>
      </c>
      <c r="O1502">
        <v>0</v>
      </c>
      <c r="Q1502">
        <v>0</v>
      </c>
      <c r="R1502" t="b">
        <v>0</v>
      </c>
    </row>
    <row r="1503" spans="1:18">
      <c r="A1503" t="s">
        <v>205</v>
      </c>
      <c r="B1503" t="s">
        <v>3964</v>
      </c>
      <c r="C1503" t="s">
        <v>3965</v>
      </c>
      <c r="E1503">
        <v>9</v>
      </c>
      <c r="F1503">
        <v>17</v>
      </c>
      <c r="G1503">
        <v>5</v>
      </c>
      <c r="H1503">
        <v>81</v>
      </c>
      <c r="J1503" t="s">
        <v>22</v>
      </c>
      <c r="K1503" t="b">
        <v>1</v>
      </c>
      <c r="L1503">
        <f t="shared" si="23"/>
        <v>14</v>
      </c>
      <c r="M1503">
        <f t="shared" si="23"/>
        <v>98</v>
      </c>
      <c r="N1503" t="b">
        <v>0</v>
      </c>
      <c r="O1503">
        <v>1</v>
      </c>
      <c r="P1503" t="s">
        <v>2767</v>
      </c>
      <c r="Q1503">
        <v>2</v>
      </c>
      <c r="R1503" t="b">
        <v>1</v>
      </c>
    </row>
    <row r="1504" spans="1:18" hidden="1">
      <c r="A1504" t="s">
        <v>3911</v>
      </c>
      <c r="B1504" t="s">
        <v>3966</v>
      </c>
      <c r="C1504" t="s">
        <v>3967</v>
      </c>
      <c r="E1504">
        <v>9</v>
      </c>
      <c r="F1504">
        <v>291</v>
      </c>
      <c r="G1504">
        <v>5</v>
      </c>
      <c r="H1504">
        <v>202</v>
      </c>
      <c r="J1504" t="s">
        <v>93</v>
      </c>
      <c r="K1504" t="b">
        <v>0</v>
      </c>
      <c r="L1504">
        <f t="shared" si="23"/>
        <v>14</v>
      </c>
      <c r="M1504">
        <f t="shared" si="23"/>
        <v>493</v>
      </c>
      <c r="N1504" t="b">
        <v>0</v>
      </c>
      <c r="O1504">
        <v>0</v>
      </c>
      <c r="Q1504">
        <v>0</v>
      </c>
      <c r="R1504" t="b">
        <v>0</v>
      </c>
    </row>
    <row r="1505" spans="1:18" hidden="1">
      <c r="A1505" t="s">
        <v>1424</v>
      </c>
      <c r="B1505" t="s">
        <v>3968</v>
      </c>
      <c r="C1505" t="s">
        <v>3969</v>
      </c>
      <c r="E1505">
        <v>4</v>
      </c>
      <c r="F1505">
        <v>5</v>
      </c>
      <c r="G1505">
        <v>10</v>
      </c>
      <c r="H1505">
        <v>70</v>
      </c>
      <c r="J1505" t="s">
        <v>93</v>
      </c>
      <c r="K1505" t="b">
        <v>0</v>
      </c>
      <c r="L1505">
        <f t="shared" si="23"/>
        <v>14</v>
      </c>
      <c r="M1505">
        <f t="shared" si="23"/>
        <v>75</v>
      </c>
      <c r="N1505" t="b">
        <v>0</v>
      </c>
      <c r="O1505">
        <v>0</v>
      </c>
      <c r="Q1505">
        <v>0</v>
      </c>
      <c r="R1505" t="b">
        <v>0</v>
      </c>
    </row>
    <row r="1506" spans="1:18" hidden="1">
      <c r="A1506" t="s">
        <v>37</v>
      </c>
      <c r="B1506" t="s">
        <v>3970</v>
      </c>
      <c r="C1506" t="s">
        <v>3971</v>
      </c>
      <c r="E1506">
        <v>6</v>
      </c>
      <c r="F1506">
        <v>25</v>
      </c>
      <c r="G1506">
        <v>8</v>
      </c>
      <c r="H1506">
        <v>61</v>
      </c>
      <c r="J1506" t="s">
        <v>93</v>
      </c>
      <c r="K1506" t="b">
        <v>1</v>
      </c>
      <c r="L1506">
        <f t="shared" si="23"/>
        <v>14</v>
      </c>
      <c r="M1506">
        <f t="shared" si="23"/>
        <v>86</v>
      </c>
      <c r="N1506" t="b">
        <v>0</v>
      </c>
      <c r="O1506">
        <v>0</v>
      </c>
      <c r="Q1506">
        <v>0</v>
      </c>
      <c r="R1506" t="b">
        <v>0</v>
      </c>
    </row>
    <row r="1507" spans="1:18" hidden="1">
      <c r="A1507" t="s">
        <v>248</v>
      </c>
      <c r="B1507" t="s">
        <v>3972</v>
      </c>
      <c r="C1507" t="s">
        <v>3973</v>
      </c>
      <c r="E1507">
        <v>3</v>
      </c>
      <c r="F1507">
        <v>90</v>
      </c>
      <c r="G1507">
        <v>11</v>
      </c>
      <c r="H1507">
        <v>39</v>
      </c>
      <c r="J1507" t="s">
        <v>93</v>
      </c>
      <c r="K1507" t="b">
        <v>1</v>
      </c>
      <c r="L1507">
        <f t="shared" si="23"/>
        <v>14</v>
      </c>
      <c r="M1507">
        <f t="shared" si="23"/>
        <v>129</v>
      </c>
      <c r="N1507" t="b">
        <v>0</v>
      </c>
      <c r="O1507">
        <v>0</v>
      </c>
      <c r="Q1507">
        <v>0</v>
      </c>
      <c r="R1507" t="b">
        <v>0</v>
      </c>
    </row>
    <row r="1508" spans="1:18" hidden="1">
      <c r="A1508" t="s">
        <v>672</v>
      </c>
      <c r="B1508" t="s">
        <v>3974</v>
      </c>
      <c r="C1508" t="s">
        <v>3975</v>
      </c>
      <c r="E1508">
        <v>10</v>
      </c>
      <c r="F1508">
        <v>17</v>
      </c>
      <c r="G1508">
        <v>4</v>
      </c>
      <c r="H1508">
        <v>15</v>
      </c>
      <c r="J1508" t="s">
        <v>93</v>
      </c>
      <c r="K1508" t="b">
        <v>0</v>
      </c>
      <c r="L1508">
        <f t="shared" si="23"/>
        <v>14</v>
      </c>
      <c r="M1508">
        <f t="shared" si="23"/>
        <v>32</v>
      </c>
      <c r="N1508" t="b">
        <v>0</v>
      </c>
      <c r="O1508">
        <v>0</v>
      </c>
      <c r="Q1508">
        <v>0</v>
      </c>
      <c r="R1508" t="b">
        <v>0</v>
      </c>
    </row>
    <row r="1509" spans="1:18" hidden="1">
      <c r="A1509" t="s">
        <v>2984</v>
      </c>
      <c r="B1509" t="s">
        <v>3976</v>
      </c>
      <c r="C1509" t="s">
        <v>3977</v>
      </c>
      <c r="E1509">
        <v>6</v>
      </c>
      <c r="F1509">
        <v>6</v>
      </c>
      <c r="G1509">
        <v>8</v>
      </c>
      <c r="H1509">
        <v>12</v>
      </c>
      <c r="J1509" t="s">
        <v>93</v>
      </c>
      <c r="K1509" t="b">
        <v>0</v>
      </c>
      <c r="L1509">
        <f t="shared" si="23"/>
        <v>14</v>
      </c>
      <c r="M1509">
        <f t="shared" si="23"/>
        <v>18</v>
      </c>
      <c r="N1509" t="b">
        <v>0</v>
      </c>
      <c r="O1509">
        <v>0</v>
      </c>
      <c r="Q1509">
        <v>0</v>
      </c>
      <c r="R1509" t="b">
        <v>0</v>
      </c>
    </row>
    <row r="1510" spans="1:18">
      <c r="A1510" t="s">
        <v>1384</v>
      </c>
      <c r="B1510" t="s">
        <v>3978</v>
      </c>
      <c r="C1510" t="s">
        <v>3979</v>
      </c>
      <c r="E1510">
        <v>9</v>
      </c>
      <c r="F1510">
        <v>34</v>
      </c>
      <c r="G1510">
        <v>5</v>
      </c>
      <c r="H1510">
        <v>49</v>
      </c>
      <c r="J1510" t="s">
        <v>22</v>
      </c>
      <c r="K1510" t="b">
        <v>1</v>
      </c>
      <c r="L1510">
        <f t="shared" si="23"/>
        <v>14</v>
      </c>
      <c r="M1510">
        <f t="shared" si="23"/>
        <v>83</v>
      </c>
      <c r="N1510" t="b">
        <v>0</v>
      </c>
      <c r="O1510">
        <v>1</v>
      </c>
      <c r="P1510" t="s">
        <v>3980</v>
      </c>
      <c r="Q1510">
        <v>2</v>
      </c>
      <c r="R1510" t="b">
        <v>1</v>
      </c>
    </row>
    <row r="1511" spans="1:18">
      <c r="A1511" t="s">
        <v>192</v>
      </c>
      <c r="B1511" t="s">
        <v>3981</v>
      </c>
      <c r="C1511" t="s">
        <v>3982</v>
      </c>
      <c r="E1511">
        <v>13</v>
      </c>
      <c r="F1511">
        <v>2</v>
      </c>
      <c r="G1511">
        <v>1</v>
      </c>
      <c r="H1511">
        <v>1</v>
      </c>
      <c r="J1511" t="s">
        <v>22</v>
      </c>
      <c r="K1511" t="b">
        <v>1</v>
      </c>
      <c r="L1511">
        <f t="shared" si="23"/>
        <v>14</v>
      </c>
      <c r="M1511">
        <f t="shared" si="23"/>
        <v>3</v>
      </c>
      <c r="N1511" t="b">
        <v>0</v>
      </c>
      <c r="O1511">
        <v>1</v>
      </c>
      <c r="P1511" t="s">
        <v>3983</v>
      </c>
      <c r="Q1511">
        <v>2</v>
      </c>
      <c r="R1511" t="b">
        <v>1</v>
      </c>
    </row>
    <row r="1512" spans="1:18" hidden="1">
      <c r="A1512" t="s">
        <v>192</v>
      </c>
      <c r="B1512" t="s">
        <v>3984</v>
      </c>
      <c r="C1512" t="s">
        <v>3985</v>
      </c>
      <c r="E1512">
        <v>9</v>
      </c>
      <c r="F1512">
        <v>30</v>
      </c>
      <c r="G1512">
        <v>5</v>
      </c>
      <c r="H1512">
        <v>680</v>
      </c>
      <c r="J1512" t="s">
        <v>93</v>
      </c>
      <c r="K1512" t="b">
        <v>1</v>
      </c>
      <c r="L1512">
        <f t="shared" si="23"/>
        <v>14</v>
      </c>
      <c r="M1512">
        <f t="shared" si="23"/>
        <v>710</v>
      </c>
      <c r="N1512" t="b">
        <v>0</v>
      </c>
      <c r="O1512">
        <v>0</v>
      </c>
      <c r="Q1512">
        <v>0</v>
      </c>
      <c r="R1512" t="b">
        <v>0</v>
      </c>
    </row>
    <row r="1513" spans="1:18" hidden="1">
      <c r="A1513" t="s">
        <v>87</v>
      </c>
      <c r="B1513" t="s">
        <v>3986</v>
      </c>
      <c r="C1513" t="s">
        <v>3987</v>
      </c>
      <c r="E1513">
        <v>10</v>
      </c>
      <c r="F1513">
        <v>3</v>
      </c>
      <c r="G1513">
        <v>4</v>
      </c>
      <c r="H1513">
        <v>5</v>
      </c>
      <c r="J1513" t="s">
        <v>93</v>
      </c>
      <c r="K1513" t="b">
        <v>1</v>
      </c>
      <c r="L1513">
        <f t="shared" si="23"/>
        <v>14</v>
      </c>
      <c r="M1513">
        <f t="shared" si="23"/>
        <v>8</v>
      </c>
      <c r="N1513" t="b">
        <v>0</v>
      </c>
      <c r="O1513">
        <v>0</v>
      </c>
      <c r="Q1513">
        <v>0</v>
      </c>
      <c r="R1513" t="b">
        <v>0</v>
      </c>
    </row>
    <row r="1514" spans="1:18" hidden="1">
      <c r="A1514" t="s">
        <v>1191</v>
      </c>
      <c r="B1514" t="s">
        <v>3988</v>
      </c>
      <c r="C1514" t="s">
        <v>3989</v>
      </c>
      <c r="E1514">
        <v>10</v>
      </c>
      <c r="F1514">
        <v>34</v>
      </c>
      <c r="G1514">
        <v>3</v>
      </c>
      <c r="H1514">
        <v>16</v>
      </c>
      <c r="J1514" t="s">
        <v>93</v>
      </c>
      <c r="K1514" t="b">
        <v>1</v>
      </c>
      <c r="L1514">
        <f t="shared" si="23"/>
        <v>13</v>
      </c>
      <c r="M1514">
        <f t="shared" si="23"/>
        <v>50</v>
      </c>
      <c r="N1514" t="b">
        <v>0</v>
      </c>
      <c r="O1514">
        <v>0</v>
      </c>
      <c r="Q1514">
        <v>0</v>
      </c>
      <c r="R1514" t="b">
        <v>0</v>
      </c>
    </row>
    <row r="1515" spans="1:18">
      <c r="A1515" t="s">
        <v>1191</v>
      </c>
      <c r="B1515" t="s">
        <v>3990</v>
      </c>
      <c r="C1515" t="s">
        <v>3991</v>
      </c>
      <c r="E1515">
        <v>10</v>
      </c>
      <c r="F1515">
        <v>48</v>
      </c>
      <c r="G1515">
        <v>3</v>
      </c>
      <c r="H1515">
        <v>15</v>
      </c>
      <c r="J1515" t="s">
        <v>22</v>
      </c>
      <c r="K1515" t="b">
        <v>1</v>
      </c>
      <c r="L1515">
        <f t="shared" si="23"/>
        <v>13</v>
      </c>
      <c r="M1515">
        <f t="shared" si="23"/>
        <v>63</v>
      </c>
      <c r="N1515" t="b">
        <v>0</v>
      </c>
      <c r="O1515">
        <v>1</v>
      </c>
      <c r="P1515" t="s">
        <v>3992</v>
      </c>
      <c r="Q1515">
        <v>2</v>
      </c>
      <c r="R1515" t="b">
        <v>1</v>
      </c>
    </row>
    <row r="1516" spans="1:18">
      <c r="A1516" t="s">
        <v>1191</v>
      </c>
      <c r="B1516" t="s">
        <v>3993</v>
      </c>
      <c r="C1516" t="s">
        <v>3994</v>
      </c>
      <c r="E1516">
        <v>10</v>
      </c>
      <c r="F1516">
        <v>34</v>
      </c>
      <c r="G1516">
        <v>3</v>
      </c>
      <c r="H1516">
        <v>27</v>
      </c>
      <c r="J1516" t="s">
        <v>22</v>
      </c>
      <c r="K1516" t="b">
        <v>1</v>
      </c>
      <c r="L1516">
        <f t="shared" si="23"/>
        <v>13</v>
      </c>
      <c r="M1516">
        <f t="shared" si="23"/>
        <v>61</v>
      </c>
      <c r="N1516" t="b">
        <v>0</v>
      </c>
      <c r="O1516">
        <v>1</v>
      </c>
      <c r="P1516" t="s">
        <v>3995</v>
      </c>
      <c r="Q1516">
        <v>2</v>
      </c>
      <c r="R1516" t="b">
        <v>1</v>
      </c>
    </row>
    <row r="1517" spans="1:18">
      <c r="A1517" t="s">
        <v>1191</v>
      </c>
      <c r="B1517" t="s">
        <v>3996</v>
      </c>
      <c r="C1517" t="s">
        <v>3997</v>
      </c>
      <c r="E1517">
        <v>4</v>
      </c>
      <c r="F1517">
        <v>12</v>
      </c>
      <c r="G1517">
        <v>9</v>
      </c>
      <c r="H1517">
        <v>68</v>
      </c>
      <c r="J1517" t="s">
        <v>22</v>
      </c>
      <c r="K1517" t="b">
        <v>1</v>
      </c>
      <c r="L1517">
        <f t="shared" si="23"/>
        <v>13</v>
      </c>
      <c r="M1517">
        <f t="shared" si="23"/>
        <v>80</v>
      </c>
      <c r="N1517" t="b">
        <v>0</v>
      </c>
      <c r="O1517">
        <v>1</v>
      </c>
      <c r="P1517" t="s">
        <v>3998</v>
      </c>
      <c r="Q1517">
        <v>2</v>
      </c>
      <c r="R1517" t="b">
        <v>1</v>
      </c>
    </row>
    <row r="1518" spans="1:18">
      <c r="A1518" t="s">
        <v>1987</v>
      </c>
      <c r="B1518" t="s">
        <v>3999</v>
      </c>
      <c r="C1518" t="s">
        <v>4000</v>
      </c>
      <c r="E1518">
        <v>11</v>
      </c>
      <c r="F1518">
        <v>112</v>
      </c>
      <c r="G1518">
        <v>2</v>
      </c>
      <c r="H1518">
        <v>3</v>
      </c>
      <c r="J1518" t="s">
        <v>22</v>
      </c>
      <c r="K1518" t="b">
        <v>1</v>
      </c>
      <c r="L1518">
        <f t="shared" si="23"/>
        <v>13</v>
      </c>
      <c r="M1518">
        <f t="shared" si="23"/>
        <v>115</v>
      </c>
      <c r="N1518" t="b">
        <v>0</v>
      </c>
      <c r="O1518">
        <v>1</v>
      </c>
      <c r="P1518" t="s">
        <v>4001</v>
      </c>
      <c r="Q1518">
        <v>2</v>
      </c>
      <c r="R1518" t="b">
        <v>1</v>
      </c>
    </row>
    <row r="1519" spans="1:18" hidden="1">
      <c r="A1519" t="s">
        <v>1224</v>
      </c>
      <c r="B1519" t="s">
        <v>4002</v>
      </c>
      <c r="C1519" t="s">
        <v>4003</v>
      </c>
      <c r="E1519">
        <v>12</v>
      </c>
      <c r="F1519">
        <v>85</v>
      </c>
      <c r="G1519">
        <v>1</v>
      </c>
      <c r="H1519">
        <v>6</v>
      </c>
      <c r="J1519" t="s">
        <v>93</v>
      </c>
      <c r="K1519" t="b">
        <v>1</v>
      </c>
      <c r="L1519">
        <f t="shared" si="23"/>
        <v>13</v>
      </c>
      <c r="M1519">
        <f t="shared" si="23"/>
        <v>91</v>
      </c>
      <c r="N1519" t="b">
        <v>0</v>
      </c>
      <c r="O1519">
        <v>0</v>
      </c>
      <c r="Q1519">
        <v>0</v>
      </c>
      <c r="R1519" t="b">
        <v>0</v>
      </c>
    </row>
    <row r="1520" spans="1:18">
      <c r="A1520" t="s">
        <v>24</v>
      </c>
      <c r="B1520" t="s">
        <v>4004</v>
      </c>
      <c r="C1520" t="s">
        <v>4005</v>
      </c>
      <c r="E1520">
        <v>13</v>
      </c>
      <c r="F1520">
        <v>537</v>
      </c>
      <c r="G1520">
        <v>0</v>
      </c>
      <c r="H1520">
        <v>0</v>
      </c>
      <c r="J1520" t="s">
        <v>22</v>
      </c>
      <c r="K1520" t="b">
        <v>1</v>
      </c>
      <c r="L1520">
        <f t="shared" si="23"/>
        <v>13</v>
      </c>
      <c r="M1520">
        <f t="shared" si="23"/>
        <v>537</v>
      </c>
      <c r="N1520" t="b">
        <v>0</v>
      </c>
      <c r="O1520">
        <v>1</v>
      </c>
      <c r="P1520" t="s">
        <v>4006</v>
      </c>
      <c r="Q1520">
        <v>2</v>
      </c>
      <c r="R1520" t="b">
        <v>1</v>
      </c>
    </row>
    <row r="1521" spans="1:18" hidden="1">
      <c r="A1521" t="s">
        <v>24</v>
      </c>
      <c r="B1521" t="s">
        <v>4007</v>
      </c>
      <c r="C1521" t="s">
        <v>4008</v>
      </c>
      <c r="E1521">
        <v>8</v>
      </c>
      <c r="F1521">
        <v>83</v>
      </c>
      <c r="G1521">
        <v>5</v>
      </c>
      <c r="H1521">
        <v>141</v>
      </c>
      <c r="J1521" t="s">
        <v>93</v>
      </c>
      <c r="K1521" t="b">
        <v>1</v>
      </c>
      <c r="L1521">
        <f t="shared" si="23"/>
        <v>13</v>
      </c>
      <c r="M1521">
        <f t="shared" si="23"/>
        <v>224</v>
      </c>
      <c r="N1521" t="b">
        <v>0</v>
      </c>
      <c r="O1521">
        <v>0</v>
      </c>
      <c r="Q1521">
        <v>0</v>
      </c>
      <c r="R1521" t="b">
        <v>0</v>
      </c>
    </row>
    <row r="1522" spans="1:18">
      <c r="A1522" t="s">
        <v>24</v>
      </c>
      <c r="B1522" t="s">
        <v>4009</v>
      </c>
      <c r="C1522" t="s">
        <v>4010</v>
      </c>
      <c r="E1522">
        <v>7</v>
      </c>
      <c r="F1522">
        <v>81</v>
      </c>
      <c r="G1522">
        <v>6</v>
      </c>
      <c r="H1522">
        <v>8</v>
      </c>
      <c r="J1522" t="s">
        <v>22</v>
      </c>
      <c r="K1522" t="b">
        <v>1</v>
      </c>
      <c r="L1522">
        <f t="shared" si="23"/>
        <v>13</v>
      </c>
      <c r="M1522">
        <f t="shared" si="23"/>
        <v>89</v>
      </c>
      <c r="N1522" t="b">
        <v>0</v>
      </c>
      <c r="O1522">
        <v>1</v>
      </c>
      <c r="P1522" t="s">
        <v>4011</v>
      </c>
      <c r="Q1522">
        <v>2</v>
      </c>
      <c r="R1522" t="b">
        <v>1</v>
      </c>
    </row>
    <row r="1523" spans="1:18" hidden="1">
      <c r="A1523" t="s">
        <v>24</v>
      </c>
      <c r="B1523" t="s">
        <v>4012</v>
      </c>
      <c r="C1523" t="s">
        <v>4013</v>
      </c>
      <c r="E1523">
        <v>8</v>
      </c>
      <c r="F1523">
        <v>30</v>
      </c>
      <c r="G1523">
        <v>5</v>
      </c>
      <c r="H1523">
        <v>680</v>
      </c>
      <c r="J1523" t="s">
        <v>999</v>
      </c>
      <c r="K1523" t="b">
        <v>1</v>
      </c>
      <c r="L1523">
        <f t="shared" si="23"/>
        <v>13</v>
      </c>
      <c r="M1523">
        <f t="shared" si="23"/>
        <v>710</v>
      </c>
      <c r="N1523" t="b">
        <v>0</v>
      </c>
      <c r="O1523">
        <v>0</v>
      </c>
      <c r="Q1523">
        <v>0</v>
      </c>
      <c r="R1523" t="b">
        <v>0</v>
      </c>
    </row>
    <row r="1524" spans="1:18" hidden="1">
      <c r="A1524" t="s">
        <v>3757</v>
      </c>
      <c r="B1524" t="s">
        <v>4014</v>
      </c>
      <c r="C1524" t="s">
        <v>4015</v>
      </c>
      <c r="E1524">
        <v>11</v>
      </c>
      <c r="F1524">
        <v>917</v>
      </c>
      <c r="G1524">
        <v>2</v>
      </c>
      <c r="H1524">
        <v>2</v>
      </c>
      <c r="J1524" t="s">
        <v>93</v>
      </c>
      <c r="K1524" t="b">
        <v>0</v>
      </c>
      <c r="L1524">
        <f t="shared" si="23"/>
        <v>13</v>
      </c>
      <c r="M1524">
        <f t="shared" si="23"/>
        <v>919</v>
      </c>
      <c r="N1524" t="b">
        <v>0</v>
      </c>
      <c r="O1524">
        <v>0</v>
      </c>
      <c r="Q1524">
        <v>0</v>
      </c>
      <c r="R1524" t="b">
        <v>0</v>
      </c>
    </row>
    <row r="1525" spans="1:18">
      <c r="A1525" t="s">
        <v>205</v>
      </c>
      <c r="B1525" t="s">
        <v>4016</v>
      </c>
      <c r="C1525" t="s">
        <v>4017</v>
      </c>
      <c r="E1525">
        <v>8</v>
      </c>
      <c r="F1525">
        <v>21</v>
      </c>
      <c r="G1525">
        <v>5</v>
      </c>
      <c r="H1525">
        <v>53</v>
      </c>
      <c r="J1525" t="s">
        <v>22</v>
      </c>
      <c r="K1525" t="b">
        <v>1</v>
      </c>
      <c r="L1525">
        <f t="shared" si="23"/>
        <v>13</v>
      </c>
      <c r="M1525">
        <f t="shared" si="23"/>
        <v>74</v>
      </c>
      <c r="N1525" t="b">
        <v>0</v>
      </c>
      <c r="O1525">
        <v>1</v>
      </c>
      <c r="P1525" t="s">
        <v>3387</v>
      </c>
      <c r="Q1525">
        <v>2</v>
      </c>
      <c r="R1525" t="b">
        <v>1</v>
      </c>
    </row>
    <row r="1526" spans="1:18">
      <c r="A1526" t="s">
        <v>2472</v>
      </c>
      <c r="B1526" t="s">
        <v>4018</v>
      </c>
      <c r="C1526" t="s">
        <v>4019</v>
      </c>
      <c r="E1526">
        <v>7</v>
      </c>
      <c r="F1526">
        <v>12</v>
      </c>
      <c r="G1526">
        <v>6</v>
      </c>
      <c r="H1526">
        <v>10</v>
      </c>
      <c r="J1526" t="s">
        <v>22</v>
      </c>
      <c r="K1526" t="b">
        <v>1</v>
      </c>
      <c r="L1526">
        <f t="shared" si="23"/>
        <v>13</v>
      </c>
      <c r="M1526">
        <f t="shared" si="23"/>
        <v>22</v>
      </c>
      <c r="N1526" t="b">
        <v>0</v>
      </c>
      <c r="O1526">
        <v>1</v>
      </c>
      <c r="P1526" t="s">
        <v>4020</v>
      </c>
      <c r="Q1526">
        <v>2</v>
      </c>
      <c r="R1526" t="b">
        <v>1</v>
      </c>
    </row>
    <row r="1527" spans="1:18" hidden="1">
      <c r="A1527" t="s">
        <v>4021</v>
      </c>
      <c r="B1527" t="s">
        <v>4022</v>
      </c>
      <c r="C1527" t="s">
        <v>4023</v>
      </c>
      <c r="E1527">
        <v>4</v>
      </c>
      <c r="F1527">
        <v>4</v>
      </c>
      <c r="G1527">
        <v>9</v>
      </c>
      <c r="H1527">
        <v>399</v>
      </c>
      <c r="J1527" t="s">
        <v>93</v>
      </c>
      <c r="K1527" t="b">
        <v>0</v>
      </c>
      <c r="L1527">
        <f t="shared" si="23"/>
        <v>13</v>
      </c>
      <c r="M1527">
        <f t="shared" si="23"/>
        <v>403</v>
      </c>
      <c r="N1527" t="b">
        <v>0</v>
      </c>
      <c r="O1527">
        <v>0</v>
      </c>
      <c r="Q1527">
        <v>0</v>
      </c>
      <c r="R1527" t="b">
        <v>0</v>
      </c>
    </row>
    <row r="1528" spans="1:18" hidden="1">
      <c r="A1528" t="s">
        <v>4021</v>
      </c>
      <c r="B1528" t="s">
        <v>4024</v>
      </c>
      <c r="C1528" t="s">
        <v>4025</v>
      </c>
      <c r="E1528">
        <v>4</v>
      </c>
      <c r="F1528">
        <v>4</v>
      </c>
      <c r="G1528">
        <v>9</v>
      </c>
      <c r="H1528">
        <v>399</v>
      </c>
      <c r="J1528" t="s">
        <v>93</v>
      </c>
      <c r="K1528" t="b">
        <v>0</v>
      </c>
      <c r="L1528">
        <f t="shared" si="23"/>
        <v>13</v>
      </c>
      <c r="M1528">
        <f t="shared" si="23"/>
        <v>403</v>
      </c>
      <c r="N1528" t="b">
        <v>0</v>
      </c>
      <c r="O1528">
        <v>0</v>
      </c>
      <c r="Q1528">
        <v>0</v>
      </c>
      <c r="R1528" t="b">
        <v>0</v>
      </c>
    </row>
    <row r="1529" spans="1:18" hidden="1">
      <c r="A1529" t="s">
        <v>1424</v>
      </c>
      <c r="B1529" t="s">
        <v>4026</v>
      </c>
      <c r="C1529" t="s">
        <v>4027</v>
      </c>
      <c r="E1529">
        <v>13</v>
      </c>
      <c r="F1529">
        <v>4</v>
      </c>
      <c r="G1529">
        <v>0</v>
      </c>
      <c r="H1529">
        <v>0</v>
      </c>
      <c r="J1529" t="s">
        <v>93</v>
      </c>
      <c r="K1529" t="b">
        <v>0</v>
      </c>
      <c r="L1529">
        <f t="shared" si="23"/>
        <v>13</v>
      </c>
      <c r="M1529">
        <f t="shared" si="23"/>
        <v>4</v>
      </c>
      <c r="N1529" t="b">
        <v>1</v>
      </c>
      <c r="O1529">
        <v>0</v>
      </c>
      <c r="Q1529">
        <v>0</v>
      </c>
      <c r="R1529" t="b">
        <v>0</v>
      </c>
    </row>
    <row r="1530" spans="1:18" hidden="1">
      <c r="A1530" t="s">
        <v>1293</v>
      </c>
      <c r="B1530" t="s">
        <v>4028</v>
      </c>
      <c r="C1530" t="s">
        <v>4029</v>
      </c>
      <c r="E1530">
        <v>10</v>
      </c>
      <c r="F1530">
        <v>36</v>
      </c>
      <c r="G1530">
        <v>3</v>
      </c>
      <c r="H1530">
        <v>4</v>
      </c>
      <c r="J1530" t="s">
        <v>93</v>
      </c>
      <c r="K1530" t="b">
        <v>0</v>
      </c>
      <c r="L1530">
        <f t="shared" si="23"/>
        <v>13</v>
      </c>
      <c r="M1530">
        <f t="shared" si="23"/>
        <v>40</v>
      </c>
      <c r="N1530" t="b">
        <v>0</v>
      </c>
      <c r="O1530">
        <v>0</v>
      </c>
      <c r="Q1530">
        <v>0</v>
      </c>
      <c r="R1530" t="b">
        <v>0</v>
      </c>
    </row>
    <row r="1531" spans="1:18" hidden="1">
      <c r="A1531" t="s">
        <v>3874</v>
      </c>
      <c r="B1531" t="s">
        <v>4030</v>
      </c>
      <c r="C1531" t="s">
        <v>4031</v>
      </c>
      <c r="E1531">
        <v>9</v>
      </c>
      <c r="F1531">
        <v>25</v>
      </c>
      <c r="G1531">
        <v>4</v>
      </c>
      <c r="H1531">
        <v>14</v>
      </c>
      <c r="J1531" t="s">
        <v>93</v>
      </c>
      <c r="K1531" t="b">
        <v>0</v>
      </c>
      <c r="L1531">
        <f t="shared" si="23"/>
        <v>13</v>
      </c>
      <c r="M1531">
        <f t="shared" si="23"/>
        <v>39</v>
      </c>
      <c r="N1531" t="b">
        <v>0</v>
      </c>
      <c r="O1531">
        <v>0</v>
      </c>
      <c r="Q1531">
        <v>0</v>
      </c>
      <c r="R1531" t="b">
        <v>0</v>
      </c>
    </row>
    <row r="1532" spans="1:18" hidden="1">
      <c r="A1532" t="s">
        <v>3874</v>
      </c>
      <c r="B1532" t="s">
        <v>4032</v>
      </c>
      <c r="C1532" t="s">
        <v>4033</v>
      </c>
      <c r="E1532">
        <v>9</v>
      </c>
      <c r="F1532">
        <v>25</v>
      </c>
      <c r="G1532">
        <v>4</v>
      </c>
      <c r="H1532">
        <v>14</v>
      </c>
      <c r="J1532" t="s">
        <v>93</v>
      </c>
      <c r="K1532" t="b">
        <v>0</v>
      </c>
      <c r="L1532">
        <f t="shared" si="23"/>
        <v>13</v>
      </c>
      <c r="M1532">
        <f t="shared" si="23"/>
        <v>39</v>
      </c>
      <c r="N1532" t="b">
        <v>0</v>
      </c>
      <c r="O1532">
        <v>0</v>
      </c>
      <c r="Q1532">
        <v>0</v>
      </c>
      <c r="R1532" t="b">
        <v>0</v>
      </c>
    </row>
    <row r="1533" spans="1:18" hidden="1">
      <c r="A1533" t="s">
        <v>3874</v>
      </c>
      <c r="B1533" t="s">
        <v>4034</v>
      </c>
      <c r="C1533" t="s">
        <v>4035</v>
      </c>
      <c r="E1533">
        <v>9</v>
      </c>
      <c r="F1533">
        <v>25</v>
      </c>
      <c r="G1533">
        <v>4</v>
      </c>
      <c r="H1533">
        <v>14</v>
      </c>
      <c r="J1533" t="s">
        <v>93</v>
      </c>
      <c r="K1533" t="b">
        <v>0</v>
      </c>
      <c r="L1533">
        <f t="shared" si="23"/>
        <v>13</v>
      </c>
      <c r="M1533">
        <f t="shared" si="23"/>
        <v>39</v>
      </c>
      <c r="N1533" t="b">
        <v>0</v>
      </c>
      <c r="O1533">
        <v>0</v>
      </c>
      <c r="Q1533">
        <v>0</v>
      </c>
      <c r="R1533" t="b">
        <v>0</v>
      </c>
    </row>
    <row r="1534" spans="1:18" hidden="1">
      <c r="A1534" t="s">
        <v>3874</v>
      </c>
      <c r="B1534" t="s">
        <v>4036</v>
      </c>
      <c r="C1534" t="s">
        <v>4037</v>
      </c>
      <c r="E1534">
        <v>8</v>
      </c>
      <c r="F1534">
        <v>24</v>
      </c>
      <c r="G1534">
        <v>5</v>
      </c>
      <c r="H1534">
        <v>15</v>
      </c>
      <c r="J1534" t="s">
        <v>93</v>
      </c>
      <c r="K1534" t="b">
        <v>0</v>
      </c>
      <c r="L1534">
        <f t="shared" si="23"/>
        <v>13</v>
      </c>
      <c r="M1534">
        <f t="shared" si="23"/>
        <v>39</v>
      </c>
      <c r="N1534" t="b">
        <v>0</v>
      </c>
      <c r="O1534">
        <v>0</v>
      </c>
      <c r="Q1534">
        <v>0</v>
      </c>
      <c r="R1534" t="b">
        <v>0</v>
      </c>
    </row>
    <row r="1535" spans="1:18">
      <c r="A1535" t="s">
        <v>2775</v>
      </c>
      <c r="B1535" t="s">
        <v>4038</v>
      </c>
      <c r="C1535" t="s">
        <v>4039</v>
      </c>
      <c r="E1535">
        <v>9</v>
      </c>
      <c r="F1535">
        <v>22</v>
      </c>
      <c r="G1535">
        <v>4</v>
      </c>
      <c r="H1535">
        <v>5</v>
      </c>
      <c r="J1535" t="s">
        <v>22</v>
      </c>
      <c r="K1535" t="b">
        <v>1</v>
      </c>
      <c r="L1535">
        <f t="shared" si="23"/>
        <v>13</v>
      </c>
      <c r="M1535">
        <f t="shared" si="23"/>
        <v>27</v>
      </c>
      <c r="N1535" t="b">
        <v>0</v>
      </c>
      <c r="O1535">
        <v>1</v>
      </c>
      <c r="P1535" t="s">
        <v>4040</v>
      </c>
      <c r="Q1535">
        <v>2</v>
      </c>
      <c r="R1535" t="b">
        <v>1</v>
      </c>
    </row>
    <row r="1536" spans="1:18" hidden="1">
      <c r="A1536" t="s">
        <v>4041</v>
      </c>
      <c r="B1536" t="s">
        <v>4042</v>
      </c>
      <c r="C1536" t="s">
        <v>4043</v>
      </c>
      <c r="E1536">
        <v>5</v>
      </c>
      <c r="F1536">
        <v>4</v>
      </c>
      <c r="G1536">
        <v>8</v>
      </c>
      <c r="H1536">
        <v>15</v>
      </c>
      <c r="J1536" t="s">
        <v>93</v>
      </c>
      <c r="K1536" t="b">
        <v>0</v>
      </c>
      <c r="L1536">
        <f t="shared" si="23"/>
        <v>13</v>
      </c>
      <c r="M1536">
        <f t="shared" si="23"/>
        <v>19</v>
      </c>
      <c r="N1536" t="b">
        <v>0</v>
      </c>
      <c r="O1536">
        <v>0</v>
      </c>
      <c r="Q1536">
        <v>0</v>
      </c>
      <c r="R1536" t="b">
        <v>0</v>
      </c>
    </row>
    <row r="1537" spans="1:18" hidden="1">
      <c r="A1537" t="s">
        <v>706</v>
      </c>
      <c r="B1537" t="s">
        <v>4044</v>
      </c>
      <c r="C1537" t="s">
        <v>4045</v>
      </c>
      <c r="E1537">
        <v>8</v>
      </c>
      <c r="F1537">
        <v>12</v>
      </c>
      <c r="G1537">
        <v>5</v>
      </c>
      <c r="H1537">
        <v>6</v>
      </c>
      <c r="J1537" t="s">
        <v>93</v>
      </c>
      <c r="K1537" t="b">
        <v>0</v>
      </c>
      <c r="L1537">
        <f t="shared" si="23"/>
        <v>13</v>
      </c>
      <c r="M1537">
        <f t="shared" si="23"/>
        <v>18</v>
      </c>
      <c r="N1537" t="b">
        <v>0</v>
      </c>
      <c r="O1537">
        <v>0</v>
      </c>
      <c r="Q1537">
        <v>0</v>
      </c>
      <c r="R1537" t="b">
        <v>0</v>
      </c>
    </row>
    <row r="1538" spans="1:18">
      <c r="A1538" t="s">
        <v>1143</v>
      </c>
      <c r="B1538" t="s">
        <v>4046</v>
      </c>
      <c r="C1538" t="s">
        <v>4047</v>
      </c>
      <c r="E1538">
        <v>0</v>
      </c>
      <c r="F1538">
        <v>0</v>
      </c>
      <c r="G1538">
        <v>13</v>
      </c>
      <c r="H1538">
        <v>63</v>
      </c>
      <c r="J1538" t="s">
        <v>22</v>
      </c>
      <c r="K1538" t="b">
        <v>1</v>
      </c>
      <c r="L1538">
        <f t="shared" si="23"/>
        <v>13</v>
      </c>
      <c r="M1538">
        <f t="shared" si="23"/>
        <v>63</v>
      </c>
      <c r="N1538" t="b">
        <v>0</v>
      </c>
      <c r="O1538">
        <v>1</v>
      </c>
      <c r="P1538" t="s">
        <v>4048</v>
      </c>
      <c r="Q1538">
        <v>2</v>
      </c>
      <c r="R1538" t="b">
        <v>1</v>
      </c>
    </row>
    <row r="1539" spans="1:18">
      <c r="A1539" t="s">
        <v>1143</v>
      </c>
      <c r="B1539" t="s">
        <v>4049</v>
      </c>
      <c r="C1539" t="s">
        <v>4050</v>
      </c>
      <c r="E1539">
        <v>0</v>
      </c>
      <c r="F1539">
        <v>0</v>
      </c>
      <c r="G1539">
        <v>13</v>
      </c>
      <c r="H1539">
        <v>64</v>
      </c>
      <c r="J1539" t="s">
        <v>22</v>
      </c>
      <c r="K1539" t="b">
        <v>1</v>
      </c>
      <c r="L1539">
        <f t="shared" ref="L1539:M1602" si="24">E1539+G1539</f>
        <v>13</v>
      </c>
      <c r="M1539">
        <f t="shared" si="24"/>
        <v>64</v>
      </c>
      <c r="N1539" t="b">
        <v>0</v>
      </c>
      <c r="O1539">
        <v>1</v>
      </c>
      <c r="P1539" t="s">
        <v>4051</v>
      </c>
      <c r="Q1539">
        <v>2</v>
      </c>
      <c r="R1539" t="b">
        <v>1</v>
      </c>
    </row>
    <row r="1540" spans="1:18">
      <c r="A1540" t="s">
        <v>1143</v>
      </c>
      <c r="B1540" t="s">
        <v>4052</v>
      </c>
      <c r="C1540" t="s">
        <v>4053</v>
      </c>
      <c r="E1540">
        <v>0</v>
      </c>
      <c r="F1540">
        <v>0</v>
      </c>
      <c r="G1540">
        <v>13</v>
      </c>
      <c r="H1540">
        <v>23</v>
      </c>
      <c r="J1540" t="s">
        <v>22</v>
      </c>
      <c r="K1540" t="b">
        <v>1</v>
      </c>
      <c r="L1540">
        <f t="shared" si="24"/>
        <v>13</v>
      </c>
      <c r="M1540">
        <f t="shared" si="24"/>
        <v>23</v>
      </c>
      <c r="N1540" t="b">
        <v>0</v>
      </c>
      <c r="O1540">
        <v>1</v>
      </c>
      <c r="P1540" t="s">
        <v>4054</v>
      </c>
      <c r="Q1540">
        <v>2</v>
      </c>
      <c r="R1540" t="b">
        <v>1</v>
      </c>
    </row>
    <row r="1541" spans="1:18">
      <c r="A1541" t="s">
        <v>1334</v>
      </c>
      <c r="B1541" t="s">
        <v>4055</v>
      </c>
      <c r="C1541" t="s">
        <v>4056</v>
      </c>
      <c r="E1541">
        <v>7</v>
      </c>
      <c r="F1541">
        <v>9</v>
      </c>
      <c r="G1541">
        <v>6</v>
      </c>
      <c r="H1541">
        <v>15</v>
      </c>
      <c r="J1541" t="s">
        <v>22</v>
      </c>
      <c r="K1541" t="b">
        <v>1</v>
      </c>
      <c r="L1541">
        <f t="shared" si="24"/>
        <v>13</v>
      </c>
      <c r="M1541">
        <f t="shared" si="24"/>
        <v>24</v>
      </c>
      <c r="N1541" t="b">
        <v>0</v>
      </c>
      <c r="O1541">
        <v>1</v>
      </c>
      <c r="P1541" t="s">
        <v>4057</v>
      </c>
      <c r="Q1541">
        <v>1</v>
      </c>
      <c r="R1541" t="b">
        <v>1</v>
      </c>
    </row>
    <row r="1542" spans="1:18" hidden="1">
      <c r="A1542" t="s">
        <v>378</v>
      </c>
      <c r="B1542" t="s">
        <v>4058</v>
      </c>
      <c r="C1542" t="s">
        <v>4059</v>
      </c>
      <c r="E1542">
        <v>9</v>
      </c>
      <c r="F1542">
        <v>20</v>
      </c>
      <c r="G1542">
        <v>4</v>
      </c>
      <c r="H1542">
        <v>6</v>
      </c>
      <c r="J1542" t="s">
        <v>93</v>
      </c>
      <c r="K1542" t="b">
        <v>1</v>
      </c>
      <c r="L1542">
        <f t="shared" si="24"/>
        <v>13</v>
      </c>
      <c r="M1542">
        <f t="shared" si="24"/>
        <v>26</v>
      </c>
      <c r="N1542" t="b">
        <v>0</v>
      </c>
      <c r="O1542">
        <v>0</v>
      </c>
      <c r="Q1542">
        <v>0</v>
      </c>
      <c r="R1542" t="b">
        <v>0</v>
      </c>
    </row>
    <row r="1543" spans="1:18" hidden="1">
      <c r="A1543" t="s">
        <v>133</v>
      </c>
      <c r="B1543" t="s">
        <v>4060</v>
      </c>
      <c r="C1543" t="s">
        <v>4061</v>
      </c>
      <c r="E1543">
        <v>6</v>
      </c>
      <c r="F1543">
        <v>6</v>
      </c>
      <c r="G1543">
        <v>7</v>
      </c>
      <c r="H1543">
        <v>14</v>
      </c>
      <c r="J1543" t="s">
        <v>93</v>
      </c>
      <c r="K1543" t="b">
        <v>1</v>
      </c>
      <c r="L1543">
        <f t="shared" si="24"/>
        <v>13</v>
      </c>
      <c r="M1543">
        <f t="shared" si="24"/>
        <v>20</v>
      </c>
      <c r="N1543" t="b">
        <v>0</v>
      </c>
      <c r="O1543">
        <v>0</v>
      </c>
      <c r="Q1543">
        <v>0</v>
      </c>
      <c r="R1543" t="b">
        <v>0</v>
      </c>
    </row>
    <row r="1544" spans="1:18">
      <c r="A1544" t="s">
        <v>30</v>
      </c>
      <c r="B1544" t="s">
        <v>4062</v>
      </c>
      <c r="C1544" t="s">
        <v>4063</v>
      </c>
      <c r="E1544">
        <v>9</v>
      </c>
      <c r="F1544">
        <v>2</v>
      </c>
      <c r="G1544">
        <v>4</v>
      </c>
      <c r="H1544">
        <v>4</v>
      </c>
      <c r="J1544" t="s">
        <v>22</v>
      </c>
      <c r="K1544" t="b">
        <v>1</v>
      </c>
      <c r="L1544">
        <f t="shared" si="24"/>
        <v>13</v>
      </c>
      <c r="M1544">
        <f t="shared" si="24"/>
        <v>6</v>
      </c>
      <c r="N1544" t="b">
        <v>0</v>
      </c>
      <c r="O1544">
        <v>1</v>
      </c>
      <c r="P1544" t="s">
        <v>4064</v>
      </c>
      <c r="Q1544">
        <v>2</v>
      </c>
      <c r="R1544" t="b">
        <v>1</v>
      </c>
    </row>
    <row r="1545" spans="1:18" hidden="1">
      <c r="A1545" t="s">
        <v>192</v>
      </c>
      <c r="B1545" t="s">
        <v>4065</v>
      </c>
      <c r="C1545" t="s">
        <v>4066</v>
      </c>
      <c r="E1545">
        <v>13</v>
      </c>
      <c r="F1545">
        <v>6</v>
      </c>
      <c r="G1545">
        <v>0</v>
      </c>
      <c r="H1545">
        <v>0</v>
      </c>
      <c r="J1545" t="s">
        <v>93</v>
      </c>
      <c r="K1545" t="b">
        <v>1</v>
      </c>
      <c r="L1545">
        <f t="shared" si="24"/>
        <v>13</v>
      </c>
      <c r="M1545">
        <f t="shared" si="24"/>
        <v>6</v>
      </c>
      <c r="N1545" t="b">
        <v>0</v>
      </c>
      <c r="O1545">
        <v>0</v>
      </c>
      <c r="Q1545">
        <v>0</v>
      </c>
      <c r="R1545" t="b">
        <v>0</v>
      </c>
    </row>
    <row r="1546" spans="1:18">
      <c r="A1546" t="s">
        <v>1191</v>
      </c>
      <c r="B1546" t="s">
        <v>4067</v>
      </c>
      <c r="C1546" t="s">
        <v>4068</v>
      </c>
      <c r="E1546">
        <v>10</v>
      </c>
      <c r="F1546">
        <v>26</v>
      </c>
      <c r="G1546">
        <v>2</v>
      </c>
      <c r="H1546">
        <v>7</v>
      </c>
      <c r="J1546" t="s">
        <v>22</v>
      </c>
      <c r="K1546" t="b">
        <v>1</v>
      </c>
      <c r="L1546">
        <f t="shared" si="24"/>
        <v>12</v>
      </c>
      <c r="M1546">
        <f t="shared" si="24"/>
        <v>33</v>
      </c>
      <c r="N1546" t="b">
        <v>0</v>
      </c>
      <c r="O1546">
        <v>1</v>
      </c>
      <c r="P1546" t="s">
        <v>4069</v>
      </c>
      <c r="Q1546">
        <v>2</v>
      </c>
      <c r="R1546" t="b">
        <v>1</v>
      </c>
    </row>
    <row r="1547" spans="1:18">
      <c r="A1547" t="s">
        <v>1191</v>
      </c>
      <c r="B1547" t="s">
        <v>4070</v>
      </c>
      <c r="C1547" t="s">
        <v>4071</v>
      </c>
      <c r="E1547">
        <v>10</v>
      </c>
      <c r="F1547">
        <v>26</v>
      </c>
      <c r="G1547">
        <v>2</v>
      </c>
      <c r="H1547">
        <v>7</v>
      </c>
      <c r="J1547" t="s">
        <v>22</v>
      </c>
      <c r="K1547" t="b">
        <v>1</v>
      </c>
      <c r="L1547">
        <f t="shared" si="24"/>
        <v>12</v>
      </c>
      <c r="M1547">
        <f t="shared" si="24"/>
        <v>33</v>
      </c>
      <c r="N1547" t="b">
        <v>0</v>
      </c>
      <c r="O1547">
        <v>1</v>
      </c>
      <c r="P1547" t="s">
        <v>4072</v>
      </c>
      <c r="Q1547">
        <v>2</v>
      </c>
      <c r="R1547" t="b">
        <v>1</v>
      </c>
    </row>
    <row r="1548" spans="1:18">
      <c r="A1548" t="s">
        <v>1191</v>
      </c>
      <c r="B1548" t="s">
        <v>4073</v>
      </c>
      <c r="C1548" t="s">
        <v>4074</v>
      </c>
      <c r="E1548">
        <v>12</v>
      </c>
      <c r="F1548">
        <v>81</v>
      </c>
      <c r="G1548">
        <v>0</v>
      </c>
      <c r="H1548">
        <v>0</v>
      </c>
      <c r="J1548" t="s">
        <v>22</v>
      </c>
      <c r="K1548" t="b">
        <v>1</v>
      </c>
      <c r="L1548">
        <f t="shared" si="24"/>
        <v>12</v>
      </c>
      <c r="M1548">
        <f t="shared" si="24"/>
        <v>81</v>
      </c>
      <c r="N1548" t="b">
        <v>0</v>
      </c>
      <c r="O1548">
        <v>1</v>
      </c>
      <c r="P1548" t="s">
        <v>4075</v>
      </c>
      <c r="Q1548">
        <v>2</v>
      </c>
      <c r="R1548" t="b">
        <v>1</v>
      </c>
    </row>
    <row r="1549" spans="1:18">
      <c r="A1549" t="s">
        <v>857</v>
      </c>
      <c r="B1549" t="s">
        <v>4076</v>
      </c>
      <c r="C1549" t="s">
        <v>4077</v>
      </c>
      <c r="E1549">
        <v>6</v>
      </c>
      <c r="F1549">
        <v>12</v>
      </c>
      <c r="G1549">
        <v>6</v>
      </c>
      <c r="H1549">
        <v>36</v>
      </c>
      <c r="J1549" t="s">
        <v>22</v>
      </c>
      <c r="K1549" t="b">
        <v>1</v>
      </c>
      <c r="L1549">
        <f t="shared" si="24"/>
        <v>12</v>
      </c>
      <c r="M1549">
        <f t="shared" si="24"/>
        <v>48</v>
      </c>
      <c r="N1549" t="b">
        <v>0</v>
      </c>
      <c r="O1549">
        <v>1</v>
      </c>
      <c r="P1549" t="s">
        <v>4078</v>
      </c>
      <c r="Q1549">
        <v>2</v>
      </c>
      <c r="R1549" t="b">
        <v>1</v>
      </c>
    </row>
    <row r="1550" spans="1:18">
      <c r="A1550" t="s">
        <v>857</v>
      </c>
      <c r="B1550" t="s">
        <v>4079</v>
      </c>
      <c r="C1550" t="s">
        <v>4080</v>
      </c>
      <c r="E1550">
        <v>6</v>
      </c>
      <c r="F1550">
        <v>12</v>
      </c>
      <c r="G1550">
        <v>6</v>
      </c>
      <c r="H1550">
        <v>36</v>
      </c>
      <c r="J1550" t="s">
        <v>22</v>
      </c>
      <c r="K1550" t="b">
        <v>1</v>
      </c>
      <c r="L1550">
        <f t="shared" si="24"/>
        <v>12</v>
      </c>
      <c r="M1550">
        <f t="shared" si="24"/>
        <v>48</v>
      </c>
      <c r="N1550" t="b">
        <v>0</v>
      </c>
      <c r="O1550">
        <v>1</v>
      </c>
      <c r="P1550" t="s">
        <v>4081</v>
      </c>
      <c r="Q1550">
        <v>2</v>
      </c>
      <c r="R1550" t="b">
        <v>1</v>
      </c>
    </row>
    <row r="1551" spans="1:18" hidden="1">
      <c r="A1551" t="s">
        <v>372</v>
      </c>
      <c r="B1551" t="s">
        <v>4082</v>
      </c>
      <c r="C1551" t="s">
        <v>4083</v>
      </c>
      <c r="E1551">
        <v>10</v>
      </c>
      <c r="F1551">
        <v>84</v>
      </c>
      <c r="G1551">
        <v>2</v>
      </c>
      <c r="H1551">
        <v>2</v>
      </c>
      <c r="J1551" t="s">
        <v>93</v>
      </c>
      <c r="K1551" t="b">
        <v>1</v>
      </c>
      <c r="L1551">
        <f t="shared" si="24"/>
        <v>12</v>
      </c>
      <c r="M1551">
        <f t="shared" si="24"/>
        <v>86</v>
      </c>
      <c r="N1551" t="b">
        <v>0</v>
      </c>
      <c r="O1551">
        <v>0</v>
      </c>
      <c r="Q1551">
        <v>0</v>
      </c>
      <c r="R1551" t="b">
        <v>0</v>
      </c>
    </row>
    <row r="1552" spans="1:18" hidden="1">
      <c r="A1552" t="s">
        <v>4084</v>
      </c>
      <c r="B1552" t="s">
        <v>4085</v>
      </c>
      <c r="C1552" t="s">
        <v>4086</v>
      </c>
      <c r="E1552">
        <v>9</v>
      </c>
      <c r="F1552">
        <v>2</v>
      </c>
      <c r="G1552">
        <v>3</v>
      </c>
      <c r="H1552">
        <v>3</v>
      </c>
      <c r="J1552" t="s">
        <v>93</v>
      </c>
      <c r="K1552" t="b">
        <v>0</v>
      </c>
      <c r="L1552">
        <f t="shared" si="24"/>
        <v>12</v>
      </c>
      <c r="M1552">
        <f t="shared" si="24"/>
        <v>5</v>
      </c>
      <c r="N1552" t="b">
        <v>1</v>
      </c>
      <c r="O1552">
        <v>0</v>
      </c>
      <c r="Q1552">
        <v>0</v>
      </c>
      <c r="R1552" t="b">
        <v>0</v>
      </c>
    </row>
    <row r="1553" spans="1:18" hidden="1">
      <c r="A1553" t="s">
        <v>4084</v>
      </c>
      <c r="B1553" t="s">
        <v>4087</v>
      </c>
      <c r="C1553" t="s">
        <v>4088</v>
      </c>
      <c r="E1553">
        <v>9</v>
      </c>
      <c r="F1553">
        <v>2</v>
      </c>
      <c r="G1553">
        <v>3</v>
      </c>
      <c r="H1553">
        <v>3</v>
      </c>
      <c r="J1553" t="s">
        <v>93</v>
      </c>
      <c r="K1553" t="b">
        <v>0</v>
      </c>
      <c r="L1553">
        <f t="shared" si="24"/>
        <v>12</v>
      </c>
      <c r="M1553">
        <f t="shared" si="24"/>
        <v>5</v>
      </c>
      <c r="N1553" t="b">
        <v>1</v>
      </c>
      <c r="O1553">
        <v>0</v>
      </c>
      <c r="Q1553">
        <v>0</v>
      </c>
      <c r="R1553" t="b">
        <v>0</v>
      </c>
    </row>
    <row r="1554" spans="1:18" hidden="1">
      <c r="A1554" t="s">
        <v>3801</v>
      </c>
      <c r="B1554" t="s">
        <v>4089</v>
      </c>
      <c r="C1554" t="s">
        <v>4090</v>
      </c>
      <c r="E1554">
        <v>9</v>
      </c>
      <c r="F1554">
        <v>45</v>
      </c>
      <c r="G1554">
        <v>3</v>
      </c>
      <c r="H1554">
        <v>44</v>
      </c>
      <c r="J1554" t="s">
        <v>93</v>
      </c>
      <c r="K1554" t="b">
        <v>1</v>
      </c>
      <c r="L1554">
        <f t="shared" si="24"/>
        <v>12</v>
      </c>
      <c r="M1554">
        <f t="shared" si="24"/>
        <v>89</v>
      </c>
      <c r="N1554" t="b">
        <v>0</v>
      </c>
      <c r="O1554">
        <v>0</v>
      </c>
      <c r="Q1554">
        <v>0</v>
      </c>
      <c r="R1554" t="b">
        <v>0</v>
      </c>
    </row>
    <row r="1555" spans="1:18">
      <c r="A1555" t="s">
        <v>1224</v>
      </c>
      <c r="B1555" t="s">
        <v>4091</v>
      </c>
      <c r="C1555" t="s">
        <v>4092</v>
      </c>
      <c r="E1555">
        <v>10</v>
      </c>
      <c r="F1555">
        <v>117</v>
      </c>
      <c r="G1555">
        <v>2</v>
      </c>
      <c r="H1555">
        <v>7</v>
      </c>
      <c r="J1555" t="s">
        <v>22</v>
      </c>
      <c r="K1555" t="b">
        <v>1</v>
      </c>
      <c r="L1555">
        <f t="shared" si="24"/>
        <v>12</v>
      </c>
      <c r="M1555">
        <f t="shared" si="24"/>
        <v>124</v>
      </c>
      <c r="N1555" t="b">
        <v>0</v>
      </c>
      <c r="O1555">
        <v>1</v>
      </c>
      <c r="P1555" t="s">
        <v>4093</v>
      </c>
      <c r="Q1555">
        <v>2</v>
      </c>
      <c r="R1555" t="b">
        <v>1</v>
      </c>
    </row>
    <row r="1556" spans="1:18" hidden="1">
      <c r="A1556" t="s">
        <v>24</v>
      </c>
      <c r="B1556" t="s">
        <v>4094</v>
      </c>
      <c r="C1556" t="s">
        <v>4095</v>
      </c>
      <c r="E1556">
        <v>5</v>
      </c>
      <c r="F1556">
        <v>4</v>
      </c>
      <c r="G1556">
        <v>7</v>
      </c>
      <c r="H1556">
        <v>17</v>
      </c>
      <c r="J1556" t="s">
        <v>93</v>
      </c>
      <c r="K1556" t="b">
        <v>1</v>
      </c>
      <c r="L1556">
        <f t="shared" si="24"/>
        <v>12</v>
      </c>
      <c r="M1556">
        <f t="shared" si="24"/>
        <v>21</v>
      </c>
      <c r="N1556" t="b">
        <v>0</v>
      </c>
      <c r="O1556">
        <v>0</v>
      </c>
      <c r="Q1556">
        <v>0</v>
      </c>
      <c r="R1556" t="b">
        <v>0</v>
      </c>
    </row>
    <row r="1557" spans="1:18">
      <c r="A1557" t="s">
        <v>24</v>
      </c>
      <c r="B1557" t="s">
        <v>4096</v>
      </c>
      <c r="C1557" t="s">
        <v>4097</v>
      </c>
      <c r="E1557">
        <v>6</v>
      </c>
      <c r="F1557">
        <v>11</v>
      </c>
      <c r="G1557">
        <v>6</v>
      </c>
      <c r="H1557">
        <v>34</v>
      </c>
      <c r="J1557" t="s">
        <v>22</v>
      </c>
      <c r="K1557" t="b">
        <v>1</v>
      </c>
      <c r="L1557">
        <f t="shared" si="24"/>
        <v>12</v>
      </c>
      <c r="M1557">
        <f t="shared" si="24"/>
        <v>45</v>
      </c>
      <c r="N1557" t="b">
        <v>0</v>
      </c>
      <c r="O1557">
        <v>1</v>
      </c>
      <c r="P1557" t="s">
        <v>4098</v>
      </c>
      <c r="Q1557">
        <v>2</v>
      </c>
      <c r="R1557" t="b">
        <v>1</v>
      </c>
    </row>
    <row r="1558" spans="1:18" hidden="1">
      <c r="A1558" t="s">
        <v>1304</v>
      </c>
      <c r="B1558" t="s">
        <v>4099</v>
      </c>
      <c r="C1558" t="s">
        <v>4100</v>
      </c>
      <c r="E1558">
        <v>11</v>
      </c>
      <c r="F1558">
        <v>1022</v>
      </c>
      <c r="G1558">
        <v>1</v>
      </c>
      <c r="H1558">
        <v>2</v>
      </c>
      <c r="J1558" t="s">
        <v>93</v>
      </c>
      <c r="K1558" t="b">
        <v>0</v>
      </c>
      <c r="L1558">
        <f t="shared" si="24"/>
        <v>12</v>
      </c>
      <c r="M1558">
        <f t="shared" si="24"/>
        <v>1024</v>
      </c>
      <c r="N1558" t="b">
        <v>0</v>
      </c>
      <c r="O1558">
        <v>0</v>
      </c>
      <c r="Q1558">
        <v>0</v>
      </c>
      <c r="R1558" t="b">
        <v>0</v>
      </c>
    </row>
    <row r="1559" spans="1:18" hidden="1">
      <c r="A1559" t="s">
        <v>1304</v>
      </c>
      <c r="B1559" t="s">
        <v>4101</v>
      </c>
      <c r="C1559" t="s">
        <v>4102</v>
      </c>
      <c r="E1559">
        <v>11</v>
      </c>
      <c r="F1559">
        <v>1021</v>
      </c>
      <c r="G1559">
        <v>1</v>
      </c>
      <c r="H1559">
        <v>2</v>
      </c>
      <c r="J1559" t="s">
        <v>93</v>
      </c>
      <c r="K1559" t="b">
        <v>0</v>
      </c>
      <c r="L1559">
        <f t="shared" si="24"/>
        <v>12</v>
      </c>
      <c r="M1559">
        <f t="shared" si="24"/>
        <v>1023</v>
      </c>
      <c r="N1559" t="b">
        <v>0</v>
      </c>
      <c r="O1559">
        <v>0</v>
      </c>
      <c r="Q1559">
        <v>0</v>
      </c>
      <c r="R1559" t="b">
        <v>0</v>
      </c>
    </row>
    <row r="1560" spans="1:18" hidden="1">
      <c r="A1560" t="s">
        <v>24</v>
      </c>
      <c r="B1560" t="s">
        <v>4103</v>
      </c>
      <c r="C1560" t="s">
        <v>4104</v>
      </c>
      <c r="E1560">
        <v>8</v>
      </c>
      <c r="F1560">
        <v>23</v>
      </c>
      <c r="G1560">
        <v>4</v>
      </c>
      <c r="H1560">
        <v>7</v>
      </c>
      <c r="J1560" t="s">
        <v>93</v>
      </c>
      <c r="K1560" t="b">
        <v>1</v>
      </c>
      <c r="L1560">
        <f t="shared" si="24"/>
        <v>12</v>
      </c>
      <c r="M1560">
        <f t="shared" si="24"/>
        <v>30</v>
      </c>
      <c r="N1560" t="b">
        <v>0</v>
      </c>
      <c r="O1560">
        <v>0</v>
      </c>
      <c r="Q1560">
        <v>0</v>
      </c>
      <c r="R1560" t="b">
        <v>0</v>
      </c>
    </row>
    <row r="1561" spans="1:18" hidden="1">
      <c r="A1561" t="s">
        <v>24</v>
      </c>
      <c r="B1561" t="s">
        <v>4105</v>
      </c>
      <c r="C1561" t="s">
        <v>4106</v>
      </c>
      <c r="E1561">
        <v>8</v>
      </c>
      <c r="F1561">
        <v>23</v>
      </c>
      <c r="G1561">
        <v>4</v>
      </c>
      <c r="H1561">
        <v>8</v>
      </c>
      <c r="J1561" t="s">
        <v>93</v>
      </c>
      <c r="K1561" t="b">
        <v>1</v>
      </c>
      <c r="L1561">
        <f t="shared" si="24"/>
        <v>12</v>
      </c>
      <c r="M1561">
        <f t="shared" si="24"/>
        <v>31</v>
      </c>
      <c r="N1561" t="b">
        <v>0</v>
      </c>
      <c r="O1561">
        <v>0</v>
      </c>
      <c r="Q1561">
        <v>0</v>
      </c>
      <c r="R1561" t="b">
        <v>0</v>
      </c>
    </row>
    <row r="1562" spans="1:18" hidden="1">
      <c r="A1562" t="s">
        <v>24</v>
      </c>
      <c r="B1562" t="s">
        <v>4107</v>
      </c>
      <c r="C1562" t="s">
        <v>4108</v>
      </c>
      <c r="E1562">
        <v>8</v>
      </c>
      <c r="F1562">
        <v>15</v>
      </c>
      <c r="G1562">
        <v>4</v>
      </c>
      <c r="H1562">
        <v>9</v>
      </c>
      <c r="J1562" t="s">
        <v>999</v>
      </c>
      <c r="K1562" t="b">
        <v>1</v>
      </c>
      <c r="L1562">
        <f t="shared" si="24"/>
        <v>12</v>
      </c>
      <c r="M1562">
        <f t="shared" si="24"/>
        <v>24</v>
      </c>
      <c r="N1562" t="b">
        <v>0</v>
      </c>
      <c r="O1562">
        <v>0.5</v>
      </c>
      <c r="P1562" t="s">
        <v>77</v>
      </c>
      <c r="Q1562">
        <v>30</v>
      </c>
      <c r="R1562" t="b">
        <v>1</v>
      </c>
    </row>
    <row r="1563" spans="1:18" hidden="1">
      <c r="A1563" t="s">
        <v>205</v>
      </c>
      <c r="B1563" t="s">
        <v>4109</v>
      </c>
      <c r="C1563" t="s">
        <v>4110</v>
      </c>
      <c r="E1563">
        <v>6</v>
      </c>
      <c r="F1563">
        <v>25</v>
      </c>
      <c r="G1563">
        <v>6</v>
      </c>
      <c r="H1563">
        <v>20</v>
      </c>
      <c r="J1563" t="s">
        <v>93</v>
      </c>
      <c r="K1563" t="b">
        <v>1</v>
      </c>
      <c r="L1563">
        <f t="shared" si="24"/>
        <v>12</v>
      </c>
      <c r="M1563">
        <f t="shared" si="24"/>
        <v>45</v>
      </c>
      <c r="N1563" t="b">
        <v>0</v>
      </c>
      <c r="O1563">
        <v>0</v>
      </c>
      <c r="Q1563">
        <v>0</v>
      </c>
      <c r="R1563" t="b">
        <v>0</v>
      </c>
    </row>
    <row r="1564" spans="1:18">
      <c r="A1564" t="s">
        <v>205</v>
      </c>
      <c r="B1564" t="s">
        <v>4111</v>
      </c>
      <c r="C1564" t="s">
        <v>4112</v>
      </c>
      <c r="E1564">
        <v>6</v>
      </c>
      <c r="F1564">
        <v>4</v>
      </c>
      <c r="G1564">
        <v>6</v>
      </c>
      <c r="H1564">
        <v>28</v>
      </c>
      <c r="J1564" t="s">
        <v>22</v>
      </c>
      <c r="K1564" t="b">
        <v>1</v>
      </c>
      <c r="L1564">
        <f t="shared" si="24"/>
        <v>12</v>
      </c>
      <c r="M1564">
        <f t="shared" si="24"/>
        <v>32</v>
      </c>
      <c r="N1564" t="b">
        <v>0</v>
      </c>
      <c r="O1564">
        <v>1</v>
      </c>
      <c r="P1564" t="s">
        <v>4113</v>
      </c>
      <c r="Q1564">
        <v>1</v>
      </c>
      <c r="R1564" t="b">
        <v>1</v>
      </c>
    </row>
    <row r="1565" spans="1:18">
      <c r="A1565" t="s">
        <v>2472</v>
      </c>
      <c r="B1565" t="s">
        <v>4114</v>
      </c>
      <c r="C1565" t="s">
        <v>4115</v>
      </c>
      <c r="E1565">
        <v>8</v>
      </c>
      <c r="F1565">
        <v>13</v>
      </c>
      <c r="G1565">
        <v>4</v>
      </c>
      <c r="H1565">
        <v>7</v>
      </c>
      <c r="J1565" t="s">
        <v>22</v>
      </c>
      <c r="K1565" t="b">
        <v>1</v>
      </c>
      <c r="L1565">
        <f t="shared" si="24"/>
        <v>12</v>
      </c>
      <c r="M1565">
        <f t="shared" si="24"/>
        <v>20</v>
      </c>
      <c r="N1565" t="b">
        <v>0</v>
      </c>
      <c r="O1565">
        <v>1</v>
      </c>
      <c r="P1565" t="s">
        <v>4116</v>
      </c>
      <c r="Q1565">
        <v>2</v>
      </c>
      <c r="R1565" t="b">
        <v>1</v>
      </c>
    </row>
    <row r="1566" spans="1:18">
      <c r="A1566" t="s">
        <v>59</v>
      </c>
      <c r="B1566" t="s">
        <v>4117</v>
      </c>
      <c r="C1566" t="s">
        <v>4118</v>
      </c>
      <c r="E1566">
        <v>5</v>
      </c>
      <c r="F1566">
        <v>16</v>
      </c>
      <c r="G1566">
        <v>7</v>
      </c>
      <c r="H1566">
        <v>19</v>
      </c>
      <c r="J1566" t="s">
        <v>22</v>
      </c>
      <c r="K1566" t="b">
        <v>1</v>
      </c>
      <c r="L1566">
        <f t="shared" si="24"/>
        <v>12</v>
      </c>
      <c r="M1566">
        <f t="shared" si="24"/>
        <v>35</v>
      </c>
      <c r="N1566" t="b">
        <v>0</v>
      </c>
      <c r="O1566">
        <v>1</v>
      </c>
      <c r="P1566" t="s">
        <v>4119</v>
      </c>
      <c r="Q1566">
        <v>2</v>
      </c>
      <c r="R1566" t="b">
        <v>1</v>
      </c>
    </row>
    <row r="1567" spans="1:18" hidden="1">
      <c r="A1567" t="s">
        <v>809</v>
      </c>
      <c r="B1567" t="s">
        <v>4120</v>
      </c>
      <c r="C1567" t="s">
        <v>4121</v>
      </c>
      <c r="E1567">
        <v>6</v>
      </c>
      <c r="F1567">
        <v>40</v>
      </c>
      <c r="G1567">
        <v>6</v>
      </c>
      <c r="H1567">
        <v>18</v>
      </c>
      <c r="J1567" t="s">
        <v>93</v>
      </c>
      <c r="K1567" t="b">
        <v>0</v>
      </c>
      <c r="L1567">
        <f t="shared" si="24"/>
        <v>12</v>
      </c>
      <c r="M1567">
        <f t="shared" si="24"/>
        <v>58</v>
      </c>
      <c r="N1567" t="b">
        <v>0</v>
      </c>
      <c r="O1567">
        <v>0</v>
      </c>
      <c r="Q1567">
        <v>0</v>
      </c>
      <c r="R1567" t="b">
        <v>0</v>
      </c>
    </row>
    <row r="1568" spans="1:18" hidden="1">
      <c r="A1568" t="s">
        <v>809</v>
      </c>
      <c r="B1568" t="s">
        <v>4122</v>
      </c>
      <c r="C1568" t="s">
        <v>4123</v>
      </c>
      <c r="E1568">
        <v>6</v>
      </c>
      <c r="F1568">
        <v>40</v>
      </c>
      <c r="G1568">
        <v>6</v>
      </c>
      <c r="H1568">
        <v>18</v>
      </c>
      <c r="J1568" t="s">
        <v>93</v>
      </c>
      <c r="K1568" t="b">
        <v>0</v>
      </c>
      <c r="L1568">
        <f t="shared" si="24"/>
        <v>12</v>
      </c>
      <c r="M1568">
        <f t="shared" si="24"/>
        <v>58</v>
      </c>
      <c r="N1568" t="b">
        <v>0</v>
      </c>
      <c r="O1568">
        <v>0</v>
      </c>
      <c r="Q1568">
        <v>0</v>
      </c>
      <c r="R1568" t="b">
        <v>0</v>
      </c>
    </row>
    <row r="1569" spans="1:18">
      <c r="A1569" t="s">
        <v>1739</v>
      </c>
      <c r="B1569" t="s">
        <v>4124</v>
      </c>
      <c r="C1569" t="s">
        <v>4125</v>
      </c>
      <c r="E1569">
        <v>7</v>
      </c>
      <c r="F1569">
        <v>79</v>
      </c>
      <c r="G1569">
        <v>5</v>
      </c>
      <c r="H1569">
        <v>150</v>
      </c>
      <c r="J1569" t="s">
        <v>22</v>
      </c>
      <c r="K1569" t="b">
        <v>1</v>
      </c>
      <c r="L1569">
        <f t="shared" si="24"/>
        <v>12</v>
      </c>
      <c r="M1569">
        <f t="shared" si="24"/>
        <v>229</v>
      </c>
      <c r="N1569" t="b">
        <v>0</v>
      </c>
      <c r="O1569">
        <v>1</v>
      </c>
      <c r="P1569" t="s">
        <v>4126</v>
      </c>
      <c r="Q1569">
        <v>2</v>
      </c>
      <c r="R1569" t="b">
        <v>1</v>
      </c>
    </row>
    <row r="1570" spans="1:18" hidden="1">
      <c r="A1570" t="s">
        <v>3874</v>
      </c>
      <c r="B1570" t="s">
        <v>4127</v>
      </c>
      <c r="C1570" t="s">
        <v>4128</v>
      </c>
      <c r="E1570">
        <v>8</v>
      </c>
      <c r="F1570">
        <v>23</v>
      </c>
      <c r="G1570">
        <v>4</v>
      </c>
      <c r="H1570">
        <v>14</v>
      </c>
      <c r="J1570" t="s">
        <v>93</v>
      </c>
      <c r="K1570" t="b">
        <v>0</v>
      </c>
      <c r="L1570">
        <f t="shared" si="24"/>
        <v>12</v>
      </c>
      <c r="M1570">
        <f t="shared" si="24"/>
        <v>37</v>
      </c>
      <c r="N1570" t="b">
        <v>0</v>
      </c>
      <c r="O1570">
        <v>0</v>
      </c>
      <c r="Q1570">
        <v>0</v>
      </c>
      <c r="R1570" t="b">
        <v>0</v>
      </c>
    </row>
    <row r="1571" spans="1:18">
      <c r="A1571" t="s">
        <v>1143</v>
      </c>
      <c r="B1571" t="s">
        <v>4129</v>
      </c>
      <c r="C1571" t="s">
        <v>4130</v>
      </c>
      <c r="E1571">
        <v>0</v>
      </c>
      <c r="F1571">
        <v>0</v>
      </c>
      <c r="G1571">
        <v>12</v>
      </c>
      <c r="H1571">
        <v>47</v>
      </c>
      <c r="J1571" t="s">
        <v>22</v>
      </c>
      <c r="K1571" t="b">
        <v>1</v>
      </c>
      <c r="L1571">
        <f t="shared" si="24"/>
        <v>12</v>
      </c>
      <c r="M1571">
        <f t="shared" si="24"/>
        <v>47</v>
      </c>
      <c r="N1571" t="b">
        <v>0</v>
      </c>
      <c r="O1571">
        <v>1</v>
      </c>
      <c r="P1571" t="s">
        <v>4131</v>
      </c>
      <c r="Q1571">
        <v>2</v>
      </c>
      <c r="R1571" t="b">
        <v>1</v>
      </c>
    </row>
    <row r="1572" spans="1:18">
      <c r="A1572" t="s">
        <v>1384</v>
      </c>
      <c r="B1572" t="s">
        <v>4132</v>
      </c>
      <c r="C1572" t="s">
        <v>4133</v>
      </c>
      <c r="E1572">
        <v>6</v>
      </c>
      <c r="F1572">
        <v>9</v>
      </c>
      <c r="G1572">
        <v>6</v>
      </c>
      <c r="H1572">
        <v>10</v>
      </c>
      <c r="J1572" t="s">
        <v>22</v>
      </c>
      <c r="K1572" t="b">
        <v>1</v>
      </c>
      <c r="L1572">
        <f t="shared" si="24"/>
        <v>12</v>
      </c>
      <c r="M1572">
        <f t="shared" si="24"/>
        <v>19</v>
      </c>
      <c r="N1572" t="b">
        <v>0</v>
      </c>
      <c r="O1572">
        <v>1</v>
      </c>
      <c r="P1572" t="s">
        <v>4134</v>
      </c>
      <c r="Q1572">
        <v>2</v>
      </c>
      <c r="R1572" t="b">
        <v>1</v>
      </c>
    </row>
    <row r="1573" spans="1:18">
      <c r="A1573" t="s">
        <v>192</v>
      </c>
      <c r="B1573" t="s">
        <v>4135</v>
      </c>
      <c r="C1573" t="s">
        <v>4136</v>
      </c>
      <c r="E1573">
        <v>9</v>
      </c>
      <c r="F1573">
        <v>0</v>
      </c>
      <c r="G1573">
        <v>3</v>
      </c>
      <c r="H1573">
        <v>3</v>
      </c>
      <c r="J1573" t="s">
        <v>22</v>
      </c>
      <c r="K1573" t="b">
        <v>1</v>
      </c>
      <c r="L1573">
        <f t="shared" si="24"/>
        <v>12</v>
      </c>
      <c r="M1573">
        <f t="shared" si="24"/>
        <v>3</v>
      </c>
      <c r="N1573" t="b">
        <v>0</v>
      </c>
      <c r="O1573">
        <v>1</v>
      </c>
      <c r="P1573" t="s">
        <v>4137</v>
      </c>
      <c r="Q1573">
        <v>2</v>
      </c>
      <c r="R1573" t="b">
        <v>1</v>
      </c>
    </row>
    <row r="1574" spans="1:18">
      <c r="A1574" t="s">
        <v>192</v>
      </c>
      <c r="B1574" t="s">
        <v>4138</v>
      </c>
      <c r="C1574" t="s">
        <v>4139</v>
      </c>
      <c r="E1574">
        <v>10</v>
      </c>
      <c r="F1574">
        <v>84</v>
      </c>
      <c r="G1574">
        <v>2</v>
      </c>
      <c r="H1574">
        <v>3</v>
      </c>
      <c r="J1574" t="s">
        <v>22</v>
      </c>
      <c r="K1574" t="b">
        <v>1</v>
      </c>
      <c r="L1574">
        <f t="shared" si="24"/>
        <v>12</v>
      </c>
      <c r="M1574">
        <f t="shared" si="24"/>
        <v>87</v>
      </c>
      <c r="N1574" t="b">
        <v>0</v>
      </c>
      <c r="O1574">
        <v>1</v>
      </c>
      <c r="P1574" t="s">
        <v>4140</v>
      </c>
      <c r="Q1574">
        <v>2</v>
      </c>
      <c r="R1574" t="b">
        <v>1</v>
      </c>
    </row>
    <row r="1575" spans="1:18" hidden="1">
      <c r="A1575" t="s">
        <v>2901</v>
      </c>
      <c r="B1575" t="s">
        <v>4141</v>
      </c>
      <c r="C1575" t="s">
        <v>4142</v>
      </c>
      <c r="E1575">
        <v>6</v>
      </c>
      <c r="F1575">
        <v>0</v>
      </c>
      <c r="G1575">
        <v>6</v>
      </c>
      <c r="H1575">
        <v>7</v>
      </c>
      <c r="J1575" t="s">
        <v>93</v>
      </c>
      <c r="K1575" t="b">
        <v>0</v>
      </c>
      <c r="L1575">
        <f t="shared" si="24"/>
        <v>12</v>
      </c>
      <c r="M1575">
        <f t="shared" si="24"/>
        <v>7</v>
      </c>
      <c r="N1575" t="b">
        <v>1</v>
      </c>
      <c r="O1575">
        <v>0</v>
      </c>
      <c r="Q1575">
        <v>0</v>
      </c>
      <c r="R1575" t="b">
        <v>0</v>
      </c>
    </row>
    <row r="1576" spans="1:18">
      <c r="A1576" t="s">
        <v>573</v>
      </c>
      <c r="B1576" t="s">
        <v>4143</v>
      </c>
      <c r="C1576" t="s">
        <v>4144</v>
      </c>
      <c r="E1576">
        <v>8</v>
      </c>
      <c r="F1576">
        <v>210</v>
      </c>
      <c r="G1576">
        <v>3</v>
      </c>
      <c r="H1576">
        <v>3</v>
      </c>
      <c r="J1576" t="s">
        <v>22</v>
      </c>
      <c r="K1576" t="b">
        <v>1</v>
      </c>
      <c r="L1576">
        <f t="shared" si="24"/>
        <v>11</v>
      </c>
      <c r="M1576">
        <f t="shared" si="24"/>
        <v>213</v>
      </c>
      <c r="N1576" t="b">
        <v>0</v>
      </c>
      <c r="O1576">
        <v>1</v>
      </c>
      <c r="P1576" t="s">
        <v>4145</v>
      </c>
      <c r="Q1576">
        <v>2</v>
      </c>
      <c r="R1576" t="b">
        <v>1</v>
      </c>
    </row>
    <row r="1577" spans="1:18">
      <c r="A1577" t="s">
        <v>1191</v>
      </c>
      <c r="B1577" t="s">
        <v>4146</v>
      </c>
      <c r="C1577" t="s">
        <v>4147</v>
      </c>
      <c r="E1577">
        <v>7</v>
      </c>
      <c r="F1577">
        <v>17</v>
      </c>
      <c r="G1577">
        <v>4</v>
      </c>
      <c r="H1577">
        <v>6</v>
      </c>
      <c r="J1577" t="s">
        <v>22</v>
      </c>
      <c r="K1577" t="b">
        <v>1</v>
      </c>
      <c r="L1577">
        <f t="shared" si="24"/>
        <v>11</v>
      </c>
      <c r="M1577">
        <f t="shared" si="24"/>
        <v>23</v>
      </c>
      <c r="N1577" t="b">
        <v>0</v>
      </c>
      <c r="O1577">
        <v>1</v>
      </c>
      <c r="P1577" t="s">
        <v>4148</v>
      </c>
      <c r="Q1577">
        <v>2</v>
      </c>
      <c r="R1577" t="b">
        <v>1</v>
      </c>
    </row>
    <row r="1578" spans="1:18">
      <c r="A1578" t="s">
        <v>3729</v>
      </c>
      <c r="B1578" t="s">
        <v>4149</v>
      </c>
      <c r="C1578" t="s">
        <v>4150</v>
      </c>
      <c r="E1578">
        <v>8</v>
      </c>
      <c r="F1578">
        <v>35</v>
      </c>
      <c r="G1578">
        <v>3</v>
      </c>
      <c r="H1578">
        <v>8</v>
      </c>
      <c r="J1578" t="s">
        <v>22</v>
      </c>
      <c r="K1578" t="b">
        <v>1</v>
      </c>
      <c r="L1578">
        <f t="shared" si="24"/>
        <v>11</v>
      </c>
      <c r="M1578">
        <f t="shared" si="24"/>
        <v>43</v>
      </c>
      <c r="N1578" t="b">
        <v>0</v>
      </c>
      <c r="O1578">
        <v>1</v>
      </c>
      <c r="P1578" t="s">
        <v>4151</v>
      </c>
      <c r="Q1578">
        <v>2</v>
      </c>
      <c r="R1578" t="b">
        <v>1</v>
      </c>
    </row>
    <row r="1579" spans="1:18" hidden="1">
      <c r="A1579" t="s">
        <v>3929</v>
      </c>
      <c r="B1579" t="s">
        <v>4152</v>
      </c>
      <c r="C1579" t="s">
        <v>4153</v>
      </c>
      <c r="E1579">
        <v>10</v>
      </c>
      <c r="F1579">
        <v>5</v>
      </c>
      <c r="G1579">
        <v>1</v>
      </c>
      <c r="H1579">
        <v>2</v>
      </c>
      <c r="J1579" t="s">
        <v>93</v>
      </c>
      <c r="K1579" t="b">
        <v>0</v>
      </c>
      <c r="L1579">
        <f t="shared" si="24"/>
        <v>11</v>
      </c>
      <c r="M1579">
        <f t="shared" si="24"/>
        <v>7</v>
      </c>
      <c r="N1579" t="b">
        <v>1</v>
      </c>
      <c r="O1579">
        <v>0</v>
      </c>
      <c r="Q1579">
        <v>0</v>
      </c>
      <c r="R1579" t="b">
        <v>0</v>
      </c>
    </row>
    <row r="1580" spans="1:18">
      <c r="A1580" t="s">
        <v>1418</v>
      </c>
      <c r="B1580" t="s">
        <v>4154</v>
      </c>
      <c r="C1580" t="s">
        <v>4155</v>
      </c>
      <c r="E1580">
        <v>9</v>
      </c>
      <c r="F1580">
        <v>16</v>
      </c>
      <c r="G1580">
        <v>2</v>
      </c>
      <c r="H1580">
        <v>3</v>
      </c>
      <c r="J1580" t="s">
        <v>22</v>
      </c>
      <c r="K1580" t="b">
        <v>1</v>
      </c>
      <c r="L1580">
        <f t="shared" si="24"/>
        <v>11</v>
      </c>
      <c r="M1580">
        <f t="shared" si="24"/>
        <v>19</v>
      </c>
      <c r="N1580" t="b">
        <v>0</v>
      </c>
      <c r="O1580">
        <v>1</v>
      </c>
      <c r="P1580" t="s">
        <v>4156</v>
      </c>
      <c r="Q1580">
        <v>2</v>
      </c>
      <c r="R1580" t="b">
        <v>1</v>
      </c>
    </row>
    <row r="1581" spans="1:18" hidden="1">
      <c r="A1581" t="s">
        <v>3801</v>
      </c>
      <c r="B1581" t="s">
        <v>4157</v>
      </c>
      <c r="C1581" t="s">
        <v>4158</v>
      </c>
      <c r="E1581">
        <v>8</v>
      </c>
      <c r="F1581">
        <v>44</v>
      </c>
      <c r="G1581">
        <v>3</v>
      </c>
      <c r="H1581">
        <v>44</v>
      </c>
      <c r="J1581" t="s">
        <v>93</v>
      </c>
      <c r="K1581" t="b">
        <v>1</v>
      </c>
      <c r="L1581">
        <f t="shared" si="24"/>
        <v>11</v>
      </c>
      <c r="M1581">
        <f t="shared" si="24"/>
        <v>88</v>
      </c>
      <c r="N1581" t="b">
        <v>0</v>
      </c>
      <c r="O1581">
        <v>0</v>
      </c>
      <c r="Q1581">
        <v>0</v>
      </c>
      <c r="R1581" t="b">
        <v>0</v>
      </c>
    </row>
    <row r="1582" spans="1:18" hidden="1">
      <c r="A1582" t="s">
        <v>3801</v>
      </c>
      <c r="B1582" t="s">
        <v>4159</v>
      </c>
      <c r="C1582" t="s">
        <v>4160</v>
      </c>
      <c r="E1582">
        <v>8</v>
      </c>
      <c r="F1582">
        <v>44</v>
      </c>
      <c r="G1582">
        <v>3</v>
      </c>
      <c r="H1582">
        <v>44</v>
      </c>
      <c r="J1582" t="s">
        <v>93</v>
      </c>
      <c r="K1582" t="b">
        <v>1</v>
      </c>
      <c r="L1582">
        <f t="shared" si="24"/>
        <v>11</v>
      </c>
      <c r="M1582">
        <f t="shared" si="24"/>
        <v>88</v>
      </c>
      <c r="N1582" t="b">
        <v>0</v>
      </c>
      <c r="O1582">
        <v>0</v>
      </c>
      <c r="Q1582">
        <v>0</v>
      </c>
      <c r="R1582" t="b">
        <v>0</v>
      </c>
    </row>
    <row r="1583" spans="1:18" hidden="1">
      <c r="A1583" t="s">
        <v>3801</v>
      </c>
      <c r="B1583" t="s">
        <v>4161</v>
      </c>
      <c r="C1583" t="s">
        <v>4162</v>
      </c>
      <c r="E1583">
        <v>8</v>
      </c>
      <c r="F1583">
        <v>44</v>
      </c>
      <c r="G1583">
        <v>3</v>
      </c>
      <c r="H1583">
        <v>42</v>
      </c>
      <c r="J1583" t="s">
        <v>93</v>
      </c>
      <c r="K1583" t="b">
        <v>1</v>
      </c>
      <c r="L1583">
        <f t="shared" si="24"/>
        <v>11</v>
      </c>
      <c r="M1583">
        <f t="shared" si="24"/>
        <v>86</v>
      </c>
      <c r="N1583" t="b">
        <v>0</v>
      </c>
      <c r="O1583">
        <v>0</v>
      </c>
      <c r="Q1583">
        <v>0</v>
      </c>
      <c r="R1583" t="b">
        <v>0</v>
      </c>
    </row>
    <row r="1584" spans="1:18">
      <c r="A1584" t="s">
        <v>24</v>
      </c>
      <c r="B1584" t="s">
        <v>4163</v>
      </c>
      <c r="C1584" t="s">
        <v>4164</v>
      </c>
      <c r="E1584">
        <v>9</v>
      </c>
      <c r="F1584">
        <v>20</v>
      </c>
      <c r="G1584">
        <v>2</v>
      </c>
      <c r="H1584">
        <v>15</v>
      </c>
      <c r="J1584" t="s">
        <v>22</v>
      </c>
      <c r="K1584" t="b">
        <v>1</v>
      </c>
      <c r="L1584">
        <f t="shared" si="24"/>
        <v>11</v>
      </c>
      <c r="M1584">
        <f t="shared" si="24"/>
        <v>35</v>
      </c>
      <c r="N1584" t="b">
        <v>0</v>
      </c>
      <c r="O1584">
        <v>1</v>
      </c>
      <c r="P1584" t="s">
        <v>4119</v>
      </c>
      <c r="Q1584">
        <v>2</v>
      </c>
      <c r="R1584" t="b">
        <v>1</v>
      </c>
    </row>
    <row r="1585" spans="1:18">
      <c r="A1585" t="s">
        <v>24</v>
      </c>
      <c r="B1585" t="s">
        <v>4165</v>
      </c>
      <c r="C1585" t="s">
        <v>4166</v>
      </c>
      <c r="E1585">
        <v>9</v>
      </c>
      <c r="F1585">
        <v>112</v>
      </c>
      <c r="G1585">
        <v>2</v>
      </c>
      <c r="H1585">
        <v>2</v>
      </c>
      <c r="J1585" t="s">
        <v>22</v>
      </c>
      <c r="K1585" t="b">
        <v>1</v>
      </c>
      <c r="L1585">
        <f t="shared" si="24"/>
        <v>11</v>
      </c>
      <c r="M1585">
        <f t="shared" si="24"/>
        <v>114</v>
      </c>
      <c r="N1585" t="b">
        <v>0</v>
      </c>
      <c r="O1585">
        <v>1</v>
      </c>
      <c r="P1585" t="s">
        <v>4167</v>
      </c>
      <c r="Q1585">
        <v>2</v>
      </c>
      <c r="R1585" t="b">
        <v>1</v>
      </c>
    </row>
    <row r="1586" spans="1:18">
      <c r="A1586" t="s">
        <v>24</v>
      </c>
      <c r="B1586" t="s">
        <v>4168</v>
      </c>
      <c r="C1586" t="s">
        <v>4169</v>
      </c>
      <c r="E1586">
        <v>7</v>
      </c>
      <c r="F1586">
        <v>20</v>
      </c>
      <c r="G1586">
        <v>4</v>
      </c>
      <c r="H1586">
        <v>9</v>
      </c>
      <c r="J1586" t="s">
        <v>22</v>
      </c>
      <c r="K1586" t="b">
        <v>1</v>
      </c>
      <c r="L1586">
        <f t="shared" si="24"/>
        <v>11</v>
      </c>
      <c r="M1586">
        <f t="shared" si="24"/>
        <v>29</v>
      </c>
      <c r="N1586" t="b">
        <v>0</v>
      </c>
      <c r="O1586">
        <v>1</v>
      </c>
      <c r="P1586" t="s">
        <v>4170</v>
      </c>
      <c r="Q1586">
        <v>2</v>
      </c>
      <c r="R1586" t="b">
        <v>1</v>
      </c>
    </row>
    <row r="1587" spans="1:18">
      <c r="A1587" t="s">
        <v>24</v>
      </c>
      <c r="B1587" t="s">
        <v>4171</v>
      </c>
      <c r="C1587" t="s">
        <v>4172</v>
      </c>
      <c r="E1587">
        <v>5</v>
      </c>
      <c r="F1587">
        <v>7</v>
      </c>
      <c r="G1587">
        <v>6</v>
      </c>
      <c r="H1587">
        <v>494</v>
      </c>
      <c r="J1587" t="s">
        <v>22</v>
      </c>
      <c r="K1587" t="b">
        <v>1</v>
      </c>
      <c r="L1587">
        <f t="shared" si="24"/>
        <v>11</v>
      </c>
      <c r="M1587">
        <f t="shared" si="24"/>
        <v>501</v>
      </c>
      <c r="N1587" t="b">
        <v>0</v>
      </c>
      <c r="O1587">
        <v>0</v>
      </c>
      <c r="Q1587">
        <v>0</v>
      </c>
      <c r="R1587" t="b">
        <v>0</v>
      </c>
    </row>
    <row r="1588" spans="1:18">
      <c r="A1588" t="s">
        <v>205</v>
      </c>
      <c r="B1588" t="s">
        <v>4173</v>
      </c>
      <c r="C1588" t="s">
        <v>4174</v>
      </c>
      <c r="E1588">
        <v>10</v>
      </c>
      <c r="F1588">
        <v>11</v>
      </c>
      <c r="G1588">
        <v>1</v>
      </c>
      <c r="H1588">
        <v>181</v>
      </c>
      <c r="J1588" t="s">
        <v>22</v>
      </c>
      <c r="K1588" t="b">
        <v>1</v>
      </c>
      <c r="L1588">
        <f t="shared" si="24"/>
        <v>11</v>
      </c>
      <c r="M1588">
        <f t="shared" si="24"/>
        <v>192</v>
      </c>
      <c r="N1588" t="b">
        <v>0</v>
      </c>
      <c r="O1588">
        <v>1</v>
      </c>
      <c r="P1588" t="s">
        <v>2440</v>
      </c>
      <c r="Q1588">
        <v>2</v>
      </c>
      <c r="R1588" t="b">
        <v>1</v>
      </c>
    </row>
    <row r="1589" spans="1:18" hidden="1">
      <c r="A1589" t="s">
        <v>59</v>
      </c>
      <c r="B1589" t="s">
        <v>4175</v>
      </c>
      <c r="C1589" t="s">
        <v>4176</v>
      </c>
      <c r="E1589">
        <v>5</v>
      </c>
      <c r="F1589">
        <v>6</v>
      </c>
      <c r="G1589">
        <v>6</v>
      </c>
      <c r="H1589">
        <v>8</v>
      </c>
      <c r="J1589" t="s">
        <v>93</v>
      </c>
      <c r="K1589" t="b">
        <v>1</v>
      </c>
      <c r="L1589">
        <f t="shared" si="24"/>
        <v>11</v>
      </c>
      <c r="M1589">
        <f t="shared" si="24"/>
        <v>14</v>
      </c>
      <c r="N1589" t="b">
        <v>0</v>
      </c>
      <c r="O1589">
        <v>0</v>
      </c>
      <c r="Q1589">
        <v>0</v>
      </c>
      <c r="R1589" t="b">
        <v>0</v>
      </c>
    </row>
    <row r="1590" spans="1:18" hidden="1">
      <c r="A1590" t="s">
        <v>59</v>
      </c>
      <c r="B1590" t="s">
        <v>4177</v>
      </c>
      <c r="C1590" t="s">
        <v>4178</v>
      </c>
      <c r="E1590">
        <v>4</v>
      </c>
      <c r="F1590">
        <v>4</v>
      </c>
      <c r="G1590">
        <v>7</v>
      </c>
      <c r="H1590">
        <v>31</v>
      </c>
      <c r="J1590" t="s">
        <v>93</v>
      </c>
      <c r="K1590" t="b">
        <v>1</v>
      </c>
      <c r="L1590">
        <f t="shared" si="24"/>
        <v>11</v>
      </c>
      <c r="M1590">
        <f t="shared" si="24"/>
        <v>35</v>
      </c>
      <c r="N1590" t="b">
        <v>0</v>
      </c>
      <c r="O1590">
        <v>0</v>
      </c>
      <c r="Q1590">
        <v>0</v>
      </c>
      <c r="R1590" t="b">
        <v>0</v>
      </c>
    </row>
    <row r="1591" spans="1:18" hidden="1">
      <c r="A1591" t="s">
        <v>361</v>
      </c>
      <c r="B1591" t="s">
        <v>4179</v>
      </c>
      <c r="C1591" t="s">
        <v>4180</v>
      </c>
      <c r="D1591" t="s">
        <v>519</v>
      </c>
      <c r="E1591">
        <v>8</v>
      </c>
      <c r="F1591">
        <v>65</v>
      </c>
      <c r="G1591">
        <v>3</v>
      </c>
      <c r="H1591">
        <v>4</v>
      </c>
      <c r="I1591" t="s">
        <v>520</v>
      </c>
      <c r="J1591" t="s">
        <v>93</v>
      </c>
      <c r="K1591" t="b">
        <v>0</v>
      </c>
      <c r="L1591">
        <f t="shared" si="24"/>
        <v>11</v>
      </c>
      <c r="M1591">
        <f t="shared" si="24"/>
        <v>69</v>
      </c>
      <c r="N1591" t="b">
        <v>0</v>
      </c>
      <c r="O1591">
        <v>0</v>
      </c>
      <c r="Q1591">
        <v>0</v>
      </c>
      <c r="R1591" t="b">
        <v>0</v>
      </c>
    </row>
    <row r="1592" spans="1:18" hidden="1">
      <c r="A1592" t="s">
        <v>940</v>
      </c>
      <c r="B1592" t="s">
        <v>4181</v>
      </c>
      <c r="C1592" t="s">
        <v>4182</v>
      </c>
      <c r="E1592">
        <v>0</v>
      </c>
      <c r="F1592">
        <v>0</v>
      </c>
      <c r="G1592">
        <v>11</v>
      </c>
      <c r="H1592">
        <v>63</v>
      </c>
      <c r="J1592" t="s">
        <v>93</v>
      </c>
      <c r="K1592" t="b">
        <v>0</v>
      </c>
      <c r="L1592">
        <f t="shared" si="24"/>
        <v>11</v>
      </c>
      <c r="M1592">
        <f t="shared" si="24"/>
        <v>63</v>
      </c>
      <c r="N1592" t="b">
        <v>0</v>
      </c>
      <c r="O1592">
        <v>0</v>
      </c>
      <c r="Q1592">
        <v>0</v>
      </c>
      <c r="R1592" t="b">
        <v>0</v>
      </c>
    </row>
    <row r="1593" spans="1:18" hidden="1">
      <c r="A1593" t="s">
        <v>940</v>
      </c>
      <c r="B1593" t="s">
        <v>4183</v>
      </c>
      <c r="C1593" t="s">
        <v>4184</v>
      </c>
      <c r="E1593">
        <v>0</v>
      </c>
      <c r="F1593">
        <v>0</v>
      </c>
      <c r="G1593">
        <v>11</v>
      </c>
      <c r="H1593">
        <v>63</v>
      </c>
      <c r="J1593" t="s">
        <v>93</v>
      </c>
      <c r="K1593" t="b">
        <v>0</v>
      </c>
      <c r="L1593">
        <f t="shared" si="24"/>
        <v>11</v>
      </c>
      <c r="M1593">
        <f t="shared" si="24"/>
        <v>63</v>
      </c>
      <c r="N1593" t="b">
        <v>0</v>
      </c>
      <c r="O1593">
        <v>0</v>
      </c>
      <c r="Q1593">
        <v>0</v>
      </c>
      <c r="R1593" t="b">
        <v>0</v>
      </c>
    </row>
    <row r="1594" spans="1:18" hidden="1">
      <c r="A1594" t="s">
        <v>940</v>
      </c>
      <c r="B1594" t="s">
        <v>4185</v>
      </c>
      <c r="C1594" t="s">
        <v>4186</v>
      </c>
      <c r="E1594">
        <v>0</v>
      </c>
      <c r="F1594">
        <v>0</v>
      </c>
      <c r="G1594">
        <v>11</v>
      </c>
      <c r="H1594">
        <v>63</v>
      </c>
      <c r="J1594" t="s">
        <v>93</v>
      </c>
      <c r="K1594" t="b">
        <v>0</v>
      </c>
      <c r="L1594">
        <f t="shared" si="24"/>
        <v>11</v>
      </c>
      <c r="M1594">
        <f t="shared" si="24"/>
        <v>63</v>
      </c>
      <c r="N1594" t="b">
        <v>0</v>
      </c>
      <c r="O1594">
        <v>0</v>
      </c>
      <c r="Q1594">
        <v>0</v>
      </c>
      <c r="R1594" t="b">
        <v>0</v>
      </c>
    </row>
    <row r="1595" spans="1:18" hidden="1">
      <c r="A1595" t="s">
        <v>248</v>
      </c>
      <c r="B1595" t="s">
        <v>4187</v>
      </c>
      <c r="C1595" t="s">
        <v>4188</v>
      </c>
      <c r="E1595">
        <v>4</v>
      </c>
      <c r="F1595">
        <v>62</v>
      </c>
      <c r="G1595">
        <v>7</v>
      </c>
      <c r="H1595">
        <v>44</v>
      </c>
      <c r="J1595" t="s">
        <v>93</v>
      </c>
      <c r="K1595" t="b">
        <v>1</v>
      </c>
      <c r="L1595">
        <f t="shared" si="24"/>
        <v>11</v>
      </c>
      <c r="M1595">
        <f t="shared" si="24"/>
        <v>106</v>
      </c>
      <c r="N1595" t="b">
        <v>0</v>
      </c>
      <c r="O1595">
        <v>0</v>
      </c>
      <c r="Q1595">
        <v>0</v>
      </c>
      <c r="R1595" t="b">
        <v>0</v>
      </c>
    </row>
    <row r="1596" spans="1:18" hidden="1">
      <c r="A1596" t="s">
        <v>248</v>
      </c>
      <c r="B1596" t="s">
        <v>4189</v>
      </c>
      <c r="C1596" t="s">
        <v>4190</v>
      </c>
      <c r="E1596">
        <v>9</v>
      </c>
      <c r="F1596">
        <v>9</v>
      </c>
      <c r="G1596">
        <v>2</v>
      </c>
      <c r="H1596">
        <v>18</v>
      </c>
      <c r="J1596" t="s">
        <v>93</v>
      </c>
      <c r="K1596" t="b">
        <v>1</v>
      </c>
      <c r="L1596">
        <f t="shared" si="24"/>
        <v>11</v>
      </c>
      <c r="M1596">
        <f t="shared" si="24"/>
        <v>27</v>
      </c>
      <c r="N1596" t="b">
        <v>0</v>
      </c>
      <c r="O1596">
        <v>0</v>
      </c>
      <c r="Q1596">
        <v>0</v>
      </c>
      <c r="R1596" t="b">
        <v>0</v>
      </c>
    </row>
    <row r="1597" spans="1:18" hidden="1">
      <c r="A1597" t="s">
        <v>1304</v>
      </c>
      <c r="B1597" t="s">
        <v>4191</v>
      </c>
      <c r="C1597" t="s">
        <v>4192</v>
      </c>
      <c r="E1597">
        <v>5</v>
      </c>
      <c r="F1597">
        <v>10</v>
      </c>
      <c r="G1597">
        <v>6</v>
      </c>
      <c r="H1597">
        <v>29</v>
      </c>
      <c r="J1597" t="s">
        <v>93</v>
      </c>
      <c r="K1597" t="b">
        <v>0</v>
      </c>
      <c r="L1597">
        <f t="shared" si="24"/>
        <v>11</v>
      </c>
      <c r="M1597">
        <f t="shared" si="24"/>
        <v>39</v>
      </c>
      <c r="N1597" t="b">
        <v>0</v>
      </c>
      <c r="O1597">
        <v>0</v>
      </c>
      <c r="Q1597">
        <v>0</v>
      </c>
      <c r="R1597" t="b">
        <v>0</v>
      </c>
    </row>
    <row r="1598" spans="1:18" hidden="1">
      <c r="A1598" t="s">
        <v>4193</v>
      </c>
      <c r="B1598" t="s">
        <v>4194</v>
      </c>
      <c r="C1598" t="s">
        <v>4195</v>
      </c>
      <c r="E1598">
        <v>11</v>
      </c>
      <c r="F1598">
        <v>38</v>
      </c>
      <c r="G1598">
        <v>0</v>
      </c>
      <c r="H1598">
        <v>0</v>
      </c>
      <c r="J1598" t="s">
        <v>93</v>
      </c>
      <c r="K1598" t="b">
        <v>0</v>
      </c>
      <c r="L1598">
        <f t="shared" si="24"/>
        <v>11</v>
      </c>
      <c r="M1598">
        <f t="shared" si="24"/>
        <v>38</v>
      </c>
      <c r="N1598" t="b">
        <v>0</v>
      </c>
      <c r="O1598">
        <v>0</v>
      </c>
      <c r="Q1598">
        <v>0</v>
      </c>
      <c r="R1598" t="b">
        <v>0</v>
      </c>
    </row>
    <row r="1599" spans="1:18" hidden="1">
      <c r="A1599" t="s">
        <v>4193</v>
      </c>
      <c r="B1599" t="s">
        <v>4196</v>
      </c>
      <c r="C1599" t="s">
        <v>4197</v>
      </c>
      <c r="E1599">
        <v>11</v>
      </c>
      <c r="F1599">
        <v>38</v>
      </c>
      <c r="G1599">
        <v>0</v>
      </c>
      <c r="H1599">
        <v>0</v>
      </c>
      <c r="J1599" t="s">
        <v>93</v>
      </c>
      <c r="K1599" t="b">
        <v>0</v>
      </c>
      <c r="L1599">
        <f t="shared" si="24"/>
        <v>11</v>
      </c>
      <c r="M1599">
        <f t="shared" si="24"/>
        <v>38</v>
      </c>
      <c r="N1599" t="b">
        <v>0</v>
      </c>
      <c r="O1599">
        <v>0</v>
      </c>
      <c r="Q1599">
        <v>0</v>
      </c>
      <c r="R1599" t="b">
        <v>0</v>
      </c>
    </row>
    <row r="1600" spans="1:18" hidden="1">
      <c r="A1600" t="s">
        <v>4193</v>
      </c>
      <c r="B1600" t="s">
        <v>4198</v>
      </c>
      <c r="C1600" t="s">
        <v>4199</v>
      </c>
      <c r="E1600">
        <v>11</v>
      </c>
      <c r="F1600">
        <v>38</v>
      </c>
      <c r="G1600">
        <v>0</v>
      </c>
      <c r="H1600">
        <v>0</v>
      </c>
      <c r="J1600" t="s">
        <v>93</v>
      </c>
      <c r="K1600" t="b">
        <v>0</v>
      </c>
      <c r="L1600">
        <f t="shared" si="24"/>
        <v>11</v>
      </c>
      <c r="M1600">
        <f t="shared" si="24"/>
        <v>38</v>
      </c>
      <c r="N1600" t="b">
        <v>0</v>
      </c>
      <c r="O1600">
        <v>0</v>
      </c>
      <c r="Q1600">
        <v>0</v>
      </c>
      <c r="R1600" t="b">
        <v>0</v>
      </c>
    </row>
    <row r="1601" spans="1:18" hidden="1">
      <c r="A1601" t="s">
        <v>4193</v>
      </c>
      <c r="B1601" t="s">
        <v>4200</v>
      </c>
      <c r="C1601" t="s">
        <v>4201</v>
      </c>
      <c r="E1601">
        <v>11</v>
      </c>
      <c r="F1601">
        <v>38</v>
      </c>
      <c r="G1601">
        <v>0</v>
      </c>
      <c r="H1601">
        <v>0</v>
      </c>
      <c r="J1601" t="s">
        <v>93</v>
      </c>
      <c r="K1601" t="b">
        <v>0</v>
      </c>
      <c r="L1601">
        <f t="shared" si="24"/>
        <v>11</v>
      </c>
      <c r="M1601">
        <f t="shared" si="24"/>
        <v>38</v>
      </c>
      <c r="N1601" t="b">
        <v>0</v>
      </c>
      <c r="O1601">
        <v>0</v>
      </c>
      <c r="Q1601">
        <v>0</v>
      </c>
      <c r="R1601" t="b">
        <v>0</v>
      </c>
    </row>
    <row r="1602" spans="1:18" hidden="1">
      <c r="A1602" t="s">
        <v>3810</v>
      </c>
      <c r="B1602" t="s">
        <v>4202</v>
      </c>
      <c r="C1602" t="s">
        <v>4203</v>
      </c>
      <c r="E1602">
        <v>11</v>
      </c>
      <c r="F1602">
        <v>36</v>
      </c>
      <c r="G1602">
        <v>0</v>
      </c>
      <c r="H1602">
        <v>0</v>
      </c>
      <c r="J1602" t="s">
        <v>93</v>
      </c>
      <c r="K1602" t="b">
        <v>0</v>
      </c>
      <c r="L1602">
        <f t="shared" si="24"/>
        <v>11</v>
      </c>
      <c r="M1602">
        <f t="shared" si="24"/>
        <v>36</v>
      </c>
      <c r="N1602" t="b">
        <v>0</v>
      </c>
      <c r="O1602">
        <v>0</v>
      </c>
      <c r="Q1602">
        <v>0</v>
      </c>
      <c r="R1602" t="b">
        <v>0</v>
      </c>
    </row>
    <row r="1603" spans="1:18" hidden="1">
      <c r="A1603" t="s">
        <v>3810</v>
      </c>
      <c r="B1603" t="s">
        <v>4204</v>
      </c>
      <c r="C1603" t="s">
        <v>4205</v>
      </c>
      <c r="E1603">
        <v>11</v>
      </c>
      <c r="F1603">
        <v>36</v>
      </c>
      <c r="G1603">
        <v>0</v>
      </c>
      <c r="H1603">
        <v>0</v>
      </c>
      <c r="J1603" t="s">
        <v>93</v>
      </c>
      <c r="K1603" t="b">
        <v>0</v>
      </c>
      <c r="L1603">
        <f t="shared" ref="L1603:M1666" si="25">E1603+G1603</f>
        <v>11</v>
      </c>
      <c r="M1603">
        <f t="shared" si="25"/>
        <v>36</v>
      </c>
      <c r="N1603" t="b">
        <v>0</v>
      </c>
      <c r="O1603">
        <v>0</v>
      </c>
      <c r="Q1603">
        <v>0</v>
      </c>
      <c r="R1603" t="b">
        <v>0</v>
      </c>
    </row>
    <row r="1604" spans="1:18" hidden="1">
      <c r="A1604" t="s">
        <v>3810</v>
      </c>
      <c r="B1604" t="s">
        <v>4206</v>
      </c>
      <c r="C1604" t="s">
        <v>4207</v>
      </c>
      <c r="E1604">
        <v>0</v>
      </c>
      <c r="F1604">
        <v>0</v>
      </c>
      <c r="G1604">
        <v>11</v>
      </c>
      <c r="H1604">
        <v>19</v>
      </c>
      <c r="J1604" t="s">
        <v>93</v>
      </c>
      <c r="K1604" t="b">
        <v>0</v>
      </c>
      <c r="L1604">
        <f t="shared" si="25"/>
        <v>11</v>
      </c>
      <c r="M1604">
        <f t="shared" si="25"/>
        <v>19</v>
      </c>
      <c r="N1604" t="b">
        <v>0</v>
      </c>
      <c r="O1604">
        <v>0</v>
      </c>
      <c r="Q1604">
        <v>0</v>
      </c>
      <c r="R1604" t="b">
        <v>0</v>
      </c>
    </row>
    <row r="1605" spans="1:18" hidden="1">
      <c r="A1605" t="s">
        <v>3810</v>
      </c>
      <c r="B1605" t="s">
        <v>4208</v>
      </c>
      <c r="C1605" t="s">
        <v>4209</v>
      </c>
      <c r="E1605">
        <v>0</v>
      </c>
      <c r="F1605">
        <v>0</v>
      </c>
      <c r="G1605">
        <v>11</v>
      </c>
      <c r="H1605">
        <v>19</v>
      </c>
      <c r="J1605" t="s">
        <v>93</v>
      </c>
      <c r="K1605" t="b">
        <v>0</v>
      </c>
      <c r="L1605">
        <f t="shared" si="25"/>
        <v>11</v>
      </c>
      <c r="M1605">
        <f t="shared" si="25"/>
        <v>19</v>
      </c>
      <c r="N1605" t="b">
        <v>0</v>
      </c>
      <c r="O1605">
        <v>0</v>
      </c>
      <c r="Q1605">
        <v>0</v>
      </c>
      <c r="R1605" t="b">
        <v>0</v>
      </c>
    </row>
    <row r="1606" spans="1:18" hidden="1">
      <c r="A1606" t="s">
        <v>3810</v>
      </c>
      <c r="B1606" t="s">
        <v>4210</v>
      </c>
      <c r="C1606" t="s">
        <v>4211</v>
      </c>
      <c r="E1606">
        <v>0</v>
      </c>
      <c r="F1606">
        <v>0</v>
      </c>
      <c r="G1606">
        <v>11</v>
      </c>
      <c r="H1606">
        <v>19</v>
      </c>
      <c r="J1606" t="s">
        <v>93</v>
      </c>
      <c r="K1606" t="b">
        <v>0</v>
      </c>
      <c r="L1606">
        <f t="shared" si="25"/>
        <v>11</v>
      </c>
      <c r="M1606">
        <f t="shared" si="25"/>
        <v>19</v>
      </c>
      <c r="N1606" t="b">
        <v>0</v>
      </c>
      <c r="O1606">
        <v>0</v>
      </c>
      <c r="Q1606">
        <v>0</v>
      </c>
      <c r="R1606" t="b">
        <v>0</v>
      </c>
    </row>
    <row r="1607" spans="1:18" hidden="1">
      <c r="A1607" t="s">
        <v>3810</v>
      </c>
      <c r="B1607" t="s">
        <v>4212</v>
      </c>
      <c r="C1607" t="s">
        <v>4213</v>
      </c>
      <c r="E1607">
        <v>0</v>
      </c>
      <c r="F1607">
        <v>0</v>
      </c>
      <c r="G1607">
        <v>11</v>
      </c>
      <c r="H1607">
        <v>19</v>
      </c>
      <c r="J1607" t="s">
        <v>93</v>
      </c>
      <c r="K1607" t="b">
        <v>0</v>
      </c>
      <c r="L1607">
        <f t="shared" si="25"/>
        <v>11</v>
      </c>
      <c r="M1607">
        <f t="shared" si="25"/>
        <v>19</v>
      </c>
      <c r="N1607" t="b">
        <v>0</v>
      </c>
      <c r="O1607">
        <v>0</v>
      </c>
      <c r="Q1607">
        <v>0</v>
      </c>
      <c r="R1607" t="b">
        <v>0</v>
      </c>
    </row>
    <row r="1608" spans="1:18" hidden="1">
      <c r="A1608" t="s">
        <v>3810</v>
      </c>
      <c r="B1608" t="s">
        <v>4214</v>
      </c>
      <c r="C1608" t="s">
        <v>4215</v>
      </c>
      <c r="E1608">
        <v>0</v>
      </c>
      <c r="F1608">
        <v>0</v>
      </c>
      <c r="G1608">
        <v>11</v>
      </c>
      <c r="H1608">
        <v>19</v>
      </c>
      <c r="J1608" t="s">
        <v>93</v>
      </c>
      <c r="K1608" t="b">
        <v>0</v>
      </c>
      <c r="L1608">
        <f t="shared" si="25"/>
        <v>11</v>
      </c>
      <c r="M1608">
        <f t="shared" si="25"/>
        <v>19</v>
      </c>
      <c r="N1608" t="b">
        <v>0</v>
      </c>
      <c r="O1608">
        <v>0</v>
      </c>
      <c r="Q1608">
        <v>0</v>
      </c>
      <c r="R1608" t="b">
        <v>0</v>
      </c>
    </row>
    <row r="1609" spans="1:18" hidden="1">
      <c r="A1609" t="s">
        <v>1143</v>
      </c>
      <c r="B1609" t="s">
        <v>4216</v>
      </c>
      <c r="C1609" t="s">
        <v>4217</v>
      </c>
      <c r="E1609">
        <v>0</v>
      </c>
      <c r="F1609">
        <v>0</v>
      </c>
      <c r="G1609">
        <v>11</v>
      </c>
      <c r="H1609">
        <v>64</v>
      </c>
      <c r="J1609" t="s">
        <v>93</v>
      </c>
      <c r="K1609" t="b">
        <v>1</v>
      </c>
      <c r="L1609">
        <f t="shared" si="25"/>
        <v>11</v>
      </c>
      <c r="M1609">
        <f t="shared" si="25"/>
        <v>64</v>
      </c>
      <c r="N1609" t="b">
        <v>0</v>
      </c>
      <c r="O1609">
        <v>0</v>
      </c>
      <c r="Q1609">
        <v>0</v>
      </c>
      <c r="R1609" t="b">
        <v>0</v>
      </c>
    </row>
    <row r="1610" spans="1:18">
      <c r="A1610" t="s">
        <v>1143</v>
      </c>
      <c r="B1610" t="s">
        <v>4218</v>
      </c>
      <c r="C1610" t="s">
        <v>4219</v>
      </c>
      <c r="E1610">
        <v>0</v>
      </c>
      <c r="F1610">
        <v>0</v>
      </c>
      <c r="G1610">
        <v>11</v>
      </c>
      <c r="H1610">
        <v>64</v>
      </c>
      <c r="J1610" t="s">
        <v>22</v>
      </c>
      <c r="K1610" t="b">
        <v>1</v>
      </c>
      <c r="L1610">
        <f t="shared" si="25"/>
        <v>11</v>
      </c>
      <c r="M1610">
        <f t="shared" si="25"/>
        <v>64</v>
      </c>
      <c r="N1610" t="b">
        <v>0</v>
      </c>
      <c r="O1610">
        <v>1</v>
      </c>
      <c r="P1610" t="s">
        <v>4220</v>
      </c>
      <c r="Q1610">
        <v>2</v>
      </c>
      <c r="R1610" t="b">
        <v>1</v>
      </c>
    </row>
    <row r="1611" spans="1:18">
      <c r="A1611" t="s">
        <v>1143</v>
      </c>
      <c r="B1611" t="s">
        <v>4221</v>
      </c>
      <c r="C1611" t="s">
        <v>4222</v>
      </c>
      <c r="E1611">
        <v>0</v>
      </c>
      <c r="F1611">
        <v>0</v>
      </c>
      <c r="G1611">
        <v>11</v>
      </c>
      <c r="H1611">
        <v>64</v>
      </c>
      <c r="J1611" t="s">
        <v>22</v>
      </c>
      <c r="K1611" t="b">
        <v>1</v>
      </c>
      <c r="L1611">
        <f t="shared" si="25"/>
        <v>11</v>
      </c>
      <c r="M1611">
        <f t="shared" si="25"/>
        <v>64</v>
      </c>
      <c r="N1611" t="b">
        <v>0</v>
      </c>
      <c r="O1611">
        <v>1</v>
      </c>
      <c r="P1611" t="s">
        <v>4223</v>
      </c>
      <c r="Q1611">
        <v>2</v>
      </c>
      <c r="R1611" t="b">
        <v>1</v>
      </c>
    </row>
    <row r="1612" spans="1:18">
      <c r="A1612" t="s">
        <v>192</v>
      </c>
      <c r="B1612" t="s">
        <v>4224</v>
      </c>
      <c r="C1612" t="s">
        <v>4225</v>
      </c>
      <c r="E1612">
        <v>0</v>
      </c>
      <c r="F1612">
        <v>0</v>
      </c>
      <c r="G1612">
        <v>11</v>
      </c>
      <c r="H1612">
        <v>11</v>
      </c>
      <c r="J1612" t="s">
        <v>22</v>
      </c>
      <c r="K1612" t="b">
        <v>1</v>
      </c>
      <c r="L1612">
        <f t="shared" si="25"/>
        <v>11</v>
      </c>
      <c r="M1612">
        <f t="shared" si="25"/>
        <v>11</v>
      </c>
      <c r="N1612" t="b">
        <v>0</v>
      </c>
      <c r="O1612">
        <v>1</v>
      </c>
      <c r="P1612" t="s">
        <v>4226</v>
      </c>
      <c r="Q1612">
        <v>2</v>
      </c>
      <c r="R1612" t="b">
        <v>1</v>
      </c>
    </row>
    <row r="1613" spans="1:18">
      <c r="A1613" t="s">
        <v>1334</v>
      </c>
      <c r="B1613" t="s">
        <v>4227</v>
      </c>
      <c r="C1613" t="s">
        <v>4228</v>
      </c>
      <c r="E1613">
        <v>5</v>
      </c>
      <c r="F1613">
        <v>8</v>
      </c>
      <c r="G1613">
        <v>6</v>
      </c>
      <c r="H1613">
        <v>15</v>
      </c>
      <c r="J1613" t="s">
        <v>22</v>
      </c>
      <c r="K1613" t="b">
        <v>1</v>
      </c>
      <c r="L1613">
        <f t="shared" si="25"/>
        <v>11</v>
      </c>
      <c r="M1613">
        <f t="shared" si="25"/>
        <v>23</v>
      </c>
      <c r="N1613" t="b">
        <v>0</v>
      </c>
      <c r="O1613">
        <v>1</v>
      </c>
      <c r="P1613" t="s">
        <v>4229</v>
      </c>
      <c r="Q1613">
        <v>1</v>
      </c>
      <c r="R1613" t="b">
        <v>1</v>
      </c>
    </row>
    <row r="1614" spans="1:18">
      <c r="A1614" t="s">
        <v>30</v>
      </c>
      <c r="B1614" t="s">
        <v>4230</v>
      </c>
      <c r="C1614" t="s">
        <v>4231</v>
      </c>
      <c r="E1614">
        <v>8</v>
      </c>
      <c r="F1614">
        <v>33</v>
      </c>
      <c r="G1614">
        <v>3</v>
      </c>
      <c r="H1614">
        <v>76</v>
      </c>
      <c r="J1614" t="s">
        <v>22</v>
      </c>
      <c r="K1614" t="b">
        <v>1</v>
      </c>
      <c r="L1614">
        <f t="shared" si="25"/>
        <v>11</v>
      </c>
      <c r="M1614">
        <f t="shared" si="25"/>
        <v>109</v>
      </c>
      <c r="N1614" t="b">
        <v>0</v>
      </c>
      <c r="O1614">
        <v>1</v>
      </c>
      <c r="P1614" t="s">
        <v>4232</v>
      </c>
      <c r="Q1614">
        <v>6</v>
      </c>
      <c r="R1614" t="b">
        <v>1</v>
      </c>
    </row>
    <row r="1615" spans="1:18">
      <c r="A1615" t="s">
        <v>192</v>
      </c>
      <c r="B1615" t="s">
        <v>4233</v>
      </c>
      <c r="C1615" t="s">
        <v>4234</v>
      </c>
      <c r="E1615">
        <v>9</v>
      </c>
      <c r="F1615">
        <v>0</v>
      </c>
      <c r="G1615">
        <v>2</v>
      </c>
      <c r="H1615">
        <v>2</v>
      </c>
      <c r="J1615" t="s">
        <v>22</v>
      </c>
      <c r="K1615" t="b">
        <v>1</v>
      </c>
      <c r="L1615">
        <f t="shared" si="25"/>
        <v>11</v>
      </c>
      <c r="M1615">
        <f t="shared" si="25"/>
        <v>2</v>
      </c>
      <c r="N1615" t="b">
        <v>0</v>
      </c>
      <c r="O1615">
        <v>1</v>
      </c>
      <c r="P1615" t="s">
        <v>4235</v>
      </c>
      <c r="Q1615">
        <v>2</v>
      </c>
      <c r="R1615" t="b">
        <v>1</v>
      </c>
    </row>
    <row r="1616" spans="1:18" hidden="1">
      <c r="A1616" t="s">
        <v>87</v>
      </c>
      <c r="B1616" t="s">
        <v>4236</v>
      </c>
      <c r="C1616" t="s">
        <v>4237</v>
      </c>
      <c r="E1616">
        <v>6</v>
      </c>
      <c r="F1616">
        <v>14</v>
      </c>
      <c r="G1616">
        <v>5</v>
      </c>
      <c r="H1616">
        <v>5</v>
      </c>
      <c r="J1616" t="s">
        <v>93</v>
      </c>
      <c r="K1616" t="b">
        <v>1</v>
      </c>
      <c r="L1616">
        <f t="shared" si="25"/>
        <v>11</v>
      </c>
      <c r="M1616">
        <f t="shared" si="25"/>
        <v>19</v>
      </c>
      <c r="N1616" t="b">
        <v>0</v>
      </c>
      <c r="O1616">
        <v>0</v>
      </c>
      <c r="Q1616">
        <v>0</v>
      </c>
      <c r="R1616" t="b">
        <v>0</v>
      </c>
    </row>
    <row r="1617" spans="1:18">
      <c r="A1617" t="s">
        <v>1731</v>
      </c>
      <c r="B1617" t="s">
        <v>4238</v>
      </c>
      <c r="C1617" t="s">
        <v>4239</v>
      </c>
      <c r="E1617">
        <v>7</v>
      </c>
      <c r="F1617">
        <v>43</v>
      </c>
      <c r="G1617">
        <v>3</v>
      </c>
      <c r="H1617">
        <v>5</v>
      </c>
      <c r="J1617" t="s">
        <v>22</v>
      </c>
      <c r="K1617" t="b">
        <v>1</v>
      </c>
      <c r="L1617">
        <f t="shared" si="25"/>
        <v>10</v>
      </c>
      <c r="M1617">
        <f t="shared" si="25"/>
        <v>48</v>
      </c>
      <c r="N1617" t="b">
        <v>0</v>
      </c>
      <c r="O1617">
        <v>1</v>
      </c>
      <c r="P1617" t="s">
        <v>4240</v>
      </c>
      <c r="Q1617">
        <v>4</v>
      </c>
      <c r="R1617" t="b">
        <v>1</v>
      </c>
    </row>
    <row r="1618" spans="1:18">
      <c r="A1618" t="s">
        <v>24</v>
      </c>
      <c r="B1618" t="s">
        <v>4241</v>
      </c>
      <c r="C1618" t="s">
        <v>4242</v>
      </c>
      <c r="E1618">
        <v>8</v>
      </c>
      <c r="F1618">
        <v>210</v>
      </c>
      <c r="G1618">
        <v>2</v>
      </c>
      <c r="H1618">
        <v>2</v>
      </c>
      <c r="J1618" t="s">
        <v>22</v>
      </c>
      <c r="K1618" t="b">
        <v>1</v>
      </c>
      <c r="L1618">
        <f t="shared" si="25"/>
        <v>10</v>
      </c>
      <c r="M1618">
        <f t="shared" si="25"/>
        <v>212</v>
      </c>
      <c r="N1618" t="b">
        <v>0</v>
      </c>
      <c r="O1618">
        <v>1</v>
      </c>
      <c r="P1618" t="s">
        <v>4243</v>
      </c>
      <c r="Q1618">
        <v>2</v>
      </c>
      <c r="R1618" t="b">
        <v>1</v>
      </c>
    </row>
    <row r="1619" spans="1:18">
      <c r="A1619" t="s">
        <v>24</v>
      </c>
      <c r="B1619" t="s">
        <v>4244</v>
      </c>
      <c r="C1619" t="s">
        <v>4245</v>
      </c>
      <c r="E1619">
        <v>8</v>
      </c>
      <c r="F1619">
        <v>18</v>
      </c>
      <c r="G1619">
        <v>2</v>
      </c>
      <c r="H1619">
        <v>15</v>
      </c>
      <c r="J1619" t="s">
        <v>22</v>
      </c>
      <c r="K1619" t="b">
        <v>1</v>
      </c>
      <c r="L1619">
        <f t="shared" si="25"/>
        <v>10</v>
      </c>
      <c r="M1619">
        <f t="shared" si="25"/>
        <v>33</v>
      </c>
      <c r="N1619" t="b">
        <v>0</v>
      </c>
      <c r="O1619">
        <v>1</v>
      </c>
      <c r="P1619" t="s">
        <v>4246</v>
      </c>
      <c r="Q1619">
        <v>2</v>
      </c>
      <c r="R1619" t="b">
        <v>1</v>
      </c>
    </row>
    <row r="1620" spans="1:18">
      <c r="A1620" t="s">
        <v>24</v>
      </c>
      <c r="B1620" t="s">
        <v>4247</v>
      </c>
      <c r="C1620" t="s">
        <v>4248</v>
      </c>
      <c r="E1620">
        <v>8</v>
      </c>
      <c r="F1620">
        <v>18</v>
      </c>
      <c r="G1620">
        <v>2</v>
      </c>
      <c r="H1620">
        <v>15</v>
      </c>
      <c r="J1620" t="s">
        <v>22</v>
      </c>
      <c r="K1620" t="b">
        <v>1</v>
      </c>
      <c r="L1620">
        <f t="shared" si="25"/>
        <v>10</v>
      </c>
      <c r="M1620">
        <f t="shared" si="25"/>
        <v>33</v>
      </c>
      <c r="N1620" t="b">
        <v>0</v>
      </c>
      <c r="O1620">
        <v>1</v>
      </c>
      <c r="P1620" t="s">
        <v>4249</v>
      </c>
      <c r="Q1620">
        <v>2</v>
      </c>
      <c r="R1620" t="b">
        <v>1</v>
      </c>
    </row>
    <row r="1621" spans="1:18" hidden="1">
      <c r="A1621" t="s">
        <v>24</v>
      </c>
      <c r="B1621" t="s">
        <v>4250</v>
      </c>
      <c r="C1621" t="s">
        <v>4251</v>
      </c>
      <c r="E1621">
        <v>6</v>
      </c>
      <c r="F1621">
        <v>23</v>
      </c>
      <c r="G1621">
        <v>4</v>
      </c>
      <c r="H1621">
        <v>5</v>
      </c>
      <c r="J1621" t="s">
        <v>93</v>
      </c>
      <c r="K1621" t="b">
        <v>1</v>
      </c>
      <c r="L1621">
        <f t="shared" si="25"/>
        <v>10</v>
      </c>
      <c r="M1621">
        <f t="shared" si="25"/>
        <v>28</v>
      </c>
      <c r="N1621" t="b">
        <v>0</v>
      </c>
      <c r="O1621">
        <v>0</v>
      </c>
      <c r="Q1621">
        <v>0</v>
      </c>
      <c r="R1621" t="b">
        <v>0</v>
      </c>
    </row>
    <row r="1622" spans="1:18" hidden="1">
      <c r="A1622" t="s">
        <v>24</v>
      </c>
      <c r="B1622" t="s">
        <v>4252</v>
      </c>
      <c r="C1622" t="s">
        <v>4253</v>
      </c>
      <c r="E1622">
        <v>3</v>
      </c>
      <c r="F1622">
        <v>4</v>
      </c>
      <c r="G1622">
        <v>7</v>
      </c>
      <c r="H1622">
        <v>15</v>
      </c>
      <c r="J1622" t="s">
        <v>93</v>
      </c>
      <c r="K1622" t="b">
        <v>1</v>
      </c>
      <c r="L1622">
        <f t="shared" si="25"/>
        <v>10</v>
      </c>
      <c r="M1622">
        <f t="shared" si="25"/>
        <v>19</v>
      </c>
      <c r="N1622" t="b">
        <v>0</v>
      </c>
      <c r="O1622">
        <v>0</v>
      </c>
      <c r="Q1622">
        <v>0</v>
      </c>
      <c r="R1622" t="b">
        <v>0</v>
      </c>
    </row>
    <row r="1623" spans="1:18" hidden="1">
      <c r="A1623" t="s">
        <v>24</v>
      </c>
      <c r="B1623" t="s">
        <v>4254</v>
      </c>
      <c r="C1623" t="s">
        <v>4255</v>
      </c>
      <c r="E1623">
        <v>9</v>
      </c>
      <c r="F1623">
        <v>97</v>
      </c>
      <c r="G1623">
        <v>1</v>
      </c>
      <c r="H1623">
        <v>1</v>
      </c>
      <c r="J1623" t="s">
        <v>93</v>
      </c>
      <c r="K1623" t="b">
        <v>1</v>
      </c>
      <c r="L1623">
        <f t="shared" si="25"/>
        <v>10</v>
      </c>
      <c r="M1623">
        <f t="shared" si="25"/>
        <v>98</v>
      </c>
      <c r="N1623" t="b">
        <v>0</v>
      </c>
      <c r="O1623">
        <v>0</v>
      </c>
      <c r="Q1623">
        <v>0</v>
      </c>
      <c r="R1623" t="b">
        <v>0</v>
      </c>
    </row>
    <row r="1624" spans="1:18" hidden="1">
      <c r="A1624" t="s">
        <v>24</v>
      </c>
      <c r="B1624" t="s">
        <v>4256</v>
      </c>
      <c r="C1624" t="s">
        <v>4257</v>
      </c>
      <c r="E1624">
        <v>6</v>
      </c>
      <c r="F1624">
        <v>10</v>
      </c>
      <c r="G1624">
        <v>4</v>
      </c>
      <c r="H1624">
        <v>5</v>
      </c>
      <c r="J1624" t="s">
        <v>93</v>
      </c>
      <c r="K1624" t="b">
        <v>1</v>
      </c>
      <c r="L1624">
        <f t="shared" si="25"/>
        <v>10</v>
      </c>
      <c r="M1624">
        <f t="shared" si="25"/>
        <v>15</v>
      </c>
      <c r="N1624" t="b">
        <v>0</v>
      </c>
      <c r="O1624">
        <v>0</v>
      </c>
      <c r="Q1624">
        <v>0</v>
      </c>
      <c r="R1624" t="b">
        <v>0</v>
      </c>
    </row>
    <row r="1625" spans="1:18" hidden="1">
      <c r="A1625" t="s">
        <v>24</v>
      </c>
      <c r="B1625" t="s">
        <v>4258</v>
      </c>
      <c r="C1625" t="s">
        <v>4259</v>
      </c>
      <c r="E1625">
        <v>5</v>
      </c>
      <c r="F1625">
        <v>7</v>
      </c>
      <c r="G1625">
        <v>5</v>
      </c>
      <c r="H1625">
        <v>492</v>
      </c>
      <c r="J1625" t="s">
        <v>999</v>
      </c>
      <c r="K1625" t="b">
        <v>1</v>
      </c>
      <c r="L1625">
        <f t="shared" si="25"/>
        <v>10</v>
      </c>
      <c r="M1625">
        <f t="shared" si="25"/>
        <v>499</v>
      </c>
      <c r="N1625" t="b">
        <v>0</v>
      </c>
      <c r="O1625">
        <v>0.33329999999999999</v>
      </c>
      <c r="P1625" t="s">
        <v>2754</v>
      </c>
      <c r="Q1625">
        <v>2</v>
      </c>
      <c r="R1625" t="b">
        <v>1</v>
      </c>
    </row>
    <row r="1626" spans="1:18">
      <c r="A1626" t="s">
        <v>205</v>
      </c>
      <c r="B1626" t="s">
        <v>4260</v>
      </c>
      <c r="C1626" t="s">
        <v>4261</v>
      </c>
      <c r="E1626">
        <v>5</v>
      </c>
      <c r="F1626">
        <v>130</v>
      </c>
      <c r="G1626">
        <v>5</v>
      </c>
      <c r="H1626">
        <v>41</v>
      </c>
      <c r="J1626" t="s">
        <v>22</v>
      </c>
      <c r="K1626" t="b">
        <v>1</v>
      </c>
      <c r="L1626">
        <f t="shared" si="25"/>
        <v>10</v>
      </c>
      <c r="M1626">
        <f t="shared" si="25"/>
        <v>171</v>
      </c>
      <c r="N1626" t="b">
        <v>0</v>
      </c>
      <c r="O1626">
        <v>1</v>
      </c>
      <c r="P1626" t="s">
        <v>4262</v>
      </c>
      <c r="Q1626">
        <v>4</v>
      </c>
      <c r="R1626" t="b">
        <v>1</v>
      </c>
    </row>
    <row r="1627" spans="1:18">
      <c r="A1627" t="s">
        <v>205</v>
      </c>
      <c r="B1627" t="s">
        <v>4263</v>
      </c>
      <c r="C1627" t="s">
        <v>4264</v>
      </c>
      <c r="E1627">
        <v>6</v>
      </c>
      <c r="F1627">
        <v>12</v>
      </c>
      <c r="G1627">
        <v>4</v>
      </c>
      <c r="H1627">
        <v>24</v>
      </c>
      <c r="J1627" t="s">
        <v>22</v>
      </c>
      <c r="K1627" t="b">
        <v>1</v>
      </c>
      <c r="L1627">
        <f t="shared" si="25"/>
        <v>10</v>
      </c>
      <c r="M1627">
        <f t="shared" si="25"/>
        <v>36</v>
      </c>
      <c r="N1627" t="b">
        <v>0</v>
      </c>
      <c r="O1627">
        <v>1</v>
      </c>
      <c r="P1627" t="s">
        <v>1665</v>
      </c>
      <c r="Q1627">
        <v>1</v>
      </c>
      <c r="R1627" t="b">
        <v>1</v>
      </c>
    </row>
    <row r="1628" spans="1:18">
      <c r="A1628" t="s">
        <v>59</v>
      </c>
      <c r="B1628" t="s">
        <v>4265</v>
      </c>
      <c r="C1628" t="s">
        <v>4266</v>
      </c>
      <c r="E1628">
        <v>4</v>
      </c>
      <c r="F1628">
        <v>14</v>
      </c>
      <c r="G1628">
        <v>6</v>
      </c>
      <c r="H1628">
        <v>17</v>
      </c>
      <c r="J1628" t="s">
        <v>22</v>
      </c>
      <c r="K1628" t="b">
        <v>1</v>
      </c>
      <c r="L1628">
        <f t="shared" si="25"/>
        <v>10</v>
      </c>
      <c r="M1628">
        <f t="shared" si="25"/>
        <v>31</v>
      </c>
      <c r="N1628" t="b">
        <v>0</v>
      </c>
      <c r="O1628">
        <v>1</v>
      </c>
      <c r="P1628" t="s">
        <v>4246</v>
      </c>
      <c r="Q1628">
        <v>2</v>
      </c>
      <c r="R1628" t="b">
        <v>1</v>
      </c>
    </row>
    <row r="1629" spans="1:18" hidden="1">
      <c r="A1629" t="s">
        <v>59</v>
      </c>
      <c r="B1629" t="s">
        <v>4267</v>
      </c>
      <c r="C1629" t="s">
        <v>4268</v>
      </c>
      <c r="E1629">
        <v>3</v>
      </c>
      <c r="F1629">
        <v>4</v>
      </c>
      <c r="G1629">
        <v>7</v>
      </c>
      <c r="H1629">
        <v>30</v>
      </c>
      <c r="J1629" t="s">
        <v>93</v>
      </c>
      <c r="K1629" t="b">
        <v>1</v>
      </c>
      <c r="L1629">
        <f t="shared" si="25"/>
        <v>10</v>
      </c>
      <c r="M1629">
        <f t="shared" si="25"/>
        <v>34</v>
      </c>
      <c r="N1629" t="b">
        <v>0</v>
      </c>
      <c r="O1629">
        <v>0</v>
      </c>
      <c r="Q1629">
        <v>0</v>
      </c>
      <c r="R1629" t="b">
        <v>0</v>
      </c>
    </row>
    <row r="1630" spans="1:18" hidden="1">
      <c r="A1630" t="s">
        <v>361</v>
      </c>
      <c r="B1630" t="s">
        <v>4269</v>
      </c>
      <c r="C1630" t="s">
        <v>4270</v>
      </c>
      <c r="D1630" t="s">
        <v>519</v>
      </c>
      <c r="E1630">
        <v>5</v>
      </c>
      <c r="F1630">
        <v>125</v>
      </c>
      <c r="G1630">
        <v>5</v>
      </c>
      <c r="H1630">
        <v>26</v>
      </c>
      <c r="I1630" t="s">
        <v>520</v>
      </c>
      <c r="J1630" t="s">
        <v>93</v>
      </c>
      <c r="K1630" t="b">
        <v>0</v>
      </c>
      <c r="L1630">
        <f t="shared" si="25"/>
        <v>10</v>
      </c>
      <c r="M1630">
        <f t="shared" si="25"/>
        <v>151</v>
      </c>
      <c r="N1630" t="b">
        <v>0</v>
      </c>
      <c r="O1630">
        <v>0</v>
      </c>
      <c r="Q1630">
        <v>0</v>
      </c>
      <c r="R1630" t="b">
        <v>0</v>
      </c>
    </row>
    <row r="1631" spans="1:18" hidden="1">
      <c r="A1631" t="s">
        <v>1227</v>
      </c>
      <c r="B1631" t="s">
        <v>4271</v>
      </c>
      <c r="C1631" t="s">
        <v>4272</v>
      </c>
      <c r="E1631">
        <v>0</v>
      </c>
      <c r="F1631">
        <v>0</v>
      </c>
      <c r="G1631">
        <v>10</v>
      </c>
      <c r="H1631">
        <v>48</v>
      </c>
      <c r="J1631" t="s">
        <v>93</v>
      </c>
      <c r="K1631" t="b">
        <v>0</v>
      </c>
      <c r="L1631">
        <f t="shared" si="25"/>
        <v>10</v>
      </c>
      <c r="M1631">
        <f t="shared" si="25"/>
        <v>48</v>
      </c>
      <c r="N1631" t="b">
        <v>0</v>
      </c>
      <c r="O1631">
        <v>0</v>
      </c>
      <c r="Q1631">
        <v>0</v>
      </c>
      <c r="R1631" t="b">
        <v>0</v>
      </c>
    </row>
    <row r="1632" spans="1:18" hidden="1">
      <c r="A1632" t="s">
        <v>3250</v>
      </c>
      <c r="B1632" t="s">
        <v>4273</v>
      </c>
      <c r="C1632" t="s">
        <v>4274</v>
      </c>
      <c r="E1632">
        <v>3</v>
      </c>
      <c r="F1632">
        <v>4</v>
      </c>
      <c r="G1632">
        <v>7</v>
      </c>
      <c r="H1632">
        <v>42</v>
      </c>
      <c r="J1632" t="s">
        <v>93</v>
      </c>
      <c r="K1632" t="b">
        <v>0</v>
      </c>
      <c r="L1632">
        <f t="shared" si="25"/>
        <v>10</v>
      </c>
      <c r="M1632">
        <f t="shared" si="25"/>
        <v>46</v>
      </c>
      <c r="N1632" t="b">
        <v>0</v>
      </c>
      <c r="O1632">
        <v>0</v>
      </c>
      <c r="Q1632">
        <v>0</v>
      </c>
      <c r="R1632" t="b">
        <v>0</v>
      </c>
    </row>
    <row r="1633" spans="1:18" hidden="1">
      <c r="A1633" t="s">
        <v>37</v>
      </c>
      <c r="B1633" t="s">
        <v>4275</v>
      </c>
      <c r="C1633" t="s">
        <v>4276</v>
      </c>
      <c r="E1633">
        <v>6</v>
      </c>
      <c r="F1633">
        <v>13</v>
      </c>
      <c r="G1633">
        <v>4</v>
      </c>
      <c r="H1633">
        <v>19</v>
      </c>
      <c r="J1633" t="s">
        <v>93</v>
      </c>
      <c r="K1633" t="b">
        <v>1</v>
      </c>
      <c r="L1633">
        <f t="shared" si="25"/>
        <v>10</v>
      </c>
      <c r="M1633">
        <f t="shared" si="25"/>
        <v>32</v>
      </c>
      <c r="N1633" t="b">
        <v>0</v>
      </c>
      <c r="O1633">
        <v>0.33329999999999999</v>
      </c>
      <c r="P1633" t="s">
        <v>267</v>
      </c>
      <c r="Q1633">
        <v>2</v>
      </c>
      <c r="R1633" t="b">
        <v>1</v>
      </c>
    </row>
    <row r="1634" spans="1:18" hidden="1">
      <c r="A1634" t="s">
        <v>37</v>
      </c>
      <c r="B1634" t="s">
        <v>4277</v>
      </c>
      <c r="C1634" t="s">
        <v>4278</v>
      </c>
      <c r="E1634">
        <v>6</v>
      </c>
      <c r="F1634">
        <v>13</v>
      </c>
      <c r="G1634">
        <v>4</v>
      </c>
      <c r="H1634">
        <v>19</v>
      </c>
      <c r="J1634" t="s">
        <v>93</v>
      </c>
      <c r="K1634" t="b">
        <v>1</v>
      </c>
      <c r="L1634">
        <f t="shared" si="25"/>
        <v>10</v>
      </c>
      <c r="M1634">
        <f t="shared" si="25"/>
        <v>32</v>
      </c>
      <c r="N1634" t="b">
        <v>0</v>
      </c>
      <c r="O1634">
        <v>0</v>
      </c>
      <c r="Q1634">
        <v>0</v>
      </c>
      <c r="R1634" t="b">
        <v>0</v>
      </c>
    </row>
    <row r="1635" spans="1:18" hidden="1">
      <c r="A1635" t="s">
        <v>1424</v>
      </c>
      <c r="B1635" t="s">
        <v>4279</v>
      </c>
      <c r="C1635" t="s">
        <v>4280</v>
      </c>
      <c r="E1635">
        <v>7</v>
      </c>
      <c r="F1635">
        <v>3</v>
      </c>
      <c r="G1635">
        <v>3</v>
      </c>
      <c r="H1635">
        <v>39</v>
      </c>
      <c r="J1635" t="s">
        <v>93</v>
      </c>
      <c r="K1635" t="b">
        <v>0</v>
      </c>
      <c r="L1635">
        <f t="shared" si="25"/>
        <v>10</v>
      </c>
      <c r="M1635">
        <f t="shared" si="25"/>
        <v>42</v>
      </c>
      <c r="N1635" t="b">
        <v>0</v>
      </c>
      <c r="O1635">
        <v>0</v>
      </c>
      <c r="Q1635">
        <v>0</v>
      </c>
      <c r="R1635" t="b">
        <v>0</v>
      </c>
    </row>
    <row r="1636" spans="1:18">
      <c r="A1636" t="s">
        <v>3478</v>
      </c>
      <c r="B1636" t="s">
        <v>4281</v>
      </c>
      <c r="C1636" t="s">
        <v>4282</v>
      </c>
      <c r="E1636">
        <v>7</v>
      </c>
      <c r="F1636">
        <v>23</v>
      </c>
      <c r="G1636">
        <v>3</v>
      </c>
      <c r="H1636">
        <v>7</v>
      </c>
      <c r="J1636" t="s">
        <v>22</v>
      </c>
      <c r="K1636" t="b">
        <v>1</v>
      </c>
      <c r="L1636">
        <f t="shared" si="25"/>
        <v>10</v>
      </c>
      <c r="M1636">
        <f t="shared" si="25"/>
        <v>30</v>
      </c>
      <c r="N1636" t="b">
        <v>0</v>
      </c>
      <c r="O1636">
        <v>1</v>
      </c>
      <c r="P1636" t="s">
        <v>4283</v>
      </c>
      <c r="Q1636">
        <v>2</v>
      </c>
      <c r="R1636" t="b">
        <v>1</v>
      </c>
    </row>
    <row r="1637" spans="1:18" hidden="1">
      <c r="A1637" t="s">
        <v>4041</v>
      </c>
      <c r="B1637" t="s">
        <v>4284</v>
      </c>
      <c r="C1637" t="s">
        <v>4285</v>
      </c>
      <c r="E1637">
        <v>4</v>
      </c>
      <c r="F1637">
        <v>3</v>
      </c>
      <c r="G1637">
        <v>6</v>
      </c>
      <c r="H1637">
        <v>13</v>
      </c>
      <c r="J1637" t="s">
        <v>93</v>
      </c>
      <c r="K1637" t="b">
        <v>0</v>
      </c>
      <c r="L1637">
        <f t="shared" si="25"/>
        <v>10</v>
      </c>
      <c r="M1637">
        <f t="shared" si="25"/>
        <v>16</v>
      </c>
      <c r="N1637" t="b">
        <v>0</v>
      </c>
      <c r="O1637">
        <v>0</v>
      </c>
      <c r="Q1637">
        <v>0</v>
      </c>
      <c r="R1637" t="b">
        <v>0</v>
      </c>
    </row>
    <row r="1638" spans="1:18" hidden="1">
      <c r="A1638" t="s">
        <v>2919</v>
      </c>
      <c r="B1638" t="s">
        <v>4286</v>
      </c>
      <c r="C1638" t="s">
        <v>4287</v>
      </c>
      <c r="E1638">
        <v>5</v>
      </c>
      <c r="F1638">
        <v>6</v>
      </c>
      <c r="G1638">
        <v>5</v>
      </c>
      <c r="H1638">
        <v>8</v>
      </c>
      <c r="J1638" t="s">
        <v>93</v>
      </c>
      <c r="K1638" t="b">
        <v>0</v>
      </c>
      <c r="L1638">
        <f t="shared" si="25"/>
        <v>10</v>
      </c>
      <c r="M1638">
        <f t="shared" si="25"/>
        <v>14</v>
      </c>
      <c r="N1638" t="b">
        <v>0</v>
      </c>
      <c r="O1638">
        <v>0</v>
      </c>
      <c r="Q1638">
        <v>0</v>
      </c>
      <c r="R1638" t="b">
        <v>0</v>
      </c>
    </row>
    <row r="1639" spans="1:18" hidden="1">
      <c r="A1639" t="s">
        <v>2919</v>
      </c>
      <c r="B1639" t="s">
        <v>4288</v>
      </c>
      <c r="C1639" t="s">
        <v>4289</v>
      </c>
      <c r="E1639">
        <v>5</v>
      </c>
      <c r="F1639">
        <v>6</v>
      </c>
      <c r="G1639">
        <v>5</v>
      </c>
      <c r="H1639">
        <v>8</v>
      </c>
      <c r="J1639" t="s">
        <v>93</v>
      </c>
      <c r="K1639" t="b">
        <v>0</v>
      </c>
      <c r="L1639">
        <f t="shared" si="25"/>
        <v>10</v>
      </c>
      <c r="M1639">
        <f t="shared" si="25"/>
        <v>14</v>
      </c>
      <c r="N1639" t="b">
        <v>0</v>
      </c>
      <c r="O1639">
        <v>0</v>
      </c>
      <c r="Q1639">
        <v>0</v>
      </c>
      <c r="R1639" t="b">
        <v>0</v>
      </c>
    </row>
    <row r="1640" spans="1:18">
      <c r="A1640" t="s">
        <v>378</v>
      </c>
      <c r="B1640" t="s">
        <v>4290</v>
      </c>
      <c r="C1640" t="s">
        <v>4291</v>
      </c>
      <c r="E1640">
        <v>5</v>
      </c>
      <c r="F1640">
        <v>9</v>
      </c>
      <c r="G1640">
        <v>5</v>
      </c>
      <c r="H1640">
        <v>36</v>
      </c>
      <c r="J1640" t="s">
        <v>22</v>
      </c>
      <c r="K1640" t="b">
        <v>1</v>
      </c>
      <c r="L1640">
        <f t="shared" si="25"/>
        <v>10</v>
      </c>
      <c r="M1640">
        <f t="shared" si="25"/>
        <v>45</v>
      </c>
      <c r="N1640" t="b">
        <v>0</v>
      </c>
      <c r="O1640">
        <v>1</v>
      </c>
      <c r="P1640" t="s">
        <v>4292</v>
      </c>
      <c r="Q1640">
        <v>2</v>
      </c>
      <c r="R1640" t="b">
        <v>1</v>
      </c>
    </row>
    <row r="1641" spans="1:18">
      <c r="A1641" t="s">
        <v>1462</v>
      </c>
      <c r="B1641" t="s">
        <v>4293</v>
      </c>
      <c r="C1641" t="s">
        <v>4294</v>
      </c>
      <c r="E1641">
        <v>7</v>
      </c>
      <c r="F1641">
        <v>8</v>
      </c>
      <c r="G1641">
        <v>3</v>
      </c>
      <c r="H1641">
        <v>7</v>
      </c>
      <c r="J1641" t="s">
        <v>22</v>
      </c>
      <c r="K1641" t="b">
        <v>1</v>
      </c>
      <c r="L1641">
        <f t="shared" si="25"/>
        <v>10</v>
      </c>
      <c r="M1641">
        <f t="shared" si="25"/>
        <v>15</v>
      </c>
      <c r="N1641" t="b">
        <v>0</v>
      </c>
      <c r="O1641">
        <v>1</v>
      </c>
      <c r="P1641" t="s">
        <v>4295</v>
      </c>
      <c r="Q1641">
        <v>2</v>
      </c>
      <c r="R1641" t="b">
        <v>1</v>
      </c>
    </row>
    <row r="1642" spans="1:18" hidden="1">
      <c r="A1642" t="s">
        <v>352</v>
      </c>
      <c r="B1642" t="s">
        <v>4296</v>
      </c>
      <c r="C1642" t="s">
        <v>4297</v>
      </c>
      <c r="D1642" s="7" t="s">
        <v>1529</v>
      </c>
      <c r="E1642">
        <v>8</v>
      </c>
      <c r="F1642">
        <v>67</v>
      </c>
      <c r="G1642">
        <v>2</v>
      </c>
      <c r="H1642">
        <v>39</v>
      </c>
      <c r="I1642" s="10" t="s">
        <v>1530</v>
      </c>
      <c r="J1642" t="s">
        <v>93</v>
      </c>
      <c r="K1642" t="b">
        <v>1</v>
      </c>
      <c r="L1642">
        <f t="shared" si="25"/>
        <v>10</v>
      </c>
      <c r="M1642">
        <f t="shared" si="25"/>
        <v>106</v>
      </c>
      <c r="N1642" t="b">
        <v>0</v>
      </c>
      <c r="O1642">
        <v>0</v>
      </c>
      <c r="Q1642">
        <v>0</v>
      </c>
      <c r="R1642" t="b">
        <v>0</v>
      </c>
    </row>
    <row r="1643" spans="1:18">
      <c r="A1643" t="s">
        <v>1384</v>
      </c>
      <c r="B1643" t="s">
        <v>4298</v>
      </c>
      <c r="C1643" t="s">
        <v>4299</v>
      </c>
      <c r="E1643">
        <v>5</v>
      </c>
      <c r="F1643">
        <v>80</v>
      </c>
      <c r="G1643">
        <v>5</v>
      </c>
      <c r="H1643">
        <v>42</v>
      </c>
      <c r="J1643" t="s">
        <v>22</v>
      </c>
      <c r="K1643" t="b">
        <v>1</v>
      </c>
      <c r="L1643">
        <f t="shared" si="25"/>
        <v>10</v>
      </c>
      <c r="M1643">
        <f t="shared" si="25"/>
        <v>122</v>
      </c>
      <c r="N1643" t="b">
        <v>0</v>
      </c>
      <c r="O1643">
        <v>1</v>
      </c>
      <c r="P1643" t="s">
        <v>4300</v>
      </c>
      <c r="Q1643">
        <v>2</v>
      </c>
      <c r="R1643" t="b">
        <v>1</v>
      </c>
    </row>
    <row r="1644" spans="1:18" hidden="1">
      <c r="A1644" t="s">
        <v>192</v>
      </c>
      <c r="B1644" t="s">
        <v>4301</v>
      </c>
      <c r="C1644" t="s">
        <v>4302</v>
      </c>
      <c r="E1644">
        <v>6</v>
      </c>
      <c r="F1644">
        <v>23</v>
      </c>
      <c r="G1644">
        <v>4</v>
      </c>
      <c r="H1644">
        <v>5</v>
      </c>
      <c r="J1644" t="s">
        <v>93</v>
      </c>
      <c r="K1644" t="b">
        <v>1</v>
      </c>
      <c r="L1644">
        <f t="shared" si="25"/>
        <v>10</v>
      </c>
      <c r="M1644">
        <f t="shared" si="25"/>
        <v>28</v>
      </c>
      <c r="N1644" t="b">
        <v>0</v>
      </c>
      <c r="O1644">
        <v>0</v>
      </c>
      <c r="Q1644">
        <v>0</v>
      </c>
      <c r="R1644" t="b">
        <v>0</v>
      </c>
    </row>
    <row r="1645" spans="1:18">
      <c r="A1645" t="s">
        <v>192</v>
      </c>
      <c r="B1645" t="s">
        <v>4303</v>
      </c>
      <c r="C1645" t="s">
        <v>4304</v>
      </c>
      <c r="E1645">
        <v>8</v>
      </c>
      <c r="F1645">
        <v>2</v>
      </c>
      <c r="G1645">
        <v>2</v>
      </c>
      <c r="H1645">
        <v>2</v>
      </c>
      <c r="J1645" t="s">
        <v>22</v>
      </c>
      <c r="K1645" t="b">
        <v>1</v>
      </c>
      <c r="L1645">
        <f t="shared" si="25"/>
        <v>10</v>
      </c>
      <c r="M1645">
        <f t="shared" si="25"/>
        <v>4</v>
      </c>
      <c r="N1645" t="b">
        <v>0</v>
      </c>
      <c r="O1645">
        <v>1</v>
      </c>
      <c r="P1645" t="s">
        <v>4305</v>
      </c>
      <c r="Q1645">
        <v>2</v>
      </c>
      <c r="R1645" t="b">
        <v>1</v>
      </c>
    </row>
    <row r="1646" spans="1:18" hidden="1">
      <c r="A1646" t="s">
        <v>192</v>
      </c>
      <c r="B1646" t="s">
        <v>4306</v>
      </c>
      <c r="C1646" t="s">
        <v>4307</v>
      </c>
      <c r="E1646">
        <v>9</v>
      </c>
      <c r="F1646">
        <v>1</v>
      </c>
      <c r="G1646">
        <v>1</v>
      </c>
      <c r="H1646">
        <v>1</v>
      </c>
      <c r="J1646" t="s">
        <v>93</v>
      </c>
      <c r="K1646" t="b">
        <v>1</v>
      </c>
      <c r="L1646">
        <f t="shared" si="25"/>
        <v>10</v>
      </c>
      <c r="M1646">
        <f t="shared" si="25"/>
        <v>2</v>
      </c>
      <c r="N1646" t="b">
        <v>0</v>
      </c>
      <c r="O1646">
        <v>0</v>
      </c>
      <c r="Q1646">
        <v>0</v>
      </c>
      <c r="R1646" t="b">
        <v>0</v>
      </c>
    </row>
    <row r="1647" spans="1:18" hidden="1">
      <c r="A1647" t="s">
        <v>19</v>
      </c>
      <c r="B1647" t="s">
        <v>4308</v>
      </c>
      <c r="C1647" t="s">
        <v>4309</v>
      </c>
      <c r="E1647">
        <v>5</v>
      </c>
      <c r="F1647">
        <v>125</v>
      </c>
      <c r="G1647">
        <v>5</v>
      </c>
      <c r="H1647">
        <v>26</v>
      </c>
      <c r="J1647" t="s">
        <v>93</v>
      </c>
      <c r="K1647" t="b">
        <v>1</v>
      </c>
      <c r="L1647">
        <f t="shared" si="25"/>
        <v>10</v>
      </c>
      <c r="M1647">
        <f t="shared" si="25"/>
        <v>151</v>
      </c>
      <c r="N1647" t="b">
        <v>0</v>
      </c>
      <c r="O1647">
        <v>0</v>
      </c>
      <c r="Q1647">
        <v>0</v>
      </c>
      <c r="R1647" t="b">
        <v>0</v>
      </c>
    </row>
    <row r="1648" spans="1:18">
      <c r="A1648" t="s">
        <v>573</v>
      </c>
      <c r="B1648" t="s">
        <v>4310</v>
      </c>
      <c r="C1648" t="s">
        <v>4311</v>
      </c>
      <c r="E1648">
        <v>7</v>
      </c>
      <c r="F1648">
        <v>0</v>
      </c>
      <c r="G1648">
        <v>2</v>
      </c>
      <c r="H1648">
        <v>2</v>
      </c>
      <c r="J1648" t="s">
        <v>22</v>
      </c>
      <c r="K1648" t="b">
        <v>1</v>
      </c>
      <c r="L1648">
        <f t="shared" si="25"/>
        <v>9</v>
      </c>
      <c r="M1648">
        <f t="shared" si="25"/>
        <v>2</v>
      </c>
      <c r="N1648" t="b">
        <v>0</v>
      </c>
      <c r="O1648">
        <v>1</v>
      </c>
      <c r="P1648" t="s">
        <v>4312</v>
      </c>
      <c r="Q1648">
        <v>2</v>
      </c>
      <c r="R1648" t="b">
        <v>1</v>
      </c>
    </row>
    <row r="1649" spans="1:18">
      <c r="A1649" t="s">
        <v>438</v>
      </c>
      <c r="B1649" t="s">
        <v>4313</v>
      </c>
      <c r="C1649" t="s">
        <v>4314</v>
      </c>
      <c r="E1649">
        <v>9</v>
      </c>
      <c r="F1649">
        <v>21</v>
      </c>
      <c r="G1649">
        <v>0</v>
      </c>
      <c r="H1649">
        <v>0</v>
      </c>
      <c r="J1649" t="s">
        <v>22</v>
      </c>
      <c r="K1649" t="b">
        <v>1</v>
      </c>
      <c r="L1649">
        <f t="shared" si="25"/>
        <v>9</v>
      </c>
      <c r="M1649">
        <f t="shared" si="25"/>
        <v>21</v>
      </c>
      <c r="N1649" t="b">
        <v>0</v>
      </c>
      <c r="O1649">
        <v>0</v>
      </c>
      <c r="Q1649">
        <v>0</v>
      </c>
      <c r="R1649" t="b">
        <v>0</v>
      </c>
    </row>
    <row r="1650" spans="1:18">
      <c r="A1650" t="s">
        <v>1191</v>
      </c>
      <c r="B1650" t="s">
        <v>4315</v>
      </c>
      <c r="C1650" t="s">
        <v>4316</v>
      </c>
      <c r="E1650">
        <v>6</v>
      </c>
      <c r="F1650">
        <v>11</v>
      </c>
      <c r="G1650">
        <v>3</v>
      </c>
      <c r="H1650">
        <v>11</v>
      </c>
      <c r="J1650" t="s">
        <v>22</v>
      </c>
      <c r="K1650" t="b">
        <v>1</v>
      </c>
      <c r="L1650">
        <f t="shared" si="25"/>
        <v>9</v>
      </c>
      <c r="M1650">
        <f t="shared" si="25"/>
        <v>22</v>
      </c>
      <c r="N1650" t="b">
        <v>0</v>
      </c>
      <c r="O1650">
        <v>1</v>
      </c>
      <c r="P1650" t="s">
        <v>4317</v>
      </c>
      <c r="Q1650">
        <v>2</v>
      </c>
      <c r="R1650" t="b">
        <v>1</v>
      </c>
    </row>
    <row r="1651" spans="1:18">
      <c r="A1651" t="s">
        <v>1191</v>
      </c>
      <c r="B1651" t="s">
        <v>4318</v>
      </c>
      <c r="C1651" t="s">
        <v>4319</v>
      </c>
      <c r="E1651">
        <v>8</v>
      </c>
      <c r="F1651">
        <v>15</v>
      </c>
      <c r="G1651">
        <v>1</v>
      </c>
      <c r="H1651">
        <v>1</v>
      </c>
      <c r="J1651" t="s">
        <v>22</v>
      </c>
      <c r="K1651" t="b">
        <v>1</v>
      </c>
      <c r="L1651">
        <f t="shared" si="25"/>
        <v>9</v>
      </c>
      <c r="M1651">
        <f t="shared" si="25"/>
        <v>16</v>
      </c>
      <c r="N1651" t="b">
        <v>0</v>
      </c>
      <c r="O1651">
        <v>1</v>
      </c>
      <c r="P1651" t="s">
        <v>4320</v>
      </c>
      <c r="Q1651">
        <v>2</v>
      </c>
      <c r="R1651" t="b">
        <v>1</v>
      </c>
    </row>
    <row r="1652" spans="1:18">
      <c r="A1652" t="s">
        <v>1191</v>
      </c>
      <c r="B1652" t="s">
        <v>4321</v>
      </c>
      <c r="C1652" t="s">
        <v>4322</v>
      </c>
      <c r="E1652">
        <v>7</v>
      </c>
      <c r="F1652">
        <v>22</v>
      </c>
      <c r="G1652">
        <v>2</v>
      </c>
      <c r="H1652">
        <v>10</v>
      </c>
      <c r="J1652" t="s">
        <v>22</v>
      </c>
      <c r="K1652" t="b">
        <v>1</v>
      </c>
      <c r="L1652">
        <f t="shared" si="25"/>
        <v>9</v>
      </c>
      <c r="M1652">
        <f t="shared" si="25"/>
        <v>32</v>
      </c>
      <c r="N1652" t="b">
        <v>0</v>
      </c>
      <c r="O1652">
        <v>1</v>
      </c>
      <c r="P1652" t="s">
        <v>4323</v>
      </c>
      <c r="Q1652">
        <v>2</v>
      </c>
      <c r="R1652" t="b">
        <v>1</v>
      </c>
    </row>
    <row r="1653" spans="1:18">
      <c r="A1653" t="s">
        <v>1191</v>
      </c>
      <c r="B1653" t="s">
        <v>4324</v>
      </c>
      <c r="C1653" t="s">
        <v>4325</v>
      </c>
      <c r="E1653">
        <v>7</v>
      </c>
      <c r="F1653">
        <v>22</v>
      </c>
      <c r="G1653">
        <v>2</v>
      </c>
      <c r="H1653">
        <v>10</v>
      </c>
      <c r="J1653" t="s">
        <v>22</v>
      </c>
      <c r="K1653" t="b">
        <v>1</v>
      </c>
      <c r="L1653">
        <f t="shared" si="25"/>
        <v>9</v>
      </c>
      <c r="M1653">
        <f t="shared" si="25"/>
        <v>32</v>
      </c>
      <c r="N1653" t="b">
        <v>0</v>
      </c>
      <c r="O1653">
        <v>1</v>
      </c>
      <c r="P1653" t="s">
        <v>4326</v>
      </c>
      <c r="Q1653">
        <v>2</v>
      </c>
      <c r="R1653" t="b">
        <v>1</v>
      </c>
    </row>
    <row r="1654" spans="1:18" hidden="1">
      <c r="A1654" t="s">
        <v>1224</v>
      </c>
      <c r="B1654" t="s">
        <v>4327</v>
      </c>
      <c r="C1654" t="s">
        <v>4328</v>
      </c>
      <c r="E1654">
        <v>8</v>
      </c>
      <c r="F1654">
        <v>53</v>
      </c>
      <c r="G1654">
        <v>1</v>
      </c>
      <c r="H1654">
        <v>1</v>
      </c>
      <c r="J1654" t="s">
        <v>93</v>
      </c>
      <c r="K1654" t="b">
        <v>1</v>
      </c>
      <c r="L1654">
        <f t="shared" si="25"/>
        <v>9</v>
      </c>
      <c r="M1654">
        <f t="shared" si="25"/>
        <v>54</v>
      </c>
      <c r="N1654" t="b">
        <v>0</v>
      </c>
      <c r="O1654">
        <v>0</v>
      </c>
      <c r="Q1654">
        <v>0</v>
      </c>
      <c r="R1654" t="b">
        <v>0</v>
      </c>
    </row>
    <row r="1655" spans="1:18" hidden="1">
      <c r="A1655" t="s">
        <v>1224</v>
      </c>
      <c r="B1655" t="s">
        <v>4329</v>
      </c>
      <c r="C1655" t="s">
        <v>4330</v>
      </c>
      <c r="E1655">
        <v>9</v>
      </c>
      <c r="F1655">
        <v>57</v>
      </c>
      <c r="G1655">
        <v>0</v>
      </c>
      <c r="H1655">
        <v>0</v>
      </c>
      <c r="J1655" t="s">
        <v>93</v>
      </c>
      <c r="K1655" t="b">
        <v>1</v>
      </c>
      <c r="L1655">
        <f t="shared" si="25"/>
        <v>9</v>
      </c>
      <c r="M1655">
        <f t="shared" si="25"/>
        <v>57</v>
      </c>
      <c r="N1655" t="b">
        <v>0</v>
      </c>
      <c r="O1655">
        <v>0</v>
      </c>
      <c r="Q1655">
        <v>0</v>
      </c>
      <c r="R1655" t="b">
        <v>0</v>
      </c>
    </row>
    <row r="1656" spans="1:18" hidden="1">
      <c r="A1656" t="s">
        <v>1224</v>
      </c>
      <c r="B1656" t="s">
        <v>4331</v>
      </c>
      <c r="C1656" t="s">
        <v>4332</v>
      </c>
      <c r="E1656">
        <v>9</v>
      </c>
      <c r="F1656">
        <v>57</v>
      </c>
      <c r="G1656">
        <v>0</v>
      </c>
      <c r="H1656">
        <v>0</v>
      </c>
      <c r="J1656" t="s">
        <v>93</v>
      </c>
      <c r="K1656" t="b">
        <v>1</v>
      </c>
      <c r="L1656">
        <f t="shared" si="25"/>
        <v>9</v>
      </c>
      <c r="M1656">
        <f t="shared" si="25"/>
        <v>57</v>
      </c>
      <c r="N1656" t="b">
        <v>0</v>
      </c>
      <c r="O1656">
        <v>0</v>
      </c>
      <c r="Q1656">
        <v>0</v>
      </c>
      <c r="R1656" t="b">
        <v>0</v>
      </c>
    </row>
    <row r="1657" spans="1:18">
      <c r="A1657" t="s">
        <v>24</v>
      </c>
      <c r="B1657" t="s">
        <v>4333</v>
      </c>
      <c r="C1657" t="s">
        <v>4334</v>
      </c>
      <c r="E1657">
        <v>9</v>
      </c>
      <c r="F1657">
        <v>20</v>
      </c>
      <c r="G1657">
        <v>0</v>
      </c>
      <c r="H1657">
        <v>0</v>
      </c>
      <c r="J1657" t="s">
        <v>22</v>
      </c>
      <c r="K1657" t="b">
        <v>1</v>
      </c>
      <c r="L1657">
        <f t="shared" si="25"/>
        <v>9</v>
      </c>
      <c r="M1657">
        <f t="shared" si="25"/>
        <v>20</v>
      </c>
      <c r="N1657" t="b">
        <v>0</v>
      </c>
      <c r="O1657">
        <v>1</v>
      </c>
      <c r="P1657" t="s">
        <v>2323</v>
      </c>
      <c r="Q1657">
        <v>2</v>
      </c>
      <c r="R1657" t="b">
        <v>1</v>
      </c>
    </row>
    <row r="1658" spans="1:18">
      <c r="A1658" t="s">
        <v>24</v>
      </c>
      <c r="B1658" t="s">
        <v>4335</v>
      </c>
      <c r="C1658" t="s">
        <v>4336</v>
      </c>
      <c r="E1658">
        <v>8</v>
      </c>
      <c r="F1658">
        <v>10</v>
      </c>
      <c r="G1658">
        <v>1</v>
      </c>
      <c r="H1658">
        <v>3</v>
      </c>
      <c r="J1658" t="s">
        <v>22</v>
      </c>
      <c r="K1658" t="b">
        <v>1</v>
      </c>
      <c r="L1658">
        <f t="shared" si="25"/>
        <v>9</v>
      </c>
      <c r="M1658">
        <f t="shared" si="25"/>
        <v>13</v>
      </c>
      <c r="N1658" t="b">
        <v>0</v>
      </c>
      <c r="O1658">
        <v>1</v>
      </c>
      <c r="P1658" t="s">
        <v>3043</v>
      </c>
      <c r="Q1658">
        <v>2</v>
      </c>
      <c r="R1658" t="b">
        <v>1</v>
      </c>
    </row>
    <row r="1659" spans="1:18" hidden="1">
      <c r="A1659" t="s">
        <v>24</v>
      </c>
      <c r="B1659" t="s">
        <v>4337</v>
      </c>
      <c r="C1659" t="s">
        <v>4338</v>
      </c>
      <c r="E1659">
        <v>6</v>
      </c>
      <c r="F1659">
        <v>8</v>
      </c>
      <c r="G1659">
        <v>3</v>
      </c>
      <c r="H1659">
        <v>7</v>
      </c>
      <c r="J1659" t="s">
        <v>93</v>
      </c>
      <c r="K1659" t="b">
        <v>1</v>
      </c>
      <c r="L1659">
        <f t="shared" si="25"/>
        <v>9</v>
      </c>
      <c r="M1659">
        <f t="shared" si="25"/>
        <v>15</v>
      </c>
      <c r="N1659" t="b">
        <v>0</v>
      </c>
      <c r="O1659">
        <v>0</v>
      </c>
      <c r="Q1659">
        <v>0</v>
      </c>
      <c r="R1659" t="b">
        <v>0</v>
      </c>
    </row>
    <row r="1660" spans="1:18" hidden="1">
      <c r="A1660" t="s">
        <v>24</v>
      </c>
      <c r="B1660" t="s">
        <v>4339</v>
      </c>
      <c r="C1660" t="s">
        <v>4340</v>
      </c>
      <c r="E1660">
        <v>6</v>
      </c>
      <c r="F1660">
        <v>8</v>
      </c>
      <c r="G1660">
        <v>3</v>
      </c>
      <c r="H1660">
        <v>7</v>
      </c>
      <c r="J1660" t="s">
        <v>93</v>
      </c>
      <c r="K1660" t="b">
        <v>1</v>
      </c>
      <c r="L1660">
        <f t="shared" si="25"/>
        <v>9</v>
      </c>
      <c r="M1660">
        <f t="shared" si="25"/>
        <v>15</v>
      </c>
      <c r="N1660" t="b">
        <v>0</v>
      </c>
      <c r="O1660">
        <v>0.33329999999999999</v>
      </c>
      <c r="P1660" t="s">
        <v>4341</v>
      </c>
      <c r="Q1660">
        <v>4</v>
      </c>
      <c r="R1660" t="b">
        <v>1</v>
      </c>
    </row>
    <row r="1661" spans="1:18" hidden="1">
      <c r="A1661" t="s">
        <v>24</v>
      </c>
      <c r="B1661" t="s">
        <v>4342</v>
      </c>
      <c r="C1661" t="s">
        <v>4343</v>
      </c>
      <c r="E1661">
        <v>5</v>
      </c>
      <c r="F1661">
        <v>15</v>
      </c>
      <c r="G1661">
        <v>4</v>
      </c>
      <c r="H1661">
        <v>19</v>
      </c>
      <c r="J1661" t="s">
        <v>93</v>
      </c>
      <c r="K1661" t="b">
        <v>1</v>
      </c>
      <c r="L1661">
        <f t="shared" si="25"/>
        <v>9</v>
      </c>
      <c r="M1661">
        <f t="shared" si="25"/>
        <v>34</v>
      </c>
      <c r="N1661" t="b">
        <v>0</v>
      </c>
      <c r="O1661">
        <v>0</v>
      </c>
      <c r="Q1661">
        <v>0</v>
      </c>
      <c r="R1661" t="b">
        <v>0</v>
      </c>
    </row>
    <row r="1662" spans="1:18" hidden="1">
      <c r="A1662" t="s">
        <v>24</v>
      </c>
      <c r="B1662" t="s">
        <v>4344</v>
      </c>
      <c r="C1662" t="s">
        <v>4345</v>
      </c>
      <c r="E1662">
        <v>5</v>
      </c>
      <c r="F1662">
        <v>15</v>
      </c>
      <c r="G1662">
        <v>4</v>
      </c>
      <c r="H1662">
        <v>19</v>
      </c>
      <c r="J1662" t="s">
        <v>93</v>
      </c>
      <c r="K1662" t="b">
        <v>1</v>
      </c>
      <c r="L1662">
        <f t="shared" si="25"/>
        <v>9</v>
      </c>
      <c r="M1662">
        <f t="shared" si="25"/>
        <v>34</v>
      </c>
      <c r="N1662" t="b">
        <v>0</v>
      </c>
      <c r="O1662">
        <v>0</v>
      </c>
      <c r="Q1662">
        <v>0</v>
      </c>
      <c r="R1662" t="b">
        <v>0</v>
      </c>
    </row>
    <row r="1663" spans="1:18" hidden="1">
      <c r="A1663" t="s">
        <v>205</v>
      </c>
      <c r="B1663" t="s">
        <v>4346</v>
      </c>
      <c r="C1663" t="s">
        <v>4347</v>
      </c>
      <c r="E1663">
        <v>7</v>
      </c>
      <c r="F1663">
        <v>106</v>
      </c>
      <c r="G1663">
        <v>2</v>
      </c>
      <c r="H1663">
        <v>3</v>
      </c>
      <c r="J1663" t="s">
        <v>93</v>
      </c>
      <c r="K1663" t="b">
        <v>1</v>
      </c>
      <c r="L1663">
        <f t="shared" si="25"/>
        <v>9</v>
      </c>
      <c r="M1663">
        <f t="shared" si="25"/>
        <v>109</v>
      </c>
      <c r="N1663" t="b">
        <v>0</v>
      </c>
      <c r="O1663">
        <v>0</v>
      </c>
      <c r="Q1663">
        <v>0</v>
      </c>
      <c r="R1663" t="b">
        <v>0</v>
      </c>
    </row>
    <row r="1664" spans="1:18" hidden="1">
      <c r="A1664" t="s">
        <v>205</v>
      </c>
      <c r="B1664" t="s">
        <v>4348</v>
      </c>
      <c r="C1664" t="s">
        <v>4349</v>
      </c>
      <c r="E1664">
        <v>4</v>
      </c>
      <c r="F1664">
        <v>7</v>
      </c>
      <c r="G1664">
        <v>5</v>
      </c>
      <c r="H1664">
        <v>181</v>
      </c>
      <c r="J1664" t="s">
        <v>93</v>
      </c>
      <c r="K1664" t="b">
        <v>1</v>
      </c>
      <c r="L1664">
        <f t="shared" si="25"/>
        <v>9</v>
      </c>
      <c r="M1664">
        <f t="shared" si="25"/>
        <v>188</v>
      </c>
      <c r="N1664" t="b">
        <v>0</v>
      </c>
      <c r="O1664">
        <v>0</v>
      </c>
      <c r="Q1664">
        <v>0</v>
      </c>
      <c r="R1664" t="b">
        <v>0</v>
      </c>
    </row>
    <row r="1665" spans="1:18" hidden="1">
      <c r="A1665" t="s">
        <v>3105</v>
      </c>
      <c r="B1665" t="s">
        <v>4350</v>
      </c>
      <c r="C1665" t="s">
        <v>4351</v>
      </c>
      <c r="E1665">
        <v>6</v>
      </c>
      <c r="F1665">
        <v>0</v>
      </c>
      <c r="G1665">
        <v>3</v>
      </c>
      <c r="H1665">
        <v>4</v>
      </c>
      <c r="J1665" t="s">
        <v>93</v>
      </c>
      <c r="K1665" t="b">
        <v>1</v>
      </c>
      <c r="L1665">
        <f t="shared" si="25"/>
        <v>9</v>
      </c>
      <c r="M1665">
        <f t="shared" si="25"/>
        <v>4</v>
      </c>
      <c r="N1665" t="b">
        <v>0</v>
      </c>
      <c r="O1665">
        <v>0</v>
      </c>
      <c r="Q1665">
        <v>0</v>
      </c>
      <c r="R1665" t="b">
        <v>0</v>
      </c>
    </row>
    <row r="1666" spans="1:18">
      <c r="A1666" t="s">
        <v>2472</v>
      </c>
      <c r="B1666" t="s">
        <v>4352</v>
      </c>
      <c r="C1666" t="s">
        <v>4353</v>
      </c>
      <c r="E1666">
        <v>5</v>
      </c>
      <c r="F1666">
        <v>8</v>
      </c>
      <c r="G1666">
        <v>4</v>
      </c>
      <c r="H1666">
        <v>6</v>
      </c>
      <c r="J1666" t="s">
        <v>22</v>
      </c>
      <c r="K1666" t="b">
        <v>1</v>
      </c>
      <c r="L1666">
        <f t="shared" si="25"/>
        <v>9</v>
      </c>
      <c r="M1666">
        <f t="shared" si="25"/>
        <v>14</v>
      </c>
      <c r="N1666" t="b">
        <v>0</v>
      </c>
      <c r="O1666">
        <v>1</v>
      </c>
      <c r="P1666" t="s">
        <v>138</v>
      </c>
      <c r="Q1666">
        <v>2</v>
      </c>
      <c r="R1666" t="b">
        <v>1</v>
      </c>
    </row>
    <row r="1667" spans="1:18">
      <c r="A1667" t="s">
        <v>59</v>
      </c>
      <c r="B1667" t="s">
        <v>4354</v>
      </c>
      <c r="C1667" t="s">
        <v>4355</v>
      </c>
      <c r="E1667">
        <v>4</v>
      </c>
      <c r="F1667">
        <v>14</v>
      </c>
      <c r="G1667">
        <v>5</v>
      </c>
      <c r="H1667">
        <v>17</v>
      </c>
      <c r="J1667" t="s">
        <v>22</v>
      </c>
      <c r="K1667" t="b">
        <v>1</v>
      </c>
      <c r="L1667">
        <f t="shared" ref="L1667:M1730" si="26">E1667+G1667</f>
        <v>9</v>
      </c>
      <c r="M1667">
        <f t="shared" si="26"/>
        <v>31</v>
      </c>
      <c r="N1667" t="b">
        <v>0</v>
      </c>
      <c r="O1667">
        <v>1</v>
      </c>
      <c r="P1667" t="s">
        <v>4249</v>
      </c>
      <c r="Q1667">
        <v>2</v>
      </c>
      <c r="R1667" t="b">
        <v>1</v>
      </c>
    </row>
    <row r="1668" spans="1:18" hidden="1">
      <c r="A1668" t="s">
        <v>59</v>
      </c>
      <c r="B1668" t="s">
        <v>4356</v>
      </c>
      <c r="C1668" t="s">
        <v>4357</v>
      </c>
      <c r="E1668">
        <v>3</v>
      </c>
      <c r="F1668">
        <v>4</v>
      </c>
      <c r="G1668">
        <v>6</v>
      </c>
      <c r="H1668">
        <v>10</v>
      </c>
      <c r="J1668" t="s">
        <v>93</v>
      </c>
      <c r="K1668" t="b">
        <v>1</v>
      </c>
      <c r="L1668">
        <f t="shared" si="26"/>
        <v>9</v>
      </c>
      <c r="M1668">
        <f t="shared" si="26"/>
        <v>14</v>
      </c>
      <c r="N1668" t="b">
        <v>0</v>
      </c>
      <c r="O1668">
        <v>0</v>
      </c>
      <c r="Q1668">
        <v>0</v>
      </c>
      <c r="R1668" t="b">
        <v>0</v>
      </c>
    </row>
    <row r="1669" spans="1:18" hidden="1">
      <c r="A1669" t="s">
        <v>59</v>
      </c>
      <c r="B1669" t="s">
        <v>4358</v>
      </c>
      <c r="C1669" t="s">
        <v>4359</v>
      </c>
      <c r="E1669">
        <v>5</v>
      </c>
      <c r="F1669">
        <v>2</v>
      </c>
      <c r="G1669">
        <v>4</v>
      </c>
      <c r="H1669">
        <v>9</v>
      </c>
      <c r="J1669" t="s">
        <v>93</v>
      </c>
      <c r="K1669" t="b">
        <v>1</v>
      </c>
      <c r="L1669">
        <f t="shared" si="26"/>
        <v>9</v>
      </c>
      <c r="M1669">
        <f t="shared" si="26"/>
        <v>11</v>
      </c>
      <c r="N1669" t="b">
        <v>0</v>
      </c>
      <c r="O1669">
        <v>0</v>
      </c>
      <c r="Q1669">
        <v>0</v>
      </c>
      <c r="R1669" t="b">
        <v>0</v>
      </c>
    </row>
    <row r="1670" spans="1:18" hidden="1">
      <c r="A1670" t="s">
        <v>4021</v>
      </c>
      <c r="B1670" t="s">
        <v>4360</v>
      </c>
      <c r="C1670" t="s">
        <v>4361</v>
      </c>
      <c r="E1670">
        <v>0</v>
      </c>
      <c r="F1670">
        <v>0</v>
      </c>
      <c r="G1670">
        <v>9</v>
      </c>
      <c r="H1670">
        <v>399</v>
      </c>
      <c r="J1670" t="s">
        <v>93</v>
      </c>
      <c r="K1670" t="b">
        <v>0</v>
      </c>
      <c r="L1670">
        <f t="shared" si="26"/>
        <v>9</v>
      </c>
      <c r="M1670">
        <f t="shared" si="26"/>
        <v>399</v>
      </c>
      <c r="N1670" t="b">
        <v>0</v>
      </c>
      <c r="O1670">
        <v>0</v>
      </c>
      <c r="Q1670">
        <v>0</v>
      </c>
      <c r="R1670" t="b">
        <v>0</v>
      </c>
    </row>
    <row r="1671" spans="1:18" hidden="1">
      <c r="A1671" t="s">
        <v>940</v>
      </c>
      <c r="B1671" t="s">
        <v>4362</v>
      </c>
      <c r="C1671" t="s">
        <v>4363</v>
      </c>
      <c r="E1671">
        <v>0</v>
      </c>
      <c r="F1671">
        <v>0</v>
      </c>
      <c r="G1671">
        <v>9</v>
      </c>
      <c r="H1671">
        <v>127</v>
      </c>
      <c r="J1671" t="s">
        <v>93</v>
      </c>
      <c r="K1671" t="b">
        <v>0</v>
      </c>
      <c r="L1671">
        <f t="shared" si="26"/>
        <v>9</v>
      </c>
      <c r="M1671">
        <f t="shared" si="26"/>
        <v>127</v>
      </c>
      <c r="N1671" t="b">
        <v>0</v>
      </c>
      <c r="O1671">
        <v>0</v>
      </c>
      <c r="Q1671">
        <v>0</v>
      </c>
      <c r="R1671" t="b">
        <v>0</v>
      </c>
    </row>
    <row r="1672" spans="1:18" hidden="1">
      <c r="A1672" t="s">
        <v>568</v>
      </c>
      <c r="B1672" t="s">
        <v>4364</v>
      </c>
      <c r="C1672" t="s">
        <v>4365</v>
      </c>
      <c r="E1672">
        <v>9</v>
      </c>
      <c r="F1672">
        <v>113</v>
      </c>
      <c r="G1672">
        <v>0</v>
      </c>
      <c r="H1672">
        <v>0</v>
      </c>
      <c r="J1672" t="s">
        <v>93</v>
      </c>
      <c r="K1672" t="b">
        <v>0</v>
      </c>
      <c r="L1672">
        <f t="shared" si="26"/>
        <v>9</v>
      </c>
      <c r="M1672">
        <f t="shared" si="26"/>
        <v>113</v>
      </c>
      <c r="N1672" t="b">
        <v>0</v>
      </c>
      <c r="O1672">
        <v>0</v>
      </c>
      <c r="Q1672">
        <v>0</v>
      </c>
      <c r="R1672" t="b">
        <v>0</v>
      </c>
    </row>
    <row r="1673" spans="1:18" hidden="1">
      <c r="A1673" t="s">
        <v>1293</v>
      </c>
      <c r="B1673" t="s">
        <v>4366</v>
      </c>
      <c r="C1673" t="s">
        <v>4367</v>
      </c>
      <c r="E1673">
        <v>5</v>
      </c>
      <c r="F1673">
        <v>73</v>
      </c>
      <c r="G1673">
        <v>4</v>
      </c>
      <c r="H1673">
        <v>23</v>
      </c>
      <c r="J1673" t="s">
        <v>93</v>
      </c>
      <c r="K1673" t="b">
        <v>0</v>
      </c>
      <c r="L1673">
        <f t="shared" si="26"/>
        <v>9</v>
      </c>
      <c r="M1673">
        <f t="shared" si="26"/>
        <v>96</v>
      </c>
      <c r="N1673" t="b">
        <v>0</v>
      </c>
      <c r="O1673">
        <v>0</v>
      </c>
      <c r="Q1673">
        <v>0</v>
      </c>
      <c r="R1673" t="b">
        <v>0</v>
      </c>
    </row>
    <row r="1674" spans="1:18" hidden="1">
      <c r="A1674" t="s">
        <v>1293</v>
      </c>
      <c r="B1674" t="s">
        <v>4368</v>
      </c>
      <c r="C1674" t="s">
        <v>4369</v>
      </c>
      <c r="E1674">
        <v>5</v>
      </c>
      <c r="F1674">
        <v>73</v>
      </c>
      <c r="G1674">
        <v>4</v>
      </c>
      <c r="H1674">
        <v>23</v>
      </c>
      <c r="J1674" t="s">
        <v>93</v>
      </c>
      <c r="K1674" t="b">
        <v>0</v>
      </c>
      <c r="L1674">
        <f t="shared" si="26"/>
        <v>9</v>
      </c>
      <c r="M1674">
        <f t="shared" si="26"/>
        <v>96</v>
      </c>
      <c r="N1674" t="b">
        <v>0</v>
      </c>
      <c r="O1674">
        <v>0</v>
      </c>
      <c r="Q1674">
        <v>0</v>
      </c>
      <c r="R1674" t="b">
        <v>0</v>
      </c>
    </row>
    <row r="1675" spans="1:18" hidden="1">
      <c r="A1675" t="s">
        <v>4370</v>
      </c>
      <c r="B1675" t="s">
        <v>4371</v>
      </c>
      <c r="C1675" t="s">
        <v>4372</v>
      </c>
      <c r="E1675">
        <v>7</v>
      </c>
      <c r="F1675">
        <v>72</v>
      </c>
      <c r="G1675">
        <v>2</v>
      </c>
      <c r="H1675">
        <v>8</v>
      </c>
      <c r="J1675" t="s">
        <v>93</v>
      </c>
      <c r="K1675" t="b">
        <v>0</v>
      </c>
      <c r="L1675">
        <f t="shared" si="26"/>
        <v>9</v>
      </c>
      <c r="M1675">
        <f t="shared" si="26"/>
        <v>80</v>
      </c>
      <c r="N1675" t="b">
        <v>0</v>
      </c>
      <c r="O1675">
        <v>0</v>
      </c>
      <c r="Q1675">
        <v>0</v>
      </c>
      <c r="R1675" t="b">
        <v>0</v>
      </c>
    </row>
    <row r="1676" spans="1:18" hidden="1">
      <c r="A1676" t="s">
        <v>4370</v>
      </c>
      <c r="B1676" t="s">
        <v>4373</v>
      </c>
      <c r="C1676" t="s">
        <v>4374</v>
      </c>
      <c r="E1676">
        <v>7</v>
      </c>
      <c r="F1676">
        <v>72</v>
      </c>
      <c r="G1676">
        <v>2</v>
      </c>
      <c r="H1676">
        <v>8</v>
      </c>
      <c r="J1676" t="s">
        <v>93</v>
      </c>
      <c r="K1676" t="b">
        <v>0</v>
      </c>
      <c r="L1676">
        <f t="shared" si="26"/>
        <v>9</v>
      </c>
      <c r="M1676">
        <f t="shared" si="26"/>
        <v>80</v>
      </c>
      <c r="N1676" t="b">
        <v>0</v>
      </c>
      <c r="O1676">
        <v>0</v>
      </c>
      <c r="Q1676">
        <v>0</v>
      </c>
      <c r="R1676" t="b">
        <v>0</v>
      </c>
    </row>
    <row r="1677" spans="1:18" hidden="1">
      <c r="A1677" t="s">
        <v>4370</v>
      </c>
      <c r="B1677" t="s">
        <v>4375</v>
      </c>
      <c r="C1677" t="s">
        <v>4376</v>
      </c>
      <c r="E1677">
        <v>7</v>
      </c>
      <c r="F1677">
        <v>72</v>
      </c>
      <c r="G1677">
        <v>2</v>
      </c>
      <c r="H1677">
        <v>8</v>
      </c>
      <c r="J1677" t="s">
        <v>93</v>
      </c>
      <c r="K1677" t="b">
        <v>0</v>
      </c>
      <c r="L1677">
        <f t="shared" si="26"/>
        <v>9</v>
      </c>
      <c r="M1677">
        <f t="shared" si="26"/>
        <v>80</v>
      </c>
      <c r="N1677" t="b">
        <v>0</v>
      </c>
      <c r="O1677">
        <v>0</v>
      </c>
      <c r="Q1677">
        <v>0</v>
      </c>
      <c r="R1677" t="b">
        <v>0</v>
      </c>
    </row>
    <row r="1678" spans="1:18" hidden="1">
      <c r="A1678" t="s">
        <v>4370</v>
      </c>
      <c r="B1678" t="s">
        <v>4377</v>
      </c>
      <c r="C1678" t="s">
        <v>4378</v>
      </c>
      <c r="E1678">
        <v>7</v>
      </c>
      <c r="F1678">
        <v>72</v>
      </c>
      <c r="G1678">
        <v>2</v>
      </c>
      <c r="H1678">
        <v>8</v>
      </c>
      <c r="J1678" t="s">
        <v>93</v>
      </c>
      <c r="K1678" t="b">
        <v>0</v>
      </c>
      <c r="L1678">
        <f t="shared" si="26"/>
        <v>9</v>
      </c>
      <c r="M1678">
        <f t="shared" si="26"/>
        <v>80</v>
      </c>
      <c r="N1678" t="b">
        <v>0</v>
      </c>
      <c r="O1678">
        <v>0</v>
      </c>
      <c r="Q1678">
        <v>0</v>
      </c>
      <c r="R1678" t="b">
        <v>0</v>
      </c>
    </row>
    <row r="1679" spans="1:18" hidden="1">
      <c r="A1679" t="s">
        <v>4370</v>
      </c>
      <c r="B1679" t="s">
        <v>4379</v>
      </c>
      <c r="C1679" t="s">
        <v>4380</v>
      </c>
      <c r="E1679">
        <v>7</v>
      </c>
      <c r="F1679">
        <v>71</v>
      </c>
      <c r="G1679">
        <v>2</v>
      </c>
      <c r="H1679">
        <v>8</v>
      </c>
      <c r="J1679" t="s">
        <v>93</v>
      </c>
      <c r="K1679" t="b">
        <v>0</v>
      </c>
      <c r="L1679">
        <f t="shared" si="26"/>
        <v>9</v>
      </c>
      <c r="M1679">
        <f t="shared" si="26"/>
        <v>79</v>
      </c>
      <c r="N1679" t="b">
        <v>0</v>
      </c>
      <c r="O1679">
        <v>0</v>
      </c>
      <c r="Q1679">
        <v>0</v>
      </c>
      <c r="R1679" t="b">
        <v>0</v>
      </c>
    </row>
    <row r="1680" spans="1:18" hidden="1">
      <c r="A1680" t="s">
        <v>4370</v>
      </c>
      <c r="B1680" t="s">
        <v>4381</v>
      </c>
      <c r="C1680" t="s">
        <v>4382</v>
      </c>
      <c r="E1680">
        <v>7</v>
      </c>
      <c r="F1680">
        <v>71</v>
      </c>
      <c r="G1680">
        <v>2</v>
      </c>
      <c r="H1680">
        <v>8</v>
      </c>
      <c r="J1680" t="s">
        <v>93</v>
      </c>
      <c r="K1680" t="b">
        <v>0</v>
      </c>
      <c r="L1680">
        <f t="shared" si="26"/>
        <v>9</v>
      </c>
      <c r="M1680">
        <f t="shared" si="26"/>
        <v>79</v>
      </c>
      <c r="N1680" t="b">
        <v>0</v>
      </c>
      <c r="O1680">
        <v>0</v>
      </c>
      <c r="Q1680">
        <v>0</v>
      </c>
      <c r="R1680" t="b">
        <v>0</v>
      </c>
    </row>
    <row r="1681" spans="1:18">
      <c r="A1681" t="s">
        <v>4383</v>
      </c>
      <c r="B1681" t="s">
        <v>4384</v>
      </c>
      <c r="C1681" t="s">
        <v>4385</v>
      </c>
      <c r="E1681">
        <v>0</v>
      </c>
      <c r="F1681">
        <v>0</v>
      </c>
      <c r="G1681">
        <v>9</v>
      </c>
      <c r="H1681">
        <v>51</v>
      </c>
      <c r="J1681" t="s">
        <v>22</v>
      </c>
      <c r="K1681" t="b">
        <v>1</v>
      </c>
      <c r="L1681">
        <f t="shared" si="26"/>
        <v>9</v>
      </c>
      <c r="M1681">
        <f t="shared" si="26"/>
        <v>51</v>
      </c>
      <c r="N1681" t="b">
        <v>0</v>
      </c>
      <c r="O1681">
        <v>1</v>
      </c>
      <c r="P1681" t="s">
        <v>33</v>
      </c>
      <c r="Q1681">
        <v>2</v>
      </c>
      <c r="R1681" t="b">
        <v>1</v>
      </c>
    </row>
    <row r="1682" spans="1:18" hidden="1">
      <c r="A1682" t="s">
        <v>2211</v>
      </c>
      <c r="B1682" t="s">
        <v>4386</v>
      </c>
      <c r="C1682" t="s">
        <v>4387</v>
      </c>
      <c r="E1682">
        <v>5</v>
      </c>
      <c r="F1682">
        <v>30</v>
      </c>
      <c r="G1682">
        <v>4</v>
      </c>
      <c r="H1682">
        <v>14</v>
      </c>
      <c r="J1682" t="s">
        <v>93</v>
      </c>
      <c r="K1682" t="b">
        <v>0</v>
      </c>
      <c r="L1682">
        <f t="shared" si="26"/>
        <v>9</v>
      </c>
      <c r="M1682">
        <f t="shared" si="26"/>
        <v>44</v>
      </c>
      <c r="N1682" t="b">
        <v>0</v>
      </c>
      <c r="O1682">
        <v>0</v>
      </c>
      <c r="Q1682">
        <v>0</v>
      </c>
      <c r="R1682" t="b">
        <v>0</v>
      </c>
    </row>
    <row r="1683" spans="1:18" hidden="1">
      <c r="A1683" t="s">
        <v>3810</v>
      </c>
      <c r="B1683" t="s">
        <v>4388</v>
      </c>
      <c r="C1683" t="s">
        <v>4389</v>
      </c>
      <c r="E1683">
        <v>9</v>
      </c>
      <c r="F1683">
        <v>30</v>
      </c>
      <c r="G1683">
        <v>0</v>
      </c>
      <c r="H1683">
        <v>0</v>
      </c>
      <c r="J1683" t="s">
        <v>93</v>
      </c>
      <c r="K1683" t="b">
        <v>0</v>
      </c>
      <c r="L1683">
        <f t="shared" si="26"/>
        <v>9</v>
      </c>
      <c r="M1683">
        <f t="shared" si="26"/>
        <v>30</v>
      </c>
      <c r="N1683" t="b">
        <v>0</v>
      </c>
      <c r="O1683">
        <v>0</v>
      </c>
      <c r="Q1683">
        <v>0</v>
      </c>
      <c r="R1683" t="b">
        <v>0</v>
      </c>
    </row>
    <row r="1684" spans="1:18" hidden="1">
      <c r="A1684" t="s">
        <v>3810</v>
      </c>
      <c r="B1684" t="s">
        <v>4390</v>
      </c>
      <c r="C1684" t="s">
        <v>4391</v>
      </c>
      <c r="E1684">
        <v>9</v>
      </c>
      <c r="F1684">
        <v>30</v>
      </c>
      <c r="G1684">
        <v>0</v>
      </c>
      <c r="H1684">
        <v>0</v>
      </c>
      <c r="J1684" t="s">
        <v>93</v>
      </c>
      <c r="K1684" t="b">
        <v>0</v>
      </c>
      <c r="L1684">
        <f t="shared" si="26"/>
        <v>9</v>
      </c>
      <c r="M1684">
        <f t="shared" si="26"/>
        <v>30</v>
      </c>
      <c r="N1684" t="b">
        <v>0</v>
      </c>
      <c r="O1684">
        <v>0</v>
      </c>
      <c r="Q1684">
        <v>0</v>
      </c>
      <c r="R1684" t="b">
        <v>0</v>
      </c>
    </row>
    <row r="1685" spans="1:18" hidden="1">
      <c r="A1685" t="s">
        <v>3810</v>
      </c>
      <c r="B1685" t="s">
        <v>4392</v>
      </c>
      <c r="C1685" t="s">
        <v>4393</v>
      </c>
      <c r="E1685">
        <v>9</v>
      </c>
      <c r="F1685">
        <v>30</v>
      </c>
      <c r="G1685">
        <v>0</v>
      </c>
      <c r="H1685">
        <v>0</v>
      </c>
      <c r="J1685" t="s">
        <v>93</v>
      </c>
      <c r="K1685" t="b">
        <v>0</v>
      </c>
      <c r="L1685">
        <f t="shared" si="26"/>
        <v>9</v>
      </c>
      <c r="M1685">
        <f t="shared" si="26"/>
        <v>30</v>
      </c>
      <c r="N1685" t="b">
        <v>0</v>
      </c>
      <c r="O1685">
        <v>0</v>
      </c>
      <c r="Q1685">
        <v>0</v>
      </c>
      <c r="R1685" t="b">
        <v>0</v>
      </c>
    </row>
    <row r="1686" spans="1:18" hidden="1">
      <c r="A1686" t="s">
        <v>3810</v>
      </c>
      <c r="B1686" t="s">
        <v>4394</v>
      </c>
      <c r="C1686" t="s">
        <v>4395</v>
      </c>
      <c r="E1686">
        <v>9</v>
      </c>
      <c r="F1686">
        <v>30</v>
      </c>
      <c r="G1686">
        <v>0</v>
      </c>
      <c r="H1686">
        <v>0</v>
      </c>
      <c r="J1686" t="s">
        <v>93</v>
      </c>
      <c r="K1686" t="b">
        <v>0</v>
      </c>
      <c r="L1686">
        <f t="shared" si="26"/>
        <v>9</v>
      </c>
      <c r="M1686">
        <f t="shared" si="26"/>
        <v>30</v>
      </c>
      <c r="N1686" t="b">
        <v>0</v>
      </c>
      <c r="O1686">
        <v>0</v>
      </c>
      <c r="Q1686">
        <v>0</v>
      </c>
      <c r="R1686" t="b">
        <v>0</v>
      </c>
    </row>
    <row r="1687" spans="1:18" hidden="1">
      <c r="A1687" t="s">
        <v>4396</v>
      </c>
      <c r="B1687" t="s">
        <v>4397</v>
      </c>
      <c r="C1687" t="s">
        <v>4398</v>
      </c>
      <c r="E1687">
        <v>2</v>
      </c>
      <c r="F1687">
        <v>8</v>
      </c>
      <c r="G1687">
        <v>7</v>
      </c>
      <c r="H1687">
        <v>17</v>
      </c>
      <c r="J1687" t="s">
        <v>93</v>
      </c>
      <c r="K1687" t="b">
        <v>0</v>
      </c>
      <c r="L1687">
        <f t="shared" si="26"/>
        <v>9</v>
      </c>
      <c r="M1687">
        <f t="shared" si="26"/>
        <v>25</v>
      </c>
      <c r="N1687" t="b">
        <v>0</v>
      </c>
      <c r="O1687">
        <v>0</v>
      </c>
      <c r="Q1687">
        <v>0</v>
      </c>
      <c r="R1687" t="b">
        <v>0</v>
      </c>
    </row>
    <row r="1688" spans="1:18" hidden="1">
      <c r="A1688" t="s">
        <v>4396</v>
      </c>
      <c r="B1688" t="s">
        <v>4399</v>
      </c>
      <c r="C1688" t="s">
        <v>4400</v>
      </c>
      <c r="E1688">
        <v>2</v>
      </c>
      <c r="F1688">
        <v>8</v>
      </c>
      <c r="G1688">
        <v>7</v>
      </c>
      <c r="H1688">
        <v>17</v>
      </c>
      <c r="J1688" t="s">
        <v>93</v>
      </c>
      <c r="K1688" t="b">
        <v>0</v>
      </c>
      <c r="L1688">
        <f t="shared" si="26"/>
        <v>9</v>
      </c>
      <c r="M1688">
        <f t="shared" si="26"/>
        <v>25</v>
      </c>
      <c r="N1688" t="b">
        <v>0</v>
      </c>
      <c r="O1688">
        <v>0</v>
      </c>
      <c r="Q1688">
        <v>0</v>
      </c>
      <c r="R1688" t="b">
        <v>0</v>
      </c>
    </row>
    <row r="1689" spans="1:18">
      <c r="A1689" t="s">
        <v>3478</v>
      </c>
      <c r="B1689" t="s">
        <v>4401</v>
      </c>
      <c r="C1689" t="s">
        <v>4402</v>
      </c>
      <c r="E1689">
        <v>6</v>
      </c>
      <c r="F1689">
        <v>22</v>
      </c>
      <c r="G1689">
        <v>3</v>
      </c>
      <c r="H1689">
        <v>7</v>
      </c>
      <c r="J1689" t="s">
        <v>22</v>
      </c>
      <c r="K1689" t="b">
        <v>1</v>
      </c>
      <c r="L1689">
        <f t="shared" si="26"/>
        <v>9</v>
      </c>
      <c r="M1689">
        <f t="shared" si="26"/>
        <v>29</v>
      </c>
      <c r="N1689" t="b">
        <v>0</v>
      </c>
      <c r="O1689">
        <v>1</v>
      </c>
      <c r="P1689" t="s">
        <v>4403</v>
      </c>
      <c r="Q1689">
        <v>2</v>
      </c>
      <c r="R1689" t="b">
        <v>1</v>
      </c>
    </row>
    <row r="1690" spans="1:18" hidden="1">
      <c r="A1690" t="s">
        <v>4404</v>
      </c>
      <c r="B1690" t="s">
        <v>4405</v>
      </c>
      <c r="C1690" t="s">
        <v>4406</v>
      </c>
      <c r="E1690">
        <v>8</v>
      </c>
      <c r="F1690">
        <v>13</v>
      </c>
      <c r="G1690">
        <v>1</v>
      </c>
      <c r="H1690">
        <v>2</v>
      </c>
      <c r="J1690" t="s">
        <v>93</v>
      </c>
      <c r="K1690" t="b">
        <v>0</v>
      </c>
      <c r="L1690">
        <f t="shared" si="26"/>
        <v>9</v>
      </c>
      <c r="M1690">
        <f t="shared" si="26"/>
        <v>15</v>
      </c>
      <c r="N1690" t="b">
        <v>0</v>
      </c>
      <c r="O1690">
        <v>0</v>
      </c>
      <c r="Q1690">
        <v>0</v>
      </c>
      <c r="R1690" t="b">
        <v>0</v>
      </c>
    </row>
    <row r="1691" spans="1:18" hidden="1">
      <c r="A1691" t="s">
        <v>1143</v>
      </c>
      <c r="B1691" t="s">
        <v>4407</v>
      </c>
      <c r="C1691" t="s">
        <v>4408</v>
      </c>
      <c r="E1691">
        <v>0</v>
      </c>
      <c r="F1691">
        <v>0</v>
      </c>
      <c r="G1691">
        <v>9</v>
      </c>
      <c r="H1691">
        <v>43</v>
      </c>
      <c r="J1691" t="s">
        <v>93</v>
      </c>
      <c r="K1691" t="b">
        <v>1</v>
      </c>
      <c r="L1691">
        <f t="shared" si="26"/>
        <v>9</v>
      </c>
      <c r="M1691">
        <f t="shared" si="26"/>
        <v>43</v>
      </c>
      <c r="N1691" t="b">
        <v>0</v>
      </c>
      <c r="O1691">
        <v>0</v>
      </c>
      <c r="Q1691">
        <v>0</v>
      </c>
      <c r="R1691" t="b">
        <v>0</v>
      </c>
    </row>
    <row r="1692" spans="1:18" hidden="1">
      <c r="A1692" t="s">
        <v>1143</v>
      </c>
      <c r="B1692" t="s">
        <v>4409</v>
      </c>
      <c r="C1692" t="s">
        <v>4410</v>
      </c>
      <c r="E1692">
        <v>0</v>
      </c>
      <c r="F1692">
        <v>0</v>
      </c>
      <c r="G1692">
        <v>9</v>
      </c>
      <c r="H1692">
        <v>43</v>
      </c>
      <c r="J1692" t="s">
        <v>93</v>
      </c>
      <c r="K1692" t="b">
        <v>1</v>
      </c>
      <c r="L1692">
        <f t="shared" si="26"/>
        <v>9</v>
      </c>
      <c r="M1692">
        <f t="shared" si="26"/>
        <v>43</v>
      </c>
      <c r="N1692" t="b">
        <v>0</v>
      </c>
      <c r="O1692">
        <v>0</v>
      </c>
      <c r="Q1692">
        <v>0</v>
      </c>
      <c r="R1692" t="b">
        <v>0</v>
      </c>
    </row>
    <row r="1693" spans="1:18">
      <c r="A1693" t="s">
        <v>1143</v>
      </c>
      <c r="B1693" t="s">
        <v>4411</v>
      </c>
      <c r="C1693" t="s">
        <v>4412</v>
      </c>
      <c r="E1693">
        <v>0</v>
      </c>
      <c r="F1693">
        <v>0</v>
      </c>
      <c r="G1693">
        <v>9</v>
      </c>
      <c r="H1693">
        <v>69</v>
      </c>
      <c r="J1693" t="s">
        <v>22</v>
      </c>
      <c r="K1693" t="b">
        <v>1</v>
      </c>
      <c r="L1693">
        <f t="shared" si="26"/>
        <v>9</v>
      </c>
      <c r="M1693">
        <f t="shared" si="26"/>
        <v>69</v>
      </c>
      <c r="N1693" t="b">
        <v>0</v>
      </c>
      <c r="O1693">
        <v>1</v>
      </c>
      <c r="P1693" t="s">
        <v>4413</v>
      </c>
      <c r="Q1693">
        <v>2</v>
      </c>
      <c r="R1693" t="b">
        <v>1</v>
      </c>
    </row>
    <row r="1694" spans="1:18" hidden="1">
      <c r="A1694" t="s">
        <v>1143</v>
      </c>
      <c r="B1694" t="s">
        <v>4414</v>
      </c>
      <c r="C1694" t="s">
        <v>4415</v>
      </c>
      <c r="E1694">
        <v>0</v>
      </c>
      <c r="F1694">
        <v>0</v>
      </c>
      <c r="G1694">
        <v>9</v>
      </c>
      <c r="H1694">
        <v>47</v>
      </c>
      <c r="J1694" t="s">
        <v>93</v>
      </c>
      <c r="K1694" t="b">
        <v>1</v>
      </c>
      <c r="L1694">
        <f t="shared" si="26"/>
        <v>9</v>
      </c>
      <c r="M1694">
        <f t="shared" si="26"/>
        <v>47</v>
      </c>
      <c r="N1694" t="b">
        <v>0</v>
      </c>
      <c r="O1694">
        <v>0</v>
      </c>
      <c r="Q1694">
        <v>0</v>
      </c>
      <c r="R1694" t="b">
        <v>0</v>
      </c>
    </row>
    <row r="1695" spans="1:18">
      <c r="A1695" t="s">
        <v>4383</v>
      </c>
      <c r="B1695" t="s">
        <v>4416</v>
      </c>
      <c r="C1695" t="s">
        <v>4417</v>
      </c>
      <c r="E1695">
        <v>0</v>
      </c>
      <c r="F1695">
        <v>0</v>
      </c>
      <c r="G1695">
        <v>9</v>
      </c>
      <c r="H1695">
        <v>51</v>
      </c>
      <c r="J1695" t="s">
        <v>22</v>
      </c>
      <c r="K1695" t="b">
        <v>1</v>
      </c>
      <c r="L1695">
        <f t="shared" si="26"/>
        <v>9</v>
      </c>
      <c r="M1695">
        <f t="shared" si="26"/>
        <v>51</v>
      </c>
      <c r="N1695" t="b">
        <v>0</v>
      </c>
      <c r="O1695">
        <v>1</v>
      </c>
      <c r="P1695" t="s">
        <v>1155</v>
      </c>
      <c r="Q1695">
        <v>2</v>
      </c>
      <c r="R1695" t="b">
        <v>1</v>
      </c>
    </row>
    <row r="1696" spans="1:18">
      <c r="A1696" t="s">
        <v>4383</v>
      </c>
      <c r="B1696" t="s">
        <v>4418</v>
      </c>
      <c r="C1696" t="s">
        <v>4419</v>
      </c>
      <c r="E1696">
        <v>0</v>
      </c>
      <c r="F1696">
        <v>0</v>
      </c>
      <c r="G1696">
        <v>9</v>
      </c>
      <c r="H1696">
        <v>51</v>
      </c>
      <c r="J1696" t="s">
        <v>22</v>
      </c>
      <c r="K1696" t="b">
        <v>1</v>
      </c>
      <c r="L1696">
        <f t="shared" si="26"/>
        <v>9</v>
      </c>
      <c r="M1696">
        <f t="shared" si="26"/>
        <v>51</v>
      </c>
      <c r="N1696" t="b">
        <v>0</v>
      </c>
      <c r="O1696">
        <v>0</v>
      </c>
      <c r="Q1696">
        <v>0</v>
      </c>
      <c r="R1696" t="b">
        <v>0</v>
      </c>
    </row>
    <row r="1697" spans="1:18">
      <c r="A1697" t="s">
        <v>4383</v>
      </c>
      <c r="B1697" t="s">
        <v>4420</v>
      </c>
      <c r="C1697" t="s">
        <v>4421</v>
      </c>
      <c r="E1697">
        <v>0</v>
      </c>
      <c r="F1697">
        <v>0</v>
      </c>
      <c r="G1697">
        <v>9</v>
      </c>
      <c r="H1697">
        <v>51</v>
      </c>
      <c r="J1697" t="s">
        <v>22</v>
      </c>
      <c r="K1697" t="b">
        <v>1</v>
      </c>
      <c r="L1697">
        <f t="shared" si="26"/>
        <v>9</v>
      </c>
      <c r="M1697">
        <f t="shared" si="26"/>
        <v>51</v>
      </c>
      <c r="N1697" t="b">
        <v>0</v>
      </c>
      <c r="O1697">
        <v>1</v>
      </c>
      <c r="P1697" t="s">
        <v>1150</v>
      </c>
      <c r="Q1697">
        <v>2</v>
      </c>
      <c r="R1697" t="b">
        <v>1</v>
      </c>
    </row>
    <row r="1698" spans="1:18">
      <c r="A1698" t="s">
        <v>4383</v>
      </c>
      <c r="B1698" t="s">
        <v>4422</v>
      </c>
      <c r="C1698" t="s">
        <v>4423</v>
      </c>
      <c r="E1698">
        <v>0</v>
      </c>
      <c r="F1698">
        <v>0</v>
      </c>
      <c r="G1698">
        <v>9</v>
      </c>
      <c r="H1698">
        <v>51</v>
      </c>
      <c r="J1698" t="s">
        <v>22</v>
      </c>
      <c r="K1698" t="b">
        <v>1</v>
      </c>
      <c r="L1698">
        <f t="shared" si="26"/>
        <v>9</v>
      </c>
      <c r="M1698">
        <f t="shared" si="26"/>
        <v>51</v>
      </c>
      <c r="N1698" t="b">
        <v>0</v>
      </c>
      <c r="O1698">
        <v>0</v>
      </c>
      <c r="Q1698">
        <v>0</v>
      </c>
      <c r="R1698" t="b">
        <v>0</v>
      </c>
    </row>
    <row r="1699" spans="1:18">
      <c r="A1699" t="s">
        <v>1334</v>
      </c>
      <c r="B1699" t="s">
        <v>4424</v>
      </c>
      <c r="C1699" t="s">
        <v>4425</v>
      </c>
      <c r="E1699">
        <v>7</v>
      </c>
      <c r="F1699">
        <v>45</v>
      </c>
      <c r="G1699">
        <v>2</v>
      </c>
      <c r="H1699">
        <v>2</v>
      </c>
      <c r="J1699" t="s">
        <v>22</v>
      </c>
      <c r="K1699" t="b">
        <v>1</v>
      </c>
      <c r="L1699">
        <f t="shared" si="26"/>
        <v>9</v>
      </c>
      <c r="M1699">
        <f t="shared" si="26"/>
        <v>47</v>
      </c>
      <c r="N1699" t="b">
        <v>0</v>
      </c>
      <c r="O1699">
        <v>1</v>
      </c>
      <c r="P1699" t="s">
        <v>4426</v>
      </c>
      <c r="Q1699">
        <v>1</v>
      </c>
      <c r="R1699" t="b">
        <v>1</v>
      </c>
    </row>
    <row r="1700" spans="1:18" hidden="1">
      <c r="A1700" t="s">
        <v>3015</v>
      </c>
      <c r="B1700" t="s">
        <v>4427</v>
      </c>
      <c r="C1700" t="s">
        <v>4428</v>
      </c>
      <c r="E1700">
        <v>5</v>
      </c>
      <c r="F1700">
        <v>3</v>
      </c>
      <c r="G1700">
        <v>4</v>
      </c>
      <c r="H1700">
        <v>6</v>
      </c>
      <c r="J1700" t="s">
        <v>93</v>
      </c>
      <c r="K1700" t="b">
        <v>0</v>
      </c>
      <c r="L1700">
        <f t="shared" si="26"/>
        <v>9</v>
      </c>
      <c r="M1700">
        <f t="shared" si="26"/>
        <v>9</v>
      </c>
      <c r="N1700" t="b">
        <v>0</v>
      </c>
      <c r="O1700">
        <v>0</v>
      </c>
      <c r="Q1700">
        <v>0</v>
      </c>
      <c r="R1700" t="b">
        <v>0</v>
      </c>
    </row>
    <row r="1701" spans="1:18" hidden="1">
      <c r="A1701" t="s">
        <v>3015</v>
      </c>
      <c r="B1701" t="s">
        <v>4429</v>
      </c>
      <c r="C1701" t="s">
        <v>4430</v>
      </c>
      <c r="E1701">
        <v>5</v>
      </c>
      <c r="F1701">
        <v>3</v>
      </c>
      <c r="G1701">
        <v>4</v>
      </c>
      <c r="H1701">
        <v>6</v>
      </c>
      <c r="J1701" t="s">
        <v>93</v>
      </c>
      <c r="K1701" t="b">
        <v>0</v>
      </c>
      <c r="L1701">
        <f t="shared" si="26"/>
        <v>9</v>
      </c>
      <c r="M1701">
        <f t="shared" si="26"/>
        <v>9</v>
      </c>
      <c r="N1701" t="b">
        <v>0</v>
      </c>
      <c r="O1701">
        <v>0</v>
      </c>
      <c r="Q1701">
        <v>0</v>
      </c>
      <c r="R1701" t="b">
        <v>0</v>
      </c>
    </row>
    <row r="1702" spans="1:18" hidden="1">
      <c r="A1702" t="s">
        <v>3015</v>
      </c>
      <c r="B1702" t="s">
        <v>4431</v>
      </c>
      <c r="C1702" t="s">
        <v>4432</v>
      </c>
      <c r="E1702">
        <v>5</v>
      </c>
      <c r="F1702">
        <v>3</v>
      </c>
      <c r="G1702">
        <v>4</v>
      </c>
      <c r="H1702">
        <v>6</v>
      </c>
      <c r="J1702" t="s">
        <v>93</v>
      </c>
      <c r="K1702" t="b">
        <v>0</v>
      </c>
      <c r="L1702">
        <f t="shared" si="26"/>
        <v>9</v>
      </c>
      <c r="M1702">
        <f t="shared" si="26"/>
        <v>9</v>
      </c>
      <c r="N1702" t="b">
        <v>0</v>
      </c>
      <c r="O1702">
        <v>0</v>
      </c>
      <c r="Q1702">
        <v>0</v>
      </c>
      <c r="R1702" t="b">
        <v>0</v>
      </c>
    </row>
    <row r="1703" spans="1:18" hidden="1">
      <c r="A1703" t="s">
        <v>1384</v>
      </c>
      <c r="B1703" t="s">
        <v>4433</v>
      </c>
      <c r="C1703" t="s">
        <v>4434</v>
      </c>
      <c r="E1703">
        <v>6</v>
      </c>
      <c r="F1703">
        <v>8</v>
      </c>
      <c r="G1703">
        <v>3</v>
      </c>
      <c r="H1703">
        <v>7</v>
      </c>
      <c r="J1703" t="s">
        <v>93</v>
      </c>
      <c r="K1703" t="b">
        <v>1</v>
      </c>
      <c r="L1703">
        <f t="shared" si="26"/>
        <v>9</v>
      </c>
      <c r="M1703">
        <f t="shared" si="26"/>
        <v>15</v>
      </c>
      <c r="N1703" t="b">
        <v>0</v>
      </c>
      <c r="O1703">
        <v>0</v>
      </c>
      <c r="Q1703">
        <v>0</v>
      </c>
      <c r="R1703" t="b">
        <v>0</v>
      </c>
    </row>
    <row r="1704" spans="1:18" hidden="1">
      <c r="A1704" t="s">
        <v>87</v>
      </c>
      <c r="B1704" t="s">
        <v>4435</v>
      </c>
      <c r="C1704" s="2" t="s">
        <v>4436</v>
      </c>
      <c r="D1704" s="2" t="s">
        <v>92</v>
      </c>
      <c r="E1704">
        <v>9</v>
      </c>
      <c r="F1704">
        <v>87</v>
      </c>
      <c r="G1704">
        <v>0</v>
      </c>
      <c r="H1704">
        <v>0</v>
      </c>
      <c r="J1704" t="s">
        <v>93</v>
      </c>
      <c r="K1704" t="b">
        <v>1</v>
      </c>
      <c r="L1704">
        <f t="shared" si="26"/>
        <v>9</v>
      </c>
      <c r="M1704">
        <f t="shared" si="26"/>
        <v>87</v>
      </c>
      <c r="N1704" t="b">
        <v>0</v>
      </c>
      <c r="O1704">
        <v>0</v>
      </c>
      <c r="Q1704">
        <v>0</v>
      </c>
      <c r="R1704" t="b">
        <v>0</v>
      </c>
    </row>
    <row r="1705" spans="1:18" hidden="1">
      <c r="A1705" t="s">
        <v>87</v>
      </c>
      <c r="B1705" t="s">
        <v>4437</v>
      </c>
      <c r="C1705" t="s">
        <v>4438</v>
      </c>
      <c r="D1705" s="2" t="s">
        <v>92</v>
      </c>
      <c r="E1705">
        <v>9</v>
      </c>
      <c r="F1705">
        <v>87</v>
      </c>
      <c r="G1705">
        <v>0</v>
      </c>
      <c r="H1705">
        <v>0</v>
      </c>
      <c r="J1705" t="s">
        <v>93</v>
      </c>
      <c r="K1705" t="b">
        <v>1</v>
      </c>
      <c r="L1705">
        <f t="shared" si="26"/>
        <v>9</v>
      </c>
      <c r="M1705">
        <f t="shared" si="26"/>
        <v>87</v>
      </c>
      <c r="N1705" t="b">
        <v>0</v>
      </c>
      <c r="O1705">
        <v>0</v>
      </c>
      <c r="Q1705">
        <v>0</v>
      </c>
      <c r="R1705" t="b">
        <v>0</v>
      </c>
    </row>
    <row r="1706" spans="1:18" hidden="1">
      <c r="A1706" t="s">
        <v>2901</v>
      </c>
      <c r="B1706" t="s">
        <v>4439</v>
      </c>
      <c r="C1706" t="s">
        <v>4440</v>
      </c>
      <c r="E1706">
        <v>4</v>
      </c>
      <c r="F1706">
        <v>0</v>
      </c>
      <c r="G1706">
        <v>5</v>
      </c>
      <c r="H1706">
        <v>6</v>
      </c>
      <c r="J1706" t="s">
        <v>93</v>
      </c>
      <c r="K1706" t="b">
        <v>0</v>
      </c>
      <c r="L1706">
        <f t="shared" si="26"/>
        <v>9</v>
      </c>
      <c r="M1706">
        <f t="shared" si="26"/>
        <v>6</v>
      </c>
      <c r="N1706" t="b">
        <v>1</v>
      </c>
      <c r="O1706">
        <v>0</v>
      </c>
      <c r="Q1706">
        <v>0</v>
      </c>
      <c r="R1706" t="b">
        <v>0</v>
      </c>
    </row>
    <row r="1707" spans="1:18">
      <c r="A1707" t="s">
        <v>1167</v>
      </c>
      <c r="B1707" t="s">
        <v>4441</v>
      </c>
      <c r="C1707" t="s">
        <v>4442</v>
      </c>
      <c r="E1707">
        <v>9</v>
      </c>
      <c r="F1707">
        <v>10</v>
      </c>
      <c r="G1707">
        <v>0</v>
      </c>
      <c r="H1707">
        <v>0</v>
      </c>
      <c r="J1707" t="s">
        <v>22</v>
      </c>
      <c r="K1707" t="b">
        <v>1</v>
      </c>
      <c r="L1707">
        <f t="shared" si="26"/>
        <v>9</v>
      </c>
      <c r="M1707">
        <f t="shared" si="26"/>
        <v>10</v>
      </c>
      <c r="N1707" t="b">
        <v>0</v>
      </c>
      <c r="O1707">
        <v>1</v>
      </c>
      <c r="P1707" t="s">
        <v>4443</v>
      </c>
      <c r="Q1707">
        <v>2</v>
      </c>
      <c r="R1707" t="b">
        <v>1</v>
      </c>
    </row>
    <row r="1708" spans="1:18" hidden="1">
      <c r="A1708" t="s">
        <v>19</v>
      </c>
      <c r="B1708" t="s">
        <v>4444</v>
      </c>
      <c r="C1708" t="s">
        <v>4445</v>
      </c>
      <c r="E1708">
        <v>5</v>
      </c>
      <c r="F1708">
        <v>26</v>
      </c>
      <c r="G1708">
        <v>4</v>
      </c>
      <c r="H1708">
        <v>15</v>
      </c>
      <c r="J1708" t="s">
        <v>93</v>
      </c>
      <c r="K1708" t="b">
        <v>1</v>
      </c>
      <c r="L1708">
        <f t="shared" si="26"/>
        <v>9</v>
      </c>
      <c r="M1708">
        <f t="shared" si="26"/>
        <v>41</v>
      </c>
      <c r="N1708" t="b">
        <v>0</v>
      </c>
      <c r="O1708">
        <v>0</v>
      </c>
      <c r="Q1708">
        <v>0</v>
      </c>
      <c r="R1708" t="b">
        <v>0</v>
      </c>
    </row>
    <row r="1709" spans="1:18">
      <c r="A1709" t="s">
        <v>19</v>
      </c>
      <c r="B1709" t="s">
        <v>4446</v>
      </c>
      <c r="C1709" t="s">
        <v>4447</v>
      </c>
      <c r="E1709">
        <v>5</v>
      </c>
      <c r="F1709">
        <v>175</v>
      </c>
      <c r="G1709">
        <v>4</v>
      </c>
      <c r="H1709">
        <v>7</v>
      </c>
      <c r="J1709" t="s">
        <v>22</v>
      </c>
      <c r="K1709" t="b">
        <v>1</v>
      </c>
      <c r="L1709">
        <f t="shared" si="26"/>
        <v>9</v>
      </c>
      <c r="M1709">
        <f t="shared" si="26"/>
        <v>182</v>
      </c>
      <c r="N1709" t="b">
        <v>0</v>
      </c>
      <c r="O1709">
        <v>1</v>
      </c>
      <c r="P1709" t="s">
        <v>4448</v>
      </c>
      <c r="Q1709">
        <v>2</v>
      </c>
      <c r="R1709" t="b">
        <v>1</v>
      </c>
    </row>
    <row r="1710" spans="1:18" hidden="1">
      <c r="A1710" t="s">
        <v>438</v>
      </c>
      <c r="B1710" t="s">
        <v>4449</v>
      </c>
      <c r="C1710" t="s">
        <v>4450</v>
      </c>
      <c r="E1710">
        <v>6</v>
      </c>
      <c r="F1710">
        <v>2</v>
      </c>
      <c r="G1710">
        <v>2</v>
      </c>
      <c r="H1710">
        <v>4</v>
      </c>
      <c r="J1710" t="s">
        <v>93</v>
      </c>
      <c r="K1710" t="b">
        <v>1</v>
      </c>
      <c r="L1710">
        <f t="shared" si="26"/>
        <v>8</v>
      </c>
      <c r="M1710">
        <f t="shared" si="26"/>
        <v>6</v>
      </c>
      <c r="N1710" t="b">
        <v>0</v>
      </c>
      <c r="O1710">
        <v>0</v>
      </c>
      <c r="Q1710">
        <v>0</v>
      </c>
      <c r="R1710" t="b">
        <v>0</v>
      </c>
    </row>
    <row r="1711" spans="1:18">
      <c r="A1711" t="s">
        <v>235</v>
      </c>
      <c r="B1711" t="s">
        <v>4451</v>
      </c>
      <c r="C1711" t="s">
        <v>4452</v>
      </c>
      <c r="E1711">
        <v>8</v>
      </c>
      <c r="F1711">
        <v>210</v>
      </c>
      <c r="G1711">
        <v>0</v>
      </c>
      <c r="H1711">
        <v>0</v>
      </c>
      <c r="J1711" t="s">
        <v>22</v>
      </c>
      <c r="K1711" t="b">
        <v>1</v>
      </c>
      <c r="L1711">
        <f t="shared" si="26"/>
        <v>8</v>
      </c>
      <c r="M1711">
        <f t="shared" si="26"/>
        <v>210</v>
      </c>
      <c r="N1711" t="b">
        <v>0</v>
      </c>
      <c r="O1711">
        <v>1</v>
      </c>
      <c r="P1711" t="s">
        <v>4453</v>
      </c>
      <c r="Q1711">
        <v>2</v>
      </c>
      <c r="R1711" t="b">
        <v>1</v>
      </c>
    </row>
    <row r="1712" spans="1:18">
      <c r="A1712" t="s">
        <v>1191</v>
      </c>
      <c r="B1712" t="s">
        <v>4454</v>
      </c>
      <c r="C1712" t="s">
        <v>4455</v>
      </c>
      <c r="E1712">
        <v>7</v>
      </c>
      <c r="F1712">
        <v>10</v>
      </c>
      <c r="G1712">
        <v>1</v>
      </c>
      <c r="H1712">
        <v>2</v>
      </c>
      <c r="J1712" t="s">
        <v>22</v>
      </c>
      <c r="K1712" t="b">
        <v>1</v>
      </c>
      <c r="L1712">
        <f t="shared" si="26"/>
        <v>8</v>
      </c>
      <c r="M1712">
        <f t="shared" si="26"/>
        <v>12</v>
      </c>
      <c r="N1712" t="b">
        <v>0</v>
      </c>
      <c r="O1712">
        <v>1</v>
      </c>
      <c r="P1712" t="s">
        <v>4456</v>
      </c>
      <c r="Q1712">
        <v>2</v>
      </c>
      <c r="R1712" t="b">
        <v>1</v>
      </c>
    </row>
    <row r="1713" spans="1:18" hidden="1">
      <c r="A1713" t="s">
        <v>1191</v>
      </c>
      <c r="B1713" t="s">
        <v>4457</v>
      </c>
      <c r="C1713" t="s">
        <v>4458</v>
      </c>
      <c r="E1713">
        <v>5</v>
      </c>
      <c r="F1713">
        <v>27</v>
      </c>
      <c r="G1713">
        <v>3</v>
      </c>
      <c r="H1713">
        <v>6</v>
      </c>
      <c r="J1713" t="s">
        <v>93</v>
      </c>
      <c r="K1713" t="b">
        <v>1</v>
      </c>
      <c r="L1713">
        <f t="shared" si="26"/>
        <v>8</v>
      </c>
      <c r="M1713">
        <f t="shared" si="26"/>
        <v>33</v>
      </c>
      <c r="N1713" t="b">
        <v>0</v>
      </c>
      <c r="O1713">
        <v>0</v>
      </c>
      <c r="Q1713">
        <v>0</v>
      </c>
      <c r="R1713" t="b">
        <v>0</v>
      </c>
    </row>
    <row r="1714" spans="1:18">
      <c r="A1714" t="s">
        <v>1191</v>
      </c>
      <c r="B1714" t="s">
        <v>4459</v>
      </c>
      <c r="C1714" t="s">
        <v>4460</v>
      </c>
      <c r="E1714">
        <v>5</v>
      </c>
      <c r="F1714">
        <v>27</v>
      </c>
      <c r="G1714">
        <v>3</v>
      </c>
      <c r="H1714">
        <v>6</v>
      </c>
      <c r="J1714" t="s">
        <v>22</v>
      </c>
      <c r="K1714" t="b">
        <v>1</v>
      </c>
      <c r="L1714">
        <f t="shared" si="26"/>
        <v>8</v>
      </c>
      <c r="M1714">
        <f t="shared" si="26"/>
        <v>33</v>
      </c>
      <c r="N1714" t="b">
        <v>0</v>
      </c>
      <c r="O1714">
        <v>1</v>
      </c>
      <c r="P1714" t="s">
        <v>4461</v>
      </c>
      <c r="Q1714">
        <v>2</v>
      </c>
      <c r="R1714" t="b">
        <v>1</v>
      </c>
    </row>
    <row r="1715" spans="1:18">
      <c r="A1715" t="s">
        <v>1191</v>
      </c>
      <c r="B1715" t="s">
        <v>4462</v>
      </c>
      <c r="C1715" t="s">
        <v>4463</v>
      </c>
      <c r="E1715">
        <v>6</v>
      </c>
      <c r="F1715">
        <v>10</v>
      </c>
      <c r="G1715">
        <v>2</v>
      </c>
      <c r="H1715">
        <v>4</v>
      </c>
      <c r="J1715" t="s">
        <v>22</v>
      </c>
      <c r="K1715" t="b">
        <v>1</v>
      </c>
      <c r="L1715">
        <f t="shared" si="26"/>
        <v>8</v>
      </c>
      <c r="M1715">
        <f t="shared" si="26"/>
        <v>14</v>
      </c>
      <c r="N1715" t="b">
        <v>0</v>
      </c>
      <c r="O1715">
        <v>1</v>
      </c>
      <c r="P1715" t="s">
        <v>4464</v>
      </c>
      <c r="Q1715">
        <v>2</v>
      </c>
      <c r="R1715" t="b">
        <v>1</v>
      </c>
    </row>
    <row r="1716" spans="1:18">
      <c r="A1716" t="s">
        <v>1418</v>
      </c>
      <c r="B1716" t="s">
        <v>4465</v>
      </c>
      <c r="C1716" t="s">
        <v>4466</v>
      </c>
      <c r="E1716">
        <v>5</v>
      </c>
      <c r="F1716">
        <v>5</v>
      </c>
      <c r="G1716">
        <v>3</v>
      </c>
      <c r="H1716">
        <v>12</v>
      </c>
      <c r="J1716" t="s">
        <v>22</v>
      </c>
      <c r="K1716" t="b">
        <v>1</v>
      </c>
      <c r="L1716">
        <f t="shared" si="26"/>
        <v>8</v>
      </c>
      <c r="M1716">
        <f t="shared" si="26"/>
        <v>17</v>
      </c>
      <c r="N1716" t="b">
        <v>0</v>
      </c>
      <c r="O1716">
        <v>1</v>
      </c>
      <c r="P1716" t="s">
        <v>1816</v>
      </c>
      <c r="Q1716">
        <v>2</v>
      </c>
      <c r="R1716" t="b">
        <v>1</v>
      </c>
    </row>
    <row r="1717" spans="1:18" hidden="1">
      <c r="A1717" t="s">
        <v>372</v>
      </c>
      <c r="B1717" t="s">
        <v>4467</v>
      </c>
      <c r="C1717" t="s">
        <v>4468</v>
      </c>
      <c r="E1717">
        <v>7</v>
      </c>
      <c r="F1717">
        <v>7</v>
      </c>
      <c r="G1717">
        <v>1</v>
      </c>
      <c r="H1717">
        <v>2</v>
      </c>
      <c r="J1717" t="s">
        <v>93</v>
      </c>
      <c r="K1717" t="b">
        <v>1</v>
      </c>
      <c r="L1717">
        <f t="shared" si="26"/>
        <v>8</v>
      </c>
      <c r="M1717">
        <f t="shared" si="26"/>
        <v>9</v>
      </c>
      <c r="N1717" t="b">
        <v>0</v>
      </c>
      <c r="O1717">
        <v>0</v>
      </c>
      <c r="Q1717">
        <v>0</v>
      </c>
      <c r="R1717" t="b">
        <v>0</v>
      </c>
    </row>
    <row r="1718" spans="1:18" hidden="1">
      <c r="A1718" t="s">
        <v>3801</v>
      </c>
      <c r="B1718" t="s">
        <v>4469</v>
      </c>
      <c r="C1718" s="2" t="s">
        <v>4470</v>
      </c>
      <c r="D1718" s="2"/>
      <c r="E1718">
        <v>5</v>
      </c>
      <c r="F1718">
        <v>8</v>
      </c>
      <c r="G1718">
        <v>3</v>
      </c>
      <c r="H1718">
        <v>44</v>
      </c>
      <c r="J1718" t="s">
        <v>93</v>
      </c>
      <c r="K1718" t="b">
        <v>1</v>
      </c>
      <c r="L1718">
        <f t="shared" si="26"/>
        <v>8</v>
      </c>
      <c r="M1718">
        <f t="shared" si="26"/>
        <v>52</v>
      </c>
      <c r="N1718" t="b">
        <v>0</v>
      </c>
      <c r="O1718">
        <v>0</v>
      </c>
      <c r="Q1718">
        <v>0</v>
      </c>
      <c r="R1718" t="b">
        <v>0</v>
      </c>
    </row>
    <row r="1719" spans="1:18" hidden="1">
      <c r="A1719" t="s">
        <v>3801</v>
      </c>
      <c r="B1719" t="s">
        <v>4471</v>
      </c>
      <c r="C1719" t="s">
        <v>4472</v>
      </c>
      <c r="E1719">
        <v>5</v>
      </c>
      <c r="F1719">
        <v>8</v>
      </c>
      <c r="G1719">
        <v>3</v>
      </c>
      <c r="H1719">
        <v>44</v>
      </c>
      <c r="J1719" t="s">
        <v>93</v>
      </c>
      <c r="K1719" t="b">
        <v>1</v>
      </c>
      <c r="L1719">
        <f t="shared" si="26"/>
        <v>8</v>
      </c>
      <c r="M1719">
        <f t="shared" si="26"/>
        <v>52</v>
      </c>
      <c r="N1719" t="b">
        <v>0</v>
      </c>
      <c r="O1719">
        <v>0</v>
      </c>
      <c r="Q1719">
        <v>0</v>
      </c>
      <c r="R1719" t="b">
        <v>0</v>
      </c>
    </row>
    <row r="1720" spans="1:18" hidden="1">
      <c r="A1720" t="s">
        <v>3801</v>
      </c>
      <c r="B1720" t="s">
        <v>4473</v>
      </c>
      <c r="C1720" t="s">
        <v>4474</v>
      </c>
      <c r="E1720">
        <v>5</v>
      </c>
      <c r="F1720">
        <v>8</v>
      </c>
      <c r="G1720">
        <v>3</v>
      </c>
      <c r="H1720">
        <v>44</v>
      </c>
      <c r="J1720" t="s">
        <v>93</v>
      </c>
      <c r="K1720" t="b">
        <v>1</v>
      </c>
      <c r="L1720">
        <f t="shared" si="26"/>
        <v>8</v>
      </c>
      <c r="M1720">
        <f t="shared" si="26"/>
        <v>52</v>
      </c>
      <c r="N1720" t="b">
        <v>0</v>
      </c>
      <c r="O1720">
        <v>0</v>
      </c>
      <c r="Q1720">
        <v>0</v>
      </c>
      <c r="R1720" t="b">
        <v>0</v>
      </c>
    </row>
    <row r="1721" spans="1:18" hidden="1">
      <c r="A1721" t="s">
        <v>1224</v>
      </c>
      <c r="B1721" t="s">
        <v>4475</v>
      </c>
      <c r="C1721" t="s">
        <v>4476</v>
      </c>
      <c r="E1721">
        <v>8</v>
      </c>
      <c r="F1721">
        <v>34</v>
      </c>
      <c r="G1721">
        <v>0</v>
      </c>
      <c r="H1721">
        <v>0</v>
      </c>
      <c r="J1721" t="s">
        <v>93</v>
      </c>
      <c r="K1721" t="b">
        <v>1</v>
      </c>
      <c r="L1721">
        <f t="shared" si="26"/>
        <v>8</v>
      </c>
      <c r="M1721">
        <f t="shared" si="26"/>
        <v>34</v>
      </c>
      <c r="N1721" t="b">
        <v>0</v>
      </c>
      <c r="O1721">
        <v>0</v>
      </c>
      <c r="Q1721">
        <v>0</v>
      </c>
      <c r="R1721" t="b">
        <v>0</v>
      </c>
    </row>
    <row r="1722" spans="1:18" hidden="1">
      <c r="A1722" t="s">
        <v>1224</v>
      </c>
      <c r="B1722" t="s">
        <v>4477</v>
      </c>
      <c r="C1722" t="s">
        <v>4478</v>
      </c>
      <c r="E1722">
        <v>8</v>
      </c>
      <c r="F1722">
        <v>53</v>
      </c>
      <c r="G1722">
        <v>0</v>
      </c>
      <c r="H1722">
        <v>0</v>
      </c>
      <c r="J1722" t="s">
        <v>93</v>
      </c>
      <c r="K1722" t="b">
        <v>1</v>
      </c>
      <c r="L1722">
        <f t="shared" si="26"/>
        <v>8</v>
      </c>
      <c r="M1722">
        <f t="shared" si="26"/>
        <v>53</v>
      </c>
      <c r="N1722" t="b">
        <v>0</v>
      </c>
      <c r="O1722">
        <v>0</v>
      </c>
      <c r="Q1722">
        <v>0</v>
      </c>
      <c r="R1722" t="b">
        <v>0</v>
      </c>
    </row>
    <row r="1723" spans="1:18" hidden="1">
      <c r="A1723" t="s">
        <v>24</v>
      </c>
      <c r="B1723" t="s">
        <v>4479</v>
      </c>
      <c r="C1723" t="s">
        <v>4480</v>
      </c>
      <c r="E1723">
        <v>6</v>
      </c>
      <c r="F1723">
        <v>9</v>
      </c>
      <c r="G1723">
        <v>2</v>
      </c>
      <c r="H1723">
        <v>5</v>
      </c>
      <c r="J1723" t="s">
        <v>93</v>
      </c>
      <c r="K1723" t="b">
        <v>1</v>
      </c>
      <c r="L1723">
        <f t="shared" si="26"/>
        <v>8</v>
      </c>
      <c r="M1723">
        <f t="shared" si="26"/>
        <v>14</v>
      </c>
      <c r="N1723" t="b">
        <v>0</v>
      </c>
      <c r="O1723">
        <v>0</v>
      </c>
      <c r="Q1723">
        <v>0</v>
      </c>
      <c r="R1723" t="b">
        <v>0</v>
      </c>
    </row>
    <row r="1724" spans="1:18" hidden="1">
      <c r="A1724" t="s">
        <v>24</v>
      </c>
      <c r="B1724" t="s">
        <v>4481</v>
      </c>
      <c r="C1724" t="s">
        <v>4482</v>
      </c>
      <c r="E1724">
        <v>7</v>
      </c>
      <c r="F1724">
        <v>107</v>
      </c>
      <c r="G1724">
        <v>1</v>
      </c>
      <c r="H1724">
        <v>1</v>
      </c>
      <c r="J1724" t="s">
        <v>93</v>
      </c>
      <c r="K1724" t="b">
        <v>1</v>
      </c>
      <c r="L1724">
        <f t="shared" si="26"/>
        <v>8</v>
      </c>
      <c r="M1724">
        <f t="shared" si="26"/>
        <v>108</v>
      </c>
      <c r="N1724" t="b">
        <v>0</v>
      </c>
      <c r="O1724">
        <v>0</v>
      </c>
      <c r="Q1724">
        <v>0</v>
      </c>
      <c r="R1724" t="b">
        <v>0</v>
      </c>
    </row>
    <row r="1725" spans="1:18" hidden="1">
      <c r="A1725" t="s">
        <v>24</v>
      </c>
      <c r="B1725" t="s">
        <v>4483</v>
      </c>
      <c r="C1725" t="s">
        <v>4484</v>
      </c>
      <c r="E1725">
        <v>2</v>
      </c>
      <c r="F1725">
        <v>4</v>
      </c>
      <c r="G1725">
        <v>6</v>
      </c>
      <c r="H1725">
        <v>17</v>
      </c>
      <c r="J1725" t="s">
        <v>93</v>
      </c>
      <c r="K1725" t="b">
        <v>1</v>
      </c>
      <c r="L1725">
        <f t="shared" si="26"/>
        <v>8</v>
      </c>
      <c r="M1725">
        <f t="shared" si="26"/>
        <v>21</v>
      </c>
      <c r="N1725" t="b">
        <v>0</v>
      </c>
      <c r="O1725">
        <v>0</v>
      </c>
      <c r="Q1725">
        <v>0</v>
      </c>
      <c r="R1725" t="b">
        <v>0</v>
      </c>
    </row>
    <row r="1726" spans="1:18">
      <c r="A1726" t="s">
        <v>854</v>
      </c>
      <c r="B1726" t="s">
        <v>4485</v>
      </c>
      <c r="C1726" t="s">
        <v>4486</v>
      </c>
      <c r="E1726">
        <v>8</v>
      </c>
      <c r="F1726">
        <v>29</v>
      </c>
      <c r="G1726">
        <v>0</v>
      </c>
      <c r="H1726">
        <v>0</v>
      </c>
      <c r="J1726" t="s">
        <v>22</v>
      </c>
      <c r="K1726" t="b">
        <v>1</v>
      </c>
      <c r="L1726">
        <f t="shared" si="26"/>
        <v>8</v>
      </c>
      <c r="M1726">
        <f t="shared" si="26"/>
        <v>29</v>
      </c>
      <c r="N1726" t="b">
        <v>0</v>
      </c>
      <c r="O1726">
        <v>1</v>
      </c>
      <c r="P1726" t="s">
        <v>4487</v>
      </c>
      <c r="Q1726">
        <v>1</v>
      </c>
      <c r="R1726" t="b">
        <v>1</v>
      </c>
    </row>
    <row r="1727" spans="1:18" hidden="1">
      <c r="A1727" t="s">
        <v>205</v>
      </c>
      <c r="B1727" t="s">
        <v>4488</v>
      </c>
      <c r="C1727" t="s">
        <v>4489</v>
      </c>
      <c r="E1727">
        <v>4</v>
      </c>
      <c r="F1727">
        <v>227</v>
      </c>
      <c r="G1727">
        <v>4</v>
      </c>
      <c r="H1727">
        <v>29</v>
      </c>
      <c r="J1727" t="s">
        <v>999</v>
      </c>
      <c r="K1727" t="b">
        <v>1</v>
      </c>
      <c r="L1727">
        <f t="shared" si="26"/>
        <v>8</v>
      </c>
      <c r="M1727">
        <f t="shared" si="26"/>
        <v>256</v>
      </c>
      <c r="N1727" t="b">
        <v>0</v>
      </c>
      <c r="O1727">
        <v>0.5</v>
      </c>
      <c r="P1727" t="s">
        <v>3961</v>
      </c>
      <c r="Q1727">
        <v>8</v>
      </c>
      <c r="R1727" t="b">
        <v>1</v>
      </c>
    </row>
    <row r="1728" spans="1:18">
      <c r="A1728" t="s">
        <v>205</v>
      </c>
      <c r="B1728" t="s">
        <v>4490</v>
      </c>
      <c r="C1728" t="s">
        <v>4491</v>
      </c>
      <c r="E1728">
        <v>7</v>
      </c>
      <c r="F1728">
        <v>6</v>
      </c>
      <c r="G1728">
        <v>1</v>
      </c>
      <c r="H1728">
        <v>1</v>
      </c>
      <c r="J1728" t="s">
        <v>22</v>
      </c>
      <c r="K1728" t="b">
        <v>1</v>
      </c>
      <c r="L1728">
        <f t="shared" si="26"/>
        <v>8</v>
      </c>
      <c r="M1728">
        <f t="shared" si="26"/>
        <v>7</v>
      </c>
      <c r="N1728" t="b">
        <v>0</v>
      </c>
      <c r="O1728">
        <v>1</v>
      </c>
      <c r="P1728" t="s">
        <v>2139</v>
      </c>
      <c r="Q1728">
        <v>2</v>
      </c>
      <c r="R1728" t="b">
        <v>1</v>
      </c>
    </row>
    <row r="1729" spans="1:18">
      <c r="A1729" t="s">
        <v>59</v>
      </c>
      <c r="B1729" t="s">
        <v>4492</v>
      </c>
      <c r="C1729" t="s">
        <v>4493</v>
      </c>
      <c r="E1729">
        <v>5</v>
      </c>
      <c r="F1729">
        <v>9</v>
      </c>
      <c r="G1729">
        <v>3</v>
      </c>
      <c r="H1729">
        <v>3</v>
      </c>
      <c r="J1729" t="s">
        <v>22</v>
      </c>
      <c r="K1729" t="b">
        <v>1</v>
      </c>
      <c r="L1729">
        <f t="shared" si="26"/>
        <v>8</v>
      </c>
      <c r="M1729">
        <f t="shared" si="26"/>
        <v>12</v>
      </c>
      <c r="N1729" t="b">
        <v>0</v>
      </c>
      <c r="O1729">
        <v>1</v>
      </c>
      <c r="P1729" t="s">
        <v>4494</v>
      </c>
      <c r="Q1729">
        <v>2</v>
      </c>
      <c r="R1729" t="b">
        <v>1</v>
      </c>
    </row>
    <row r="1730" spans="1:18" hidden="1">
      <c r="A1730" t="s">
        <v>59</v>
      </c>
      <c r="B1730" t="s">
        <v>4495</v>
      </c>
      <c r="C1730" t="s">
        <v>4496</v>
      </c>
      <c r="E1730">
        <v>4</v>
      </c>
      <c r="F1730">
        <v>4</v>
      </c>
      <c r="G1730">
        <v>4</v>
      </c>
      <c r="H1730">
        <v>8</v>
      </c>
      <c r="J1730" t="s">
        <v>93</v>
      </c>
      <c r="K1730" t="b">
        <v>1</v>
      </c>
      <c r="L1730">
        <f t="shared" si="26"/>
        <v>8</v>
      </c>
      <c r="M1730">
        <f t="shared" si="26"/>
        <v>12</v>
      </c>
      <c r="N1730" t="b">
        <v>0</v>
      </c>
      <c r="O1730">
        <v>0</v>
      </c>
      <c r="Q1730">
        <v>0</v>
      </c>
      <c r="R1730" t="b">
        <v>0</v>
      </c>
    </row>
    <row r="1731" spans="1:18" hidden="1">
      <c r="A1731" t="s">
        <v>1424</v>
      </c>
      <c r="B1731" t="s">
        <v>4497</v>
      </c>
      <c r="C1731" t="s">
        <v>4498</v>
      </c>
      <c r="E1731">
        <v>2</v>
      </c>
      <c r="F1731">
        <v>2</v>
      </c>
      <c r="G1731">
        <v>6</v>
      </c>
      <c r="H1731">
        <v>172</v>
      </c>
      <c r="J1731" t="s">
        <v>93</v>
      </c>
      <c r="K1731" t="b">
        <v>0</v>
      </c>
      <c r="L1731">
        <f t="shared" ref="L1731:M1794" si="27">E1731+G1731</f>
        <v>8</v>
      </c>
      <c r="M1731">
        <f t="shared" si="27"/>
        <v>174</v>
      </c>
      <c r="N1731" t="b">
        <v>0</v>
      </c>
      <c r="O1731">
        <v>0</v>
      </c>
      <c r="Q1731">
        <v>0</v>
      </c>
      <c r="R1731" t="b">
        <v>0</v>
      </c>
    </row>
    <row r="1732" spans="1:18" hidden="1">
      <c r="A1732" t="s">
        <v>1191</v>
      </c>
      <c r="B1732" t="s">
        <v>4499</v>
      </c>
      <c r="C1732" s="2" t="s">
        <v>4500</v>
      </c>
      <c r="D1732" s="2"/>
      <c r="E1732">
        <v>0</v>
      </c>
      <c r="F1732">
        <v>0</v>
      </c>
      <c r="G1732">
        <v>8</v>
      </c>
      <c r="H1732">
        <v>52</v>
      </c>
      <c r="J1732" t="s">
        <v>93</v>
      </c>
      <c r="K1732" t="b">
        <v>1</v>
      </c>
      <c r="L1732">
        <f t="shared" si="27"/>
        <v>8</v>
      </c>
      <c r="M1732">
        <f t="shared" si="27"/>
        <v>52</v>
      </c>
      <c r="N1732" t="b">
        <v>0</v>
      </c>
      <c r="O1732">
        <v>0</v>
      </c>
      <c r="Q1732">
        <v>0</v>
      </c>
      <c r="R1732" t="b">
        <v>0</v>
      </c>
    </row>
    <row r="1733" spans="1:18" hidden="1">
      <c r="A1733" t="s">
        <v>4370</v>
      </c>
      <c r="B1733" t="s">
        <v>4501</v>
      </c>
      <c r="C1733" t="s">
        <v>4502</v>
      </c>
      <c r="E1733">
        <v>7</v>
      </c>
      <c r="F1733">
        <v>28</v>
      </c>
      <c r="G1733">
        <v>1</v>
      </c>
      <c r="H1733">
        <v>1</v>
      </c>
      <c r="J1733" t="s">
        <v>93</v>
      </c>
      <c r="K1733" t="b">
        <v>0</v>
      </c>
      <c r="L1733">
        <f t="shared" si="27"/>
        <v>8</v>
      </c>
      <c r="M1733">
        <f t="shared" si="27"/>
        <v>29</v>
      </c>
      <c r="N1733" t="b">
        <v>0</v>
      </c>
      <c r="O1733">
        <v>0</v>
      </c>
      <c r="Q1733">
        <v>0</v>
      </c>
      <c r="R1733" t="b">
        <v>0</v>
      </c>
    </row>
    <row r="1734" spans="1:18">
      <c r="A1734" t="s">
        <v>1143</v>
      </c>
      <c r="B1734" t="s">
        <v>4503</v>
      </c>
      <c r="C1734" t="s">
        <v>4504</v>
      </c>
      <c r="E1734">
        <v>0</v>
      </c>
      <c r="F1734">
        <v>0</v>
      </c>
      <c r="G1734">
        <v>8</v>
      </c>
      <c r="H1734">
        <v>25</v>
      </c>
      <c r="J1734" t="s">
        <v>22</v>
      </c>
      <c r="K1734" t="b">
        <v>1</v>
      </c>
      <c r="L1734">
        <f t="shared" si="27"/>
        <v>8</v>
      </c>
      <c r="M1734">
        <f t="shared" si="27"/>
        <v>25</v>
      </c>
      <c r="N1734" t="b">
        <v>0</v>
      </c>
      <c r="O1734">
        <v>1</v>
      </c>
      <c r="P1734" t="s">
        <v>4505</v>
      </c>
      <c r="Q1734">
        <v>2</v>
      </c>
      <c r="R1734" t="b">
        <v>1</v>
      </c>
    </row>
    <row r="1735" spans="1:18" hidden="1">
      <c r="A1735" t="s">
        <v>672</v>
      </c>
      <c r="B1735" t="s">
        <v>4506</v>
      </c>
      <c r="C1735" t="s">
        <v>4507</v>
      </c>
      <c r="E1735">
        <v>4</v>
      </c>
      <c r="F1735">
        <v>10</v>
      </c>
      <c r="G1735">
        <v>4</v>
      </c>
      <c r="H1735">
        <v>8</v>
      </c>
      <c r="J1735" t="s">
        <v>93</v>
      </c>
      <c r="K1735" t="b">
        <v>0</v>
      </c>
      <c r="L1735">
        <f t="shared" si="27"/>
        <v>8</v>
      </c>
      <c r="M1735">
        <f t="shared" si="27"/>
        <v>18</v>
      </c>
      <c r="N1735" t="b">
        <v>0</v>
      </c>
      <c r="O1735">
        <v>0</v>
      </c>
      <c r="Q1735">
        <v>0</v>
      </c>
      <c r="R1735" t="b">
        <v>0</v>
      </c>
    </row>
    <row r="1736" spans="1:18" hidden="1">
      <c r="A1736" t="s">
        <v>4370</v>
      </c>
      <c r="B1736" t="s">
        <v>4508</v>
      </c>
      <c r="C1736" t="s">
        <v>4509</v>
      </c>
      <c r="E1736">
        <v>7</v>
      </c>
      <c r="F1736">
        <v>15</v>
      </c>
      <c r="G1736">
        <v>1</v>
      </c>
      <c r="H1736">
        <v>1</v>
      </c>
      <c r="J1736" t="s">
        <v>93</v>
      </c>
      <c r="K1736" t="b">
        <v>0</v>
      </c>
      <c r="L1736">
        <f t="shared" si="27"/>
        <v>8</v>
      </c>
      <c r="M1736">
        <f t="shared" si="27"/>
        <v>16</v>
      </c>
      <c r="N1736" t="b">
        <v>0</v>
      </c>
      <c r="O1736">
        <v>0</v>
      </c>
      <c r="Q1736">
        <v>0</v>
      </c>
      <c r="R1736" t="b">
        <v>0</v>
      </c>
    </row>
    <row r="1737" spans="1:18" hidden="1">
      <c r="A1737" t="s">
        <v>3810</v>
      </c>
      <c r="B1737" t="s">
        <v>4510</v>
      </c>
      <c r="C1737" t="s">
        <v>4511</v>
      </c>
      <c r="E1737">
        <v>0</v>
      </c>
      <c r="F1737">
        <v>0</v>
      </c>
      <c r="G1737">
        <v>8</v>
      </c>
      <c r="H1737">
        <v>16</v>
      </c>
      <c r="J1737" t="s">
        <v>93</v>
      </c>
      <c r="K1737" t="b">
        <v>0</v>
      </c>
      <c r="L1737">
        <f t="shared" si="27"/>
        <v>8</v>
      </c>
      <c r="M1737">
        <f t="shared" si="27"/>
        <v>16</v>
      </c>
      <c r="N1737" t="b">
        <v>0</v>
      </c>
      <c r="O1737">
        <v>0</v>
      </c>
      <c r="Q1737">
        <v>0</v>
      </c>
      <c r="R1737" t="b">
        <v>0</v>
      </c>
    </row>
    <row r="1738" spans="1:18" hidden="1">
      <c r="A1738" t="s">
        <v>3810</v>
      </c>
      <c r="B1738" t="s">
        <v>4512</v>
      </c>
      <c r="C1738" t="s">
        <v>4513</v>
      </c>
      <c r="E1738">
        <v>0</v>
      </c>
      <c r="F1738">
        <v>0</v>
      </c>
      <c r="G1738">
        <v>8</v>
      </c>
      <c r="H1738">
        <v>16</v>
      </c>
      <c r="J1738" t="s">
        <v>93</v>
      </c>
      <c r="K1738" t="b">
        <v>0</v>
      </c>
      <c r="L1738">
        <f t="shared" si="27"/>
        <v>8</v>
      </c>
      <c r="M1738">
        <f t="shared" si="27"/>
        <v>16</v>
      </c>
      <c r="N1738" t="b">
        <v>0</v>
      </c>
      <c r="O1738">
        <v>0</v>
      </c>
      <c r="Q1738">
        <v>0</v>
      </c>
      <c r="R1738" t="b">
        <v>0</v>
      </c>
    </row>
    <row r="1739" spans="1:18" hidden="1">
      <c r="A1739" t="s">
        <v>3810</v>
      </c>
      <c r="B1739" t="s">
        <v>4514</v>
      </c>
      <c r="C1739" t="s">
        <v>4515</v>
      </c>
      <c r="E1739">
        <v>0</v>
      </c>
      <c r="F1739">
        <v>0</v>
      </c>
      <c r="G1739">
        <v>8</v>
      </c>
      <c r="H1739">
        <v>15</v>
      </c>
      <c r="J1739" t="s">
        <v>93</v>
      </c>
      <c r="K1739" t="b">
        <v>0</v>
      </c>
      <c r="L1739">
        <f t="shared" si="27"/>
        <v>8</v>
      </c>
      <c r="M1739">
        <f t="shared" si="27"/>
        <v>15</v>
      </c>
      <c r="N1739" t="b">
        <v>0</v>
      </c>
      <c r="O1739">
        <v>0</v>
      </c>
      <c r="Q1739">
        <v>0</v>
      </c>
      <c r="R1739" t="b">
        <v>0</v>
      </c>
    </row>
    <row r="1740" spans="1:18" hidden="1">
      <c r="A1740" t="s">
        <v>4404</v>
      </c>
      <c r="B1740" t="s">
        <v>4516</v>
      </c>
      <c r="C1740" t="s">
        <v>4517</v>
      </c>
      <c r="E1740">
        <v>7</v>
      </c>
      <c r="F1740">
        <v>13</v>
      </c>
      <c r="G1740">
        <v>1</v>
      </c>
      <c r="H1740">
        <v>2</v>
      </c>
      <c r="J1740" t="s">
        <v>93</v>
      </c>
      <c r="K1740" t="b">
        <v>0</v>
      </c>
      <c r="L1740">
        <f t="shared" si="27"/>
        <v>8</v>
      </c>
      <c r="M1740">
        <f t="shared" si="27"/>
        <v>15</v>
      </c>
      <c r="N1740" t="b">
        <v>0</v>
      </c>
      <c r="O1740">
        <v>0</v>
      </c>
      <c r="Q1740">
        <v>0</v>
      </c>
      <c r="R1740" t="b">
        <v>0</v>
      </c>
    </row>
    <row r="1741" spans="1:18" hidden="1">
      <c r="A1741" t="s">
        <v>3810</v>
      </c>
      <c r="B1741" t="s">
        <v>4518</v>
      </c>
      <c r="C1741" t="s">
        <v>4519</v>
      </c>
      <c r="E1741">
        <v>0</v>
      </c>
      <c r="F1741">
        <v>0</v>
      </c>
      <c r="G1741">
        <v>8</v>
      </c>
      <c r="H1741">
        <v>14</v>
      </c>
      <c r="J1741" t="s">
        <v>93</v>
      </c>
      <c r="K1741" t="b">
        <v>0</v>
      </c>
      <c r="L1741">
        <f t="shared" si="27"/>
        <v>8</v>
      </c>
      <c r="M1741">
        <f t="shared" si="27"/>
        <v>14</v>
      </c>
      <c r="N1741" t="b">
        <v>0</v>
      </c>
      <c r="O1741">
        <v>0</v>
      </c>
      <c r="Q1741">
        <v>0</v>
      </c>
      <c r="R1741" t="b">
        <v>0</v>
      </c>
    </row>
    <row r="1742" spans="1:18" hidden="1">
      <c r="A1742" t="s">
        <v>3810</v>
      </c>
      <c r="B1742" t="s">
        <v>4520</v>
      </c>
      <c r="C1742" t="s">
        <v>4521</v>
      </c>
      <c r="E1742">
        <v>0</v>
      </c>
      <c r="F1742">
        <v>0</v>
      </c>
      <c r="G1742">
        <v>8</v>
      </c>
      <c r="H1742">
        <v>14</v>
      </c>
      <c r="J1742" t="s">
        <v>93</v>
      </c>
      <c r="K1742" t="b">
        <v>0</v>
      </c>
      <c r="L1742">
        <f t="shared" si="27"/>
        <v>8</v>
      </c>
      <c r="M1742">
        <f t="shared" si="27"/>
        <v>14</v>
      </c>
      <c r="N1742" t="b">
        <v>0</v>
      </c>
      <c r="O1742">
        <v>0</v>
      </c>
      <c r="Q1742">
        <v>0</v>
      </c>
      <c r="R1742" t="b">
        <v>0</v>
      </c>
    </row>
    <row r="1743" spans="1:18" hidden="1">
      <c r="A1743" t="s">
        <v>3810</v>
      </c>
      <c r="B1743" t="s">
        <v>4522</v>
      </c>
      <c r="C1743" t="s">
        <v>4523</v>
      </c>
      <c r="E1743">
        <v>0</v>
      </c>
      <c r="F1743">
        <v>0</v>
      </c>
      <c r="G1743">
        <v>8</v>
      </c>
      <c r="H1743">
        <v>14</v>
      </c>
      <c r="J1743" t="s">
        <v>93</v>
      </c>
      <c r="K1743" t="b">
        <v>0</v>
      </c>
      <c r="L1743">
        <f t="shared" si="27"/>
        <v>8</v>
      </c>
      <c r="M1743">
        <f t="shared" si="27"/>
        <v>14</v>
      </c>
      <c r="N1743" t="b">
        <v>0</v>
      </c>
      <c r="O1743">
        <v>0</v>
      </c>
      <c r="Q1743">
        <v>0</v>
      </c>
      <c r="R1743" t="b">
        <v>0</v>
      </c>
    </row>
    <row r="1744" spans="1:18" hidden="1">
      <c r="A1744" t="s">
        <v>3810</v>
      </c>
      <c r="B1744" t="s">
        <v>4524</v>
      </c>
      <c r="C1744" t="s">
        <v>4525</v>
      </c>
      <c r="E1744">
        <v>0</v>
      </c>
      <c r="F1744">
        <v>0</v>
      </c>
      <c r="G1744">
        <v>8</v>
      </c>
      <c r="H1744">
        <v>14</v>
      </c>
      <c r="J1744" t="s">
        <v>93</v>
      </c>
      <c r="K1744" t="b">
        <v>0</v>
      </c>
      <c r="L1744">
        <f t="shared" si="27"/>
        <v>8</v>
      </c>
      <c r="M1744">
        <f t="shared" si="27"/>
        <v>14</v>
      </c>
      <c r="N1744" t="b">
        <v>0</v>
      </c>
      <c r="O1744">
        <v>0</v>
      </c>
      <c r="Q1744">
        <v>0</v>
      </c>
      <c r="R1744" t="b">
        <v>0</v>
      </c>
    </row>
    <row r="1745" spans="1:18">
      <c r="A1745" t="s">
        <v>1143</v>
      </c>
      <c r="B1745" t="s">
        <v>4526</v>
      </c>
      <c r="C1745" t="s">
        <v>4527</v>
      </c>
      <c r="E1745">
        <v>0</v>
      </c>
      <c r="F1745">
        <v>0</v>
      </c>
      <c r="G1745">
        <v>8</v>
      </c>
      <c r="H1745">
        <v>46</v>
      </c>
      <c r="J1745" t="s">
        <v>22</v>
      </c>
      <c r="K1745" t="b">
        <v>1</v>
      </c>
      <c r="L1745">
        <f t="shared" si="27"/>
        <v>8</v>
      </c>
      <c r="M1745">
        <f t="shared" si="27"/>
        <v>46</v>
      </c>
      <c r="N1745" t="b">
        <v>0</v>
      </c>
      <c r="O1745">
        <v>1</v>
      </c>
      <c r="P1745" t="s">
        <v>4528</v>
      </c>
      <c r="Q1745">
        <v>2</v>
      </c>
      <c r="R1745" t="b">
        <v>1</v>
      </c>
    </row>
    <row r="1746" spans="1:18" hidden="1">
      <c r="A1746" t="s">
        <v>1143</v>
      </c>
      <c r="B1746" t="s">
        <v>4529</v>
      </c>
      <c r="C1746" s="2" t="s">
        <v>4530</v>
      </c>
      <c r="D1746" s="2"/>
      <c r="E1746">
        <v>0</v>
      </c>
      <c r="F1746">
        <v>0</v>
      </c>
      <c r="G1746">
        <v>8</v>
      </c>
      <c r="H1746">
        <v>25</v>
      </c>
      <c r="J1746" t="s">
        <v>93</v>
      </c>
      <c r="K1746" t="b">
        <v>1</v>
      </c>
      <c r="L1746">
        <f t="shared" si="27"/>
        <v>8</v>
      </c>
      <c r="M1746">
        <f t="shared" si="27"/>
        <v>25</v>
      </c>
      <c r="N1746" t="b">
        <v>0</v>
      </c>
      <c r="O1746">
        <v>0</v>
      </c>
      <c r="Q1746">
        <v>0</v>
      </c>
      <c r="R1746" t="b">
        <v>0</v>
      </c>
    </row>
    <row r="1747" spans="1:18" hidden="1">
      <c r="A1747" t="s">
        <v>1143</v>
      </c>
      <c r="B1747" t="s">
        <v>4531</v>
      </c>
      <c r="C1747" t="s">
        <v>4532</v>
      </c>
      <c r="E1747">
        <v>0</v>
      </c>
      <c r="F1747">
        <v>0</v>
      </c>
      <c r="G1747">
        <v>8</v>
      </c>
      <c r="H1747">
        <v>16</v>
      </c>
      <c r="J1747" t="s">
        <v>93</v>
      </c>
      <c r="K1747" t="b">
        <v>1</v>
      </c>
      <c r="L1747">
        <f t="shared" si="27"/>
        <v>8</v>
      </c>
      <c r="M1747">
        <f t="shared" si="27"/>
        <v>16</v>
      </c>
      <c r="N1747" t="b">
        <v>0</v>
      </c>
      <c r="O1747">
        <v>0</v>
      </c>
      <c r="Q1747">
        <v>0</v>
      </c>
      <c r="R1747" t="b">
        <v>0</v>
      </c>
    </row>
    <row r="1748" spans="1:18">
      <c r="A1748" t="s">
        <v>1143</v>
      </c>
      <c r="B1748" t="s">
        <v>4533</v>
      </c>
      <c r="C1748" t="s">
        <v>4534</v>
      </c>
      <c r="E1748">
        <v>0</v>
      </c>
      <c r="F1748">
        <v>0</v>
      </c>
      <c r="G1748">
        <v>8</v>
      </c>
      <c r="H1748">
        <v>25</v>
      </c>
      <c r="J1748" t="s">
        <v>22</v>
      </c>
      <c r="K1748" t="b">
        <v>1</v>
      </c>
      <c r="L1748">
        <f t="shared" si="27"/>
        <v>8</v>
      </c>
      <c r="M1748">
        <f t="shared" si="27"/>
        <v>25</v>
      </c>
      <c r="N1748" t="b">
        <v>0</v>
      </c>
      <c r="O1748">
        <v>1</v>
      </c>
      <c r="P1748" t="s">
        <v>4535</v>
      </c>
      <c r="Q1748">
        <v>2</v>
      </c>
      <c r="R1748" t="b">
        <v>1</v>
      </c>
    </row>
    <row r="1749" spans="1:18" hidden="1">
      <c r="A1749" t="s">
        <v>378</v>
      </c>
      <c r="B1749" t="s">
        <v>4536</v>
      </c>
      <c r="C1749" t="s">
        <v>4537</v>
      </c>
      <c r="E1749">
        <v>4</v>
      </c>
      <c r="F1749">
        <v>2</v>
      </c>
      <c r="G1749">
        <v>4</v>
      </c>
      <c r="H1749">
        <v>5</v>
      </c>
      <c r="J1749" t="s">
        <v>93</v>
      </c>
      <c r="K1749" t="b">
        <v>1</v>
      </c>
      <c r="L1749">
        <f t="shared" si="27"/>
        <v>8</v>
      </c>
      <c r="M1749">
        <f t="shared" si="27"/>
        <v>7</v>
      </c>
      <c r="N1749" t="b">
        <v>0</v>
      </c>
      <c r="O1749">
        <v>0.2</v>
      </c>
      <c r="P1749" t="s">
        <v>4538</v>
      </c>
      <c r="Q1749">
        <v>2</v>
      </c>
      <c r="R1749" t="b">
        <v>1</v>
      </c>
    </row>
    <row r="1750" spans="1:18" hidden="1">
      <c r="A1750" t="s">
        <v>3015</v>
      </c>
      <c r="B1750" t="s">
        <v>4539</v>
      </c>
      <c r="C1750" t="s">
        <v>4540</v>
      </c>
      <c r="E1750">
        <v>5</v>
      </c>
      <c r="F1750">
        <v>3</v>
      </c>
      <c r="G1750">
        <v>3</v>
      </c>
      <c r="H1750">
        <v>5</v>
      </c>
      <c r="J1750" t="s">
        <v>93</v>
      </c>
      <c r="K1750" t="b">
        <v>0</v>
      </c>
      <c r="L1750">
        <f t="shared" si="27"/>
        <v>8</v>
      </c>
      <c r="M1750">
        <f t="shared" si="27"/>
        <v>8</v>
      </c>
      <c r="N1750" t="b">
        <v>0</v>
      </c>
      <c r="O1750">
        <v>0</v>
      </c>
      <c r="Q1750">
        <v>0</v>
      </c>
      <c r="R1750" t="b">
        <v>0</v>
      </c>
    </row>
    <row r="1751" spans="1:18" hidden="1">
      <c r="A1751" t="s">
        <v>3015</v>
      </c>
      <c r="B1751" t="s">
        <v>4541</v>
      </c>
      <c r="C1751" t="s">
        <v>4542</v>
      </c>
      <c r="E1751">
        <v>5</v>
      </c>
      <c r="F1751">
        <v>3</v>
      </c>
      <c r="G1751">
        <v>3</v>
      </c>
      <c r="H1751">
        <v>5</v>
      </c>
      <c r="J1751" t="s">
        <v>93</v>
      </c>
      <c r="K1751" t="b">
        <v>0</v>
      </c>
      <c r="L1751">
        <f t="shared" si="27"/>
        <v>8</v>
      </c>
      <c r="M1751">
        <f t="shared" si="27"/>
        <v>8</v>
      </c>
      <c r="N1751" t="b">
        <v>0</v>
      </c>
      <c r="O1751">
        <v>0</v>
      </c>
      <c r="Q1751">
        <v>0</v>
      </c>
      <c r="R1751" t="b">
        <v>0</v>
      </c>
    </row>
    <row r="1752" spans="1:18" hidden="1">
      <c r="A1752" t="s">
        <v>3015</v>
      </c>
      <c r="B1752" t="s">
        <v>4543</v>
      </c>
      <c r="C1752" t="s">
        <v>4544</v>
      </c>
      <c r="E1752">
        <v>5</v>
      </c>
      <c r="F1752">
        <v>3</v>
      </c>
      <c r="G1752">
        <v>3</v>
      </c>
      <c r="H1752">
        <v>5</v>
      </c>
      <c r="J1752" t="s">
        <v>93</v>
      </c>
      <c r="K1752" t="b">
        <v>0</v>
      </c>
      <c r="L1752">
        <f t="shared" si="27"/>
        <v>8</v>
      </c>
      <c r="M1752">
        <f t="shared" si="27"/>
        <v>8</v>
      </c>
      <c r="N1752" t="b">
        <v>0</v>
      </c>
      <c r="O1752">
        <v>0</v>
      </c>
      <c r="Q1752">
        <v>0</v>
      </c>
      <c r="R1752" t="b">
        <v>0</v>
      </c>
    </row>
    <row r="1753" spans="1:18" hidden="1">
      <c r="A1753" t="s">
        <v>133</v>
      </c>
      <c r="B1753" t="s">
        <v>4545</v>
      </c>
      <c r="C1753" t="s">
        <v>4546</v>
      </c>
      <c r="E1753">
        <v>3</v>
      </c>
      <c r="F1753">
        <v>17</v>
      </c>
      <c r="G1753">
        <v>5</v>
      </c>
      <c r="H1753">
        <v>6</v>
      </c>
      <c r="J1753" t="s">
        <v>93</v>
      </c>
      <c r="K1753" t="b">
        <v>1</v>
      </c>
      <c r="L1753">
        <f t="shared" si="27"/>
        <v>8</v>
      </c>
      <c r="M1753">
        <f t="shared" si="27"/>
        <v>23</v>
      </c>
      <c r="N1753" t="b">
        <v>0</v>
      </c>
      <c r="O1753">
        <v>0</v>
      </c>
      <c r="Q1753">
        <v>0</v>
      </c>
      <c r="R1753" t="b">
        <v>0</v>
      </c>
    </row>
    <row r="1754" spans="1:18" hidden="1">
      <c r="A1754" t="s">
        <v>192</v>
      </c>
      <c r="B1754" t="s">
        <v>4547</v>
      </c>
      <c r="C1754" t="s">
        <v>4548</v>
      </c>
      <c r="E1754">
        <v>8</v>
      </c>
      <c r="F1754">
        <v>4</v>
      </c>
      <c r="G1754">
        <v>0</v>
      </c>
      <c r="H1754">
        <v>0</v>
      </c>
      <c r="J1754" t="s">
        <v>93</v>
      </c>
      <c r="K1754" t="b">
        <v>1</v>
      </c>
      <c r="L1754">
        <f t="shared" si="27"/>
        <v>8</v>
      </c>
      <c r="M1754">
        <f t="shared" si="27"/>
        <v>4</v>
      </c>
      <c r="N1754" t="b">
        <v>0</v>
      </c>
      <c r="O1754">
        <v>0</v>
      </c>
      <c r="Q1754">
        <v>0</v>
      </c>
      <c r="R1754" t="b">
        <v>0</v>
      </c>
    </row>
    <row r="1755" spans="1:18" hidden="1">
      <c r="A1755" t="s">
        <v>192</v>
      </c>
      <c r="B1755" t="s">
        <v>4549</v>
      </c>
      <c r="C1755" t="s">
        <v>4550</v>
      </c>
      <c r="E1755">
        <v>6</v>
      </c>
      <c r="F1755">
        <v>9</v>
      </c>
      <c r="G1755">
        <v>2</v>
      </c>
      <c r="H1755">
        <v>5</v>
      </c>
      <c r="J1755" t="s">
        <v>93</v>
      </c>
      <c r="K1755" t="b">
        <v>1</v>
      </c>
      <c r="L1755">
        <f t="shared" si="27"/>
        <v>8</v>
      </c>
      <c r="M1755">
        <f t="shared" si="27"/>
        <v>14</v>
      </c>
      <c r="N1755" t="b">
        <v>0</v>
      </c>
      <c r="O1755">
        <v>0</v>
      </c>
      <c r="Q1755">
        <v>0</v>
      </c>
      <c r="R1755" t="b">
        <v>0</v>
      </c>
    </row>
    <row r="1756" spans="1:18">
      <c r="A1756" t="s">
        <v>192</v>
      </c>
      <c r="B1756" t="s">
        <v>4551</v>
      </c>
      <c r="C1756" t="s">
        <v>4552</v>
      </c>
      <c r="E1756">
        <v>5</v>
      </c>
      <c r="F1756">
        <v>1</v>
      </c>
      <c r="G1756">
        <v>3</v>
      </c>
      <c r="H1756">
        <v>3</v>
      </c>
      <c r="J1756" t="s">
        <v>22</v>
      </c>
      <c r="K1756" t="b">
        <v>1</v>
      </c>
      <c r="L1756">
        <f t="shared" si="27"/>
        <v>8</v>
      </c>
      <c r="M1756">
        <f t="shared" si="27"/>
        <v>4</v>
      </c>
      <c r="N1756" t="b">
        <v>0</v>
      </c>
      <c r="O1756">
        <v>1</v>
      </c>
      <c r="P1756" t="s">
        <v>4553</v>
      </c>
      <c r="Q1756">
        <v>2</v>
      </c>
      <c r="R1756" t="b">
        <v>1</v>
      </c>
    </row>
    <row r="1757" spans="1:18" hidden="1">
      <c r="A1757" t="s">
        <v>87</v>
      </c>
      <c r="B1757" t="s">
        <v>4554</v>
      </c>
      <c r="C1757" t="s">
        <v>4555</v>
      </c>
      <c r="E1757">
        <v>7</v>
      </c>
      <c r="F1757">
        <v>1</v>
      </c>
      <c r="G1757">
        <v>1</v>
      </c>
      <c r="H1757">
        <v>1</v>
      </c>
      <c r="J1757" t="s">
        <v>93</v>
      </c>
      <c r="K1757" t="b">
        <v>1</v>
      </c>
      <c r="L1757">
        <f t="shared" si="27"/>
        <v>8</v>
      </c>
      <c r="M1757">
        <f t="shared" si="27"/>
        <v>2</v>
      </c>
      <c r="N1757" t="b">
        <v>0</v>
      </c>
      <c r="O1757">
        <v>0</v>
      </c>
      <c r="Q1757">
        <v>0</v>
      </c>
      <c r="R1757" t="b">
        <v>0</v>
      </c>
    </row>
    <row r="1758" spans="1:18" hidden="1">
      <c r="A1758" t="s">
        <v>19</v>
      </c>
      <c r="B1758" t="s">
        <v>4556</v>
      </c>
      <c r="C1758" t="s">
        <v>4557</v>
      </c>
      <c r="E1758">
        <v>4</v>
      </c>
      <c r="F1758">
        <v>0</v>
      </c>
      <c r="G1758">
        <v>4</v>
      </c>
      <c r="H1758">
        <v>10</v>
      </c>
      <c r="J1758" t="s">
        <v>93</v>
      </c>
      <c r="K1758" t="b">
        <v>1</v>
      </c>
      <c r="L1758">
        <f t="shared" si="27"/>
        <v>8</v>
      </c>
      <c r="M1758">
        <f t="shared" si="27"/>
        <v>10</v>
      </c>
      <c r="N1758" t="b">
        <v>0</v>
      </c>
      <c r="O1758">
        <v>0</v>
      </c>
      <c r="Q1758">
        <v>0</v>
      </c>
      <c r="R1758" t="b">
        <v>0</v>
      </c>
    </row>
    <row r="1759" spans="1:18">
      <c r="A1759" t="s">
        <v>1782</v>
      </c>
      <c r="B1759" t="s">
        <v>4558</v>
      </c>
      <c r="C1759" t="s">
        <v>4559</v>
      </c>
      <c r="E1759">
        <v>3</v>
      </c>
      <c r="F1759">
        <v>3</v>
      </c>
      <c r="G1759">
        <v>5</v>
      </c>
      <c r="H1759">
        <v>9</v>
      </c>
      <c r="J1759" t="s">
        <v>22</v>
      </c>
      <c r="K1759" t="b">
        <v>1</v>
      </c>
      <c r="L1759">
        <f t="shared" si="27"/>
        <v>8</v>
      </c>
      <c r="M1759">
        <f t="shared" si="27"/>
        <v>12</v>
      </c>
      <c r="N1759" t="b">
        <v>0</v>
      </c>
      <c r="O1759">
        <v>1</v>
      </c>
      <c r="P1759" t="s">
        <v>4560</v>
      </c>
      <c r="Q1759">
        <v>2</v>
      </c>
      <c r="R1759" t="b">
        <v>1</v>
      </c>
    </row>
    <row r="1760" spans="1:18">
      <c r="A1760" t="s">
        <v>678</v>
      </c>
      <c r="B1760" t="s">
        <v>4561</v>
      </c>
      <c r="C1760" t="s">
        <v>4562</v>
      </c>
      <c r="E1760">
        <v>4</v>
      </c>
      <c r="F1760">
        <v>10</v>
      </c>
      <c r="G1760">
        <v>4</v>
      </c>
      <c r="H1760">
        <v>8</v>
      </c>
      <c r="J1760" t="s">
        <v>22</v>
      </c>
      <c r="K1760" t="b">
        <v>1</v>
      </c>
      <c r="L1760">
        <f t="shared" si="27"/>
        <v>8</v>
      </c>
      <c r="M1760">
        <f t="shared" si="27"/>
        <v>18</v>
      </c>
      <c r="N1760" t="b">
        <v>0</v>
      </c>
      <c r="O1760">
        <v>1</v>
      </c>
      <c r="P1760" t="s">
        <v>4563</v>
      </c>
      <c r="Q1760">
        <v>2</v>
      </c>
      <c r="R1760" t="b">
        <v>1</v>
      </c>
    </row>
    <row r="1761" spans="1:18">
      <c r="A1761" t="s">
        <v>573</v>
      </c>
      <c r="B1761" t="s">
        <v>4564</v>
      </c>
      <c r="C1761" t="s">
        <v>4565</v>
      </c>
      <c r="E1761">
        <v>5</v>
      </c>
      <c r="F1761">
        <v>0</v>
      </c>
      <c r="G1761">
        <v>2</v>
      </c>
      <c r="H1761">
        <v>2</v>
      </c>
      <c r="J1761" t="s">
        <v>22</v>
      </c>
      <c r="K1761" t="b">
        <v>1</v>
      </c>
      <c r="L1761">
        <f t="shared" si="27"/>
        <v>7</v>
      </c>
      <c r="M1761">
        <f t="shared" si="27"/>
        <v>2</v>
      </c>
      <c r="N1761" t="b">
        <v>0</v>
      </c>
      <c r="O1761">
        <v>1</v>
      </c>
      <c r="P1761" t="s">
        <v>4566</v>
      </c>
      <c r="Q1761">
        <v>2</v>
      </c>
      <c r="R1761" t="b">
        <v>1</v>
      </c>
    </row>
    <row r="1762" spans="1:18">
      <c r="A1762" t="s">
        <v>573</v>
      </c>
      <c r="B1762" t="s">
        <v>4567</v>
      </c>
      <c r="C1762" t="s">
        <v>4568</v>
      </c>
      <c r="E1762">
        <v>7</v>
      </c>
      <c r="F1762">
        <v>0</v>
      </c>
      <c r="G1762">
        <v>0</v>
      </c>
      <c r="H1762">
        <v>0</v>
      </c>
      <c r="J1762" t="s">
        <v>22</v>
      </c>
      <c r="K1762" t="b">
        <v>1</v>
      </c>
      <c r="L1762">
        <f t="shared" si="27"/>
        <v>7</v>
      </c>
      <c r="M1762">
        <f t="shared" si="27"/>
        <v>0</v>
      </c>
      <c r="N1762" t="b">
        <v>0</v>
      </c>
      <c r="O1762">
        <v>1</v>
      </c>
      <c r="P1762" t="s">
        <v>4569</v>
      </c>
      <c r="Q1762">
        <v>2</v>
      </c>
      <c r="R1762" t="b">
        <v>1</v>
      </c>
    </row>
    <row r="1763" spans="1:18">
      <c r="A1763" t="s">
        <v>573</v>
      </c>
      <c r="B1763" t="s">
        <v>4570</v>
      </c>
      <c r="C1763" t="s">
        <v>4571</v>
      </c>
      <c r="E1763">
        <v>6</v>
      </c>
      <c r="F1763">
        <v>0</v>
      </c>
      <c r="G1763">
        <v>1</v>
      </c>
      <c r="H1763">
        <v>1</v>
      </c>
      <c r="J1763" t="s">
        <v>22</v>
      </c>
      <c r="K1763" t="b">
        <v>1</v>
      </c>
      <c r="L1763">
        <f t="shared" si="27"/>
        <v>7</v>
      </c>
      <c r="M1763">
        <f t="shared" si="27"/>
        <v>1</v>
      </c>
      <c r="N1763" t="b">
        <v>0</v>
      </c>
      <c r="O1763">
        <v>1</v>
      </c>
      <c r="P1763" t="s">
        <v>4572</v>
      </c>
      <c r="Q1763">
        <v>2</v>
      </c>
      <c r="R1763" t="b">
        <v>1</v>
      </c>
    </row>
    <row r="1764" spans="1:18">
      <c r="A1764" t="s">
        <v>1731</v>
      </c>
      <c r="B1764" t="s">
        <v>4573</v>
      </c>
      <c r="C1764" t="s">
        <v>4574</v>
      </c>
      <c r="E1764">
        <v>1</v>
      </c>
      <c r="F1764">
        <v>1</v>
      </c>
      <c r="G1764">
        <v>6</v>
      </c>
      <c r="H1764">
        <v>25</v>
      </c>
      <c r="J1764" t="s">
        <v>22</v>
      </c>
      <c r="K1764" t="b">
        <v>1</v>
      </c>
      <c r="L1764">
        <f t="shared" si="27"/>
        <v>7</v>
      </c>
      <c r="M1764">
        <f t="shared" si="27"/>
        <v>26</v>
      </c>
      <c r="N1764" t="b">
        <v>0</v>
      </c>
      <c r="O1764">
        <v>1</v>
      </c>
      <c r="P1764" t="s">
        <v>4575</v>
      </c>
      <c r="Q1764">
        <v>2</v>
      </c>
      <c r="R1764" t="b">
        <v>1</v>
      </c>
    </row>
    <row r="1765" spans="1:18">
      <c r="A1765" t="s">
        <v>1731</v>
      </c>
      <c r="B1765" t="s">
        <v>4576</v>
      </c>
      <c r="C1765" t="s">
        <v>4577</v>
      </c>
      <c r="E1765">
        <v>6</v>
      </c>
      <c r="F1765">
        <v>9</v>
      </c>
      <c r="G1765">
        <v>1</v>
      </c>
      <c r="H1765">
        <v>1</v>
      </c>
      <c r="J1765" t="s">
        <v>22</v>
      </c>
      <c r="K1765" t="b">
        <v>1</v>
      </c>
      <c r="L1765">
        <f t="shared" si="27"/>
        <v>7</v>
      </c>
      <c r="M1765">
        <f t="shared" si="27"/>
        <v>10</v>
      </c>
      <c r="N1765" t="b">
        <v>0</v>
      </c>
      <c r="O1765">
        <v>0.5</v>
      </c>
      <c r="P1765" t="s">
        <v>4578</v>
      </c>
      <c r="Q1765">
        <v>2</v>
      </c>
      <c r="R1765" t="b">
        <v>1</v>
      </c>
    </row>
    <row r="1766" spans="1:18">
      <c r="A1766" t="s">
        <v>1191</v>
      </c>
      <c r="B1766" t="s">
        <v>4579</v>
      </c>
      <c r="C1766" t="s">
        <v>4580</v>
      </c>
      <c r="E1766">
        <v>6</v>
      </c>
      <c r="F1766">
        <v>8</v>
      </c>
      <c r="G1766">
        <v>1</v>
      </c>
      <c r="H1766">
        <v>4</v>
      </c>
      <c r="J1766" t="s">
        <v>22</v>
      </c>
      <c r="K1766" t="b">
        <v>1</v>
      </c>
      <c r="L1766">
        <f t="shared" si="27"/>
        <v>7</v>
      </c>
      <c r="M1766">
        <f t="shared" si="27"/>
        <v>12</v>
      </c>
      <c r="N1766" t="b">
        <v>0</v>
      </c>
      <c r="O1766">
        <v>1</v>
      </c>
      <c r="P1766" t="s">
        <v>4581</v>
      </c>
      <c r="Q1766">
        <v>2</v>
      </c>
      <c r="R1766" t="b">
        <v>1</v>
      </c>
    </row>
    <row r="1767" spans="1:18">
      <c r="A1767" t="s">
        <v>1191</v>
      </c>
      <c r="B1767" t="s">
        <v>4582</v>
      </c>
      <c r="C1767" t="s">
        <v>4583</v>
      </c>
      <c r="E1767">
        <v>6</v>
      </c>
      <c r="F1767">
        <v>8</v>
      </c>
      <c r="G1767">
        <v>1</v>
      </c>
      <c r="H1767">
        <v>4</v>
      </c>
      <c r="J1767" t="s">
        <v>22</v>
      </c>
      <c r="K1767" t="b">
        <v>1</v>
      </c>
      <c r="L1767">
        <f t="shared" si="27"/>
        <v>7</v>
      </c>
      <c r="M1767">
        <f t="shared" si="27"/>
        <v>12</v>
      </c>
      <c r="N1767" t="b">
        <v>0</v>
      </c>
      <c r="O1767">
        <v>1</v>
      </c>
      <c r="P1767" t="s">
        <v>4584</v>
      </c>
      <c r="Q1767">
        <v>2</v>
      </c>
      <c r="R1767" t="b">
        <v>1</v>
      </c>
    </row>
    <row r="1768" spans="1:18">
      <c r="A1768" t="s">
        <v>1191</v>
      </c>
      <c r="B1768" t="s">
        <v>4585</v>
      </c>
      <c r="C1768" t="s">
        <v>4586</v>
      </c>
      <c r="E1768">
        <v>7</v>
      </c>
      <c r="F1768">
        <v>9</v>
      </c>
      <c r="G1768">
        <v>0</v>
      </c>
      <c r="H1768">
        <v>0</v>
      </c>
      <c r="J1768" t="s">
        <v>22</v>
      </c>
      <c r="K1768" t="b">
        <v>1</v>
      </c>
      <c r="L1768">
        <f t="shared" si="27"/>
        <v>7</v>
      </c>
      <c r="M1768">
        <f t="shared" si="27"/>
        <v>9</v>
      </c>
      <c r="N1768" t="b">
        <v>0</v>
      </c>
      <c r="O1768">
        <v>1</v>
      </c>
      <c r="P1768" t="s">
        <v>4587</v>
      </c>
      <c r="Q1768">
        <v>2</v>
      </c>
      <c r="R1768" t="b">
        <v>1</v>
      </c>
    </row>
    <row r="1769" spans="1:18">
      <c r="A1769" t="s">
        <v>1191</v>
      </c>
      <c r="B1769" t="s">
        <v>4588</v>
      </c>
      <c r="C1769" t="s">
        <v>4589</v>
      </c>
      <c r="E1769">
        <v>4</v>
      </c>
      <c r="F1769">
        <v>12</v>
      </c>
      <c r="G1769">
        <v>3</v>
      </c>
      <c r="H1769">
        <v>3</v>
      </c>
      <c r="J1769" t="s">
        <v>22</v>
      </c>
      <c r="K1769" t="b">
        <v>1</v>
      </c>
      <c r="L1769">
        <f t="shared" si="27"/>
        <v>7</v>
      </c>
      <c r="M1769">
        <f t="shared" si="27"/>
        <v>15</v>
      </c>
      <c r="N1769" t="b">
        <v>0</v>
      </c>
      <c r="O1769">
        <v>1</v>
      </c>
      <c r="P1769" t="s">
        <v>4590</v>
      </c>
      <c r="Q1769">
        <v>2</v>
      </c>
      <c r="R1769" t="b">
        <v>1</v>
      </c>
    </row>
    <row r="1770" spans="1:18" hidden="1">
      <c r="A1770" t="s">
        <v>1191</v>
      </c>
      <c r="B1770" t="s">
        <v>4591</v>
      </c>
      <c r="C1770" t="s">
        <v>4592</v>
      </c>
      <c r="E1770">
        <v>3</v>
      </c>
      <c r="F1770">
        <v>2</v>
      </c>
      <c r="G1770">
        <v>4</v>
      </c>
      <c r="H1770">
        <v>19</v>
      </c>
      <c r="J1770" t="s">
        <v>93</v>
      </c>
      <c r="K1770" t="b">
        <v>1</v>
      </c>
      <c r="L1770">
        <f t="shared" si="27"/>
        <v>7</v>
      </c>
      <c r="M1770">
        <f t="shared" si="27"/>
        <v>21</v>
      </c>
      <c r="N1770" t="b">
        <v>0</v>
      </c>
      <c r="O1770">
        <v>0</v>
      </c>
      <c r="Q1770">
        <v>0</v>
      </c>
      <c r="R1770" t="b">
        <v>0</v>
      </c>
    </row>
    <row r="1771" spans="1:18">
      <c r="A1771" t="s">
        <v>1191</v>
      </c>
      <c r="B1771" t="s">
        <v>4593</v>
      </c>
      <c r="C1771" t="s">
        <v>4594</v>
      </c>
      <c r="E1771">
        <v>7</v>
      </c>
      <c r="F1771">
        <v>12</v>
      </c>
      <c r="G1771">
        <v>0</v>
      </c>
      <c r="H1771">
        <v>0</v>
      </c>
      <c r="J1771" t="s">
        <v>22</v>
      </c>
      <c r="K1771" t="b">
        <v>1</v>
      </c>
      <c r="L1771">
        <f t="shared" si="27"/>
        <v>7</v>
      </c>
      <c r="M1771">
        <f t="shared" si="27"/>
        <v>12</v>
      </c>
      <c r="N1771" t="b">
        <v>0</v>
      </c>
      <c r="O1771">
        <v>1</v>
      </c>
      <c r="P1771" t="s">
        <v>4595</v>
      </c>
      <c r="Q1771">
        <v>2</v>
      </c>
      <c r="R1771" t="b">
        <v>1</v>
      </c>
    </row>
    <row r="1772" spans="1:18" hidden="1">
      <c r="A1772" t="s">
        <v>1191</v>
      </c>
      <c r="B1772" t="s">
        <v>4596</v>
      </c>
      <c r="C1772" t="s">
        <v>4597</v>
      </c>
      <c r="E1772">
        <v>3</v>
      </c>
      <c r="F1772">
        <v>32</v>
      </c>
      <c r="G1772">
        <v>4</v>
      </c>
      <c r="H1772">
        <v>24</v>
      </c>
      <c r="J1772" t="s">
        <v>93</v>
      </c>
      <c r="K1772" t="b">
        <v>1</v>
      </c>
      <c r="L1772">
        <f t="shared" si="27"/>
        <v>7</v>
      </c>
      <c r="M1772">
        <f t="shared" si="27"/>
        <v>56</v>
      </c>
      <c r="N1772" t="b">
        <v>0</v>
      </c>
      <c r="O1772">
        <v>0</v>
      </c>
      <c r="Q1772">
        <v>0</v>
      </c>
      <c r="R1772" t="b">
        <v>0</v>
      </c>
    </row>
    <row r="1773" spans="1:18">
      <c r="A1773" t="s">
        <v>3729</v>
      </c>
      <c r="B1773" t="s">
        <v>4598</v>
      </c>
      <c r="C1773" t="s">
        <v>4599</v>
      </c>
      <c r="E1773">
        <v>3</v>
      </c>
      <c r="F1773">
        <v>28</v>
      </c>
      <c r="G1773">
        <v>4</v>
      </c>
      <c r="H1773">
        <v>52</v>
      </c>
      <c r="J1773" t="s">
        <v>22</v>
      </c>
      <c r="K1773" t="b">
        <v>1</v>
      </c>
      <c r="L1773">
        <f t="shared" si="27"/>
        <v>7</v>
      </c>
      <c r="M1773">
        <f t="shared" si="27"/>
        <v>80</v>
      </c>
      <c r="N1773" t="b">
        <v>0</v>
      </c>
      <c r="O1773">
        <v>1</v>
      </c>
      <c r="P1773" t="s">
        <v>4600</v>
      </c>
      <c r="Q1773">
        <v>2</v>
      </c>
      <c r="R1773" t="b">
        <v>1</v>
      </c>
    </row>
    <row r="1774" spans="1:18">
      <c r="A1774" t="s">
        <v>1418</v>
      </c>
      <c r="B1774" t="s">
        <v>4601</v>
      </c>
      <c r="C1774" t="s">
        <v>4602</v>
      </c>
      <c r="E1774">
        <v>3</v>
      </c>
      <c r="F1774">
        <v>3</v>
      </c>
      <c r="G1774">
        <v>4</v>
      </c>
      <c r="H1774">
        <v>7</v>
      </c>
      <c r="J1774" t="s">
        <v>22</v>
      </c>
      <c r="K1774" t="b">
        <v>1</v>
      </c>
      <c r="L1774">
        <f t="shared" si="27"/>
        <v>7</v>
      </c>
      <c r="M1774">
        <f t="shared" si="27"/>
        <v>10</v>
      </c>
      <c r="N1774" t="b">
        <v>0</v>
      </c>
      <c r="O1774">
        <v>1</v>
      </c>
      <c r="P1774" t="s">
        <v>4603</v>
      </c>
      <c r="Q1774">
        <v>2</v>
      </c>
      <c r="R1774" t="b">
        <v>1</v>
      </c>
    </row>
    <row r="1775" spans="1:18">
      <c r="A1775" t="s">
        <v>372</v>
      </c>
      <c r="B1775" t="s">
        <v>4604</v>
      </c>
      <c r="C1775" t="s">
        <v>4605</v>
      </c>
      <c r="E1775">
        <v>5</v>
      </c>
      <c r="F1775">
        <v>6</v>
      </c>
      <c r="G1775">
        <v>2</v>
      </c>
      <c r="H1775">
        <v>21</v>
      </c>
      <c r="J1775" t="s">
        <v>22</v>
      </c>
      <c r="K1775" t="b">
        <v>1</v>
      </c>
      <c r="L1775">
        <f t="shared" si="27"/>
        <v>7</v>
      </c>
      <c r="M1775">
        <f t="shared" si="27"/>
        <v>27</v>
      </c>
      <c r="N1775" t="b">
        <v>0</v>
      </c>
      <c r="O1775">
        <v>1</v>
      </c>
      <c r="P1775" t="s">
        <v>4156</v>
      </c>
      <c r="Q1775">
        <v>2</v>
      </c>
      <c r="R1775" t="b">
        <v>1</v>
      </c>
    </row>
    <row r="1776" spans="1:18">
      <c r="A1776" t="s">
        <v>1987</v>
      </c>
      <c r="B1776" t="s">
        <v>4606</v>
      </c>
      <c r="C1776" t="s">
        <v>4607</v>
      </c>
      <c r="E1776">
        <v>7</v>
      </c>
      <c r="F1776">
        <v>936</v>
      </c>
      <c r="G1776">
        <v>0</v>
      </c>
      <c r="H1776">
        <v>0</v>
      </c>
      <c r="J1776" t="s">
        <v>22</v>
      </c>
      <c r="K1776" t="b">
        <v>1</v>
      </c>
      <c r="L1776">
        <f t="shared" si="27"/>
        <v>7</v>
      </c>
      <c r="M1776">
        <f t="shared" si="27"/>
        <v>936</v>
      </c>
      <c r="N1776" t="b">
        <v>0</v>
      </c>
      <c r="O1776">
        <v>1</v>
      </c>
      <c r="P1776" t="s">
        <v>4608</v>
      </c>
      <c r="Q1776">
        <v>2</v>
      </c>
      <c r="R1776" t="b">
        <v>1</v>
      </c>
    </row>
    <row r="1777" spans="1:18" hidden="1">
      <c r="A1777" t="s">
        <v>1304</v>
      </c>
      <c r="B1777" t="s">
        <v>4609</v>
      </c>
      <c r="C1777" t="s">
        <v>4610</v>
      </c>
      <c r="E1777">
        <v>6</v>
      </c>
      <c r="F1777">
        <v>1019</v>
      </c>
      <c r="G1777">
        <v>1</v>
      </c>
      <c r="H1777">
        <v>2</v>
      </c>
      <c r="J1777" t="s">
        <v>93</v>
      </c>
      <c r="K1777" t="b">
        <v>0</v>
      </c>
      <c r="L1777">
        <f t="shared" si="27"/>
        <v>7</v>
      </c>
      <c r="M1777">
        <f t="shared" si="27"/>
        <v>1021</v>
      </c>
      <c r="N1777" t="b">
        <v>0</v>
      </c>
      <c r="O1777">
        <v>0</v>
      </c>
      <c r="Q1777">
        <v>0</v>
      </c>
      <c r="R1777" t="b">
        <v>0</v>
      </c>
    </row>
    <row r="1778" spans="1:18" hidden="1">
      <c r="A1778" t="s">
        <v>24</v>
      </c>
      <c r="B1778" t="s">
        <v>4611</v>
      </c>
      <c r="C1778" t="s">
        <v>4612</v>
      </c>
      <c r="E1778">
        <v>6</v>
      </c>
      <c r="F1778">
        <v>10</v>
      </c>
      <c r="G1778">
        <v>1</v>
      </c>
      <c r="H1778">
        <v>2</v>
      </c>
      <c r="J1778" t="s">
        <v>93</v>
      </c>
      <c r="K1778" t="b">
        <v>1</v>
      </c>
      <c r="L1778">
        <f t="shared" si="27"/>
        <v>7</v>
      </c>
      <c r="M1778">
        <f t="shared" si="27"/>
        <v>12</v>
      </c>
      <c r="N1778" t="b">
        <v>0</v>
      </c>
      <c r="O1778">
        <v>0</v>
      </c>
      <c r="Q1778">
        <v>0</v>
      </c>
      <c r="R1778" t="b">
        <v>0</v>
      </c>
    </row>
    <row r="1779" spans="1:18" hidden="1">
      <c r="A1779" t="s">
        <v>24</v>
      </c>
      <c r="B1779" t="s">
        <v>4613</v>
      </c>
      <c r="C1779" t="s">
        <v>4614</v>
      </c>
      <c r="E1779">
        <v>7</v>
      </c>
      <c r="F1779">
        <v>27</v>
      </c>
      <c r="G1779">
        <v>0</v>
      </c>
      <c r="H1779">
        <v>0</v>
      </c>
      <c r="J1779" t="s">
        <v>93</v>
      </c>
      <c r="K1779" t="b">
        <v>1</v>
      </c>
      <c r="L1779">
        <f t="shared" si="27"/>
        <v>7</v>
      </c>
      <c r="M1779">
        <f t="shared" si="27"/>
        <v>27</v>
      </c>
      <c r="N1779" t="b">
        <v>0</v>
      </c>
      <c r="O1779">
        <v>0</v>
      </c>
      <c r="Q1779">
        <v>0</v>
      </c>
      <c r="R1779" t="b">
        <v>0</v>
      </c>
    </row>
    <row r="1780" spans="1:18">
      <c r="A1780" t="s">
        <v>24</v>
      </c>
      <c r="B1780" t="s">
        <v>4615</v>
      </c>
      <c r="C1780" t="s">
        <v>4616</v>
      </c>
      <c r="E1780">
        <v>6</v>
      </c>
      <c r="F1780">
        <v>34</v>
      </c>
      <c r="G1780">
        <v>1</v>
      </c>
      <c r="H1780">
        <v>4</v>
      </c>
      <c r="J1780" t="s">
        <v>22</v>
      </c>
      <c r="K1780" t="b">
        <v>1</v>
      </c>
      <c r="L1780">
        <f t="shared" si="27"/>
        <v>7</v>
      </c>
      <c r="M1780">
        <f t="shared" si="27"/>
        <v>38</v>
      </c>
      <c r="N1780" t="b">
        <v>0</v>
      </c>
      <c r="O1780">
        <v>1</v>
      </c>
      <c r="P1780" t="s">
        <v>4617</v>
      </c>
      <c r="Q1780">
        <v>2</v>
      </c>
      <c r="R1780" t="b">
        <v>1</v>
      </c>
    </row>
    <row r="1781" spans="1:18" hidden="1">
      <c r="A1781" t="s">
        <v>205</v>
      </c>
      <c r="B1781" t="s">
        <v>4618</v>
      </c>
      <c r="C1781" t="s">
        <v>4619</v>
      </c>
      <c r="E1781">
        <v>5</v>
      </c>
      <c r="F1781">
        <v>6</v>
      </c>
      <c r="G1781">
        <v>2</v>
      </c>
      <c r="H1781">
        <v>7</v>
      </c>
      <c r="J1781" t="s">
        <v>999</v>
      </c>
      <c r="K1781" t="b">
        <v>1</v>
      </c>
      <c r="L1781">
        <f t="shared" si="27"/>
        <v>7</v>
      </c>
      <c r="M1781">
        <f t="shared" si="27"/>
        <v>13</v>
      </c>
      <c r="N1781" t="b">
        <v>0</v>
      </c>
      <c r="O1781">
        <v>0.5</v>
      </c>
      <c r="P1781" t="s">
        <v>210</v>
      </c>
      <c r="Q1781">
        <v>18</v>
      </c>
      <c r="R1781" t="b">
        <v>1</v>
      </c>
    </row>
    <row r="1782" spans="1:18" hidden="1">
      <c r="A1782" t="s">
        <v>361</v>
      </c>
      <c r="B1782" t="s">
        <v>4620</v>
      </c>
      <c r="C1782" t="s">
        <v>4621</v>
      </c>
      <c r="D1782" t="s">
        <v>519</v>
      </c>
      <c r="E1782">
        <v>6</v>
      </c>
      <c r="F1782">
        <v>464</v>
      </c>
      <c r="G1782">
        <v>1</v>
      </c>
      <c r="H1782">
        <v>1</v>
      </c>
      <c r="I1782" t="s">
        <v>520</v>
      </c>
      <c r="J1782" t="s">
        <v>93</v>
      </c>
      <c r="K1782" t="b">
        <v>0</v>
      </c>
      <c r="L1782">
        <f t="shared" si="27"/>
        <v>7</v>
      </c>
      <c r="M1782">
        <f t="shared" si="27"/>
        <v>465</v>
      </c>
      <c r="N1782" t="b">
        <v>0</v>
      </c>
      <c r="O1782">
        <v>0</v>
      </c>
      <c r="Q1782">
        <v>0</v>
      </c>
      <c r="R1782" t="b">
        <v>0</v>
      </c>
    </row>
    <row r="1783" spans="1:18" hidden="1">
      <c r="A1783" t="s">
        <v>2472</v>
      </c>
      <c r="B1783" t="s">
        <v>4622</v>
      </c>
      <c r="C1783" t="s">
        <v>4623</v>
      </c>
      <c r="E1783">
        <v>5</v>
      </c>
      <c r="F1783">
        <v>7</v>
      </c>
      <c r="G1783">
        <v>2</v>
      </c>
      <c r="H1783">
        <v>4</v>
      </c>
      <c r="J1783" t="s">
        <v>93</v>
      </c>
      <c r="K1783" t="b">
        <v>1</v>
      </c>
      <c r="L1783">
        <f t="shared" si="27"/>
        <v>7</v>
      </c>
      <c r="M1783">
        <f t="shared" si="27"/>
        <v>11</v>
      </c>
      <c r="N1783" t="b">
        <v>0</v>
      </c>
      <c r="O1783">
        <v>0</v>
      </c>
      <c r="Q1783">
        <v>0</v>
      </c>
      <c r="R1783" t="b">
        <v>0</v>
      </c>
    </row>
    <row r="1784" spans="1:18">
      <c r="A1784" t="s">
        <v>59</v>
      </c>
      <c r="B1784" t="s">
        <v>4624</v>
      </c>
      <c r="C1784" t="s">
        <v>4625</v>
      </c>
      <c r="E1784">
        <v>7</v>
      </c>
      <c r="F1784">
        <v>20</v>
      </c>
      <c r="G1784">
        <v>0</v>
      </c>
      <c r="H1784">
        <v>0</v>
      </c>
      <c r="J1784" t="s">
        <v>22</v>
      </c>
      <c r="K1784" t="b">
        <v>1</v>
      </c>
      <c r="L1784">
        <f t="shared" si="27"/>
        <v>7</v>
      </c>
      <c r="M1784">
        <f t="shared" si="27"/>
        <v>20</v>
      </c>
      <c r="N1784" t="b">
        <v>0</v>
      </c>
      <c r="O1784">
        <v>1</v>
      </c>
      <c r="P1784" t="s">
        <v>4626</v>
      </c>
      <c r="Q1784">
        <v>2</v>
      </c>
      <c r="R1784" t="b">
        <v>1</v>
      </c>
    </row>
    <row r="1785" spans="1:18">
      <c r="A1785" t="s">
        <v>59</v>
      </c>
      <c r="B1785" t="s">
        <v>4627</v>
      </c>
      <c r="C1785" t="s">
        <v>4628</v>
      </c>
      <c r="E1785">
        <v>7</v>
      </c>
      <c r="F1785">
        <v>20</v>
      </c>
      <c r="G1785">
        <v>0</v>
      </c>
      <c r="H1785">
        <v>0</v>
      </c>
      <c r="J1785" t="s">
        <v>22</v>
      </c>
      <c r="K1785" t="b">
        <v>1</v>
      </c>
      <c r="L1785">
        <f t="shared" si="27"/>
        <v>7</v>
      </c>
      <c r="M1785">
        <f t="shared" si="27"/>
        <v>20</v>
      </c>
      <c r="N1785" t="b">
        <v>0</v>
      </c>
      <c r="O1785">
        <v>1</v>
      </c>
      <c r="P1785" t="s">
        <v>4629</v>
      </c>
      <c r="Q1785">
        <v>2</v>
      </c>
      <c r="R1785" t="b">
        <v>1</v>
      </c>
    </row>
    <row r="1786" spans="1:18" hidden="1">
      <c r="A1786" t="s">
        <v>59</v>
      </c>
      <c r="B1786" t="s">
        <v>4630</v>
      </c>
      <c r="C1786" t="s">
        <v>4631</v>
      </c>
      <c r="E1786">
        <v>5</v>
      </c>
      <c r="F1786">
        <v>8</v>
      </c>
      <c r="G1786">
        <v>2</v>
      </c>
      <c r="H1786">
        <v>4</v>
      </c>
      <c r="J1786" t="s">
        <v>93</v>
      </c>
      <c r="K1786" t="b">
        <v>1</v>
      </c>
      <c r="L1786">
        <f t="shared" si="27"/>
        <v>7</v>
      </c>
      <c r="M1786">
        <f t="shared" si="27"/>
        <v>12</v>
      </c>
      <c r="N1786" t="b">
        <v>0</v>
      </c>
      <c r="O1786">
        <v>0</v>
      </c>
      <c r="Q1786">
        <v>0</v>
      </c>
      <c r="R1786" t="b">
        <v>0</v>
      </c>
    </row>
    <row r="1787" spans="1:18" hidden="1">
      <c r="A1787" t="s">
        <v>4021</v>
      </c>
      <c r="B1787" t="s">
        <v>4632</v>
      </c>
      <c r="C1787" t="s">
        <v>4633</v>
      </c>
      <c r="E1787">
        <v>0</v>
      </c>
      <c r="F1787">
        <v>0</v>
      </c>
      <c r="G1787">
        <v>7</v>
      </c>
      <c r="H1787">
        <v>395</v>
      </c>
      <c r="J1787" t="s">
        <v>93</v>
      </c>
      <c r="K1787" t="b">
        <v>0</v>
      </c>
      <c r="L1787">
        <f t="shared" si="27"/>
        <v>7</v>
      </c>
      <c r="M1787">
        <f t="shared" si="27"/>
        <v>395</v>
      </c>
      <c r="N1787" t="b">
        <v>0</v>
      </c>
      <c r="O1787">
        <v>0</v>
      </c>
      <c r="Q1787">
        <v>0</v>
      </c>
      <c r="R1787" t="b">
        <v>0</v>
      </c>
    </row>
    <row r="1788" spans="1:18" hidden="1">
      <c r="A1788" t="s">
        <v>4021</v>
      </c>
      <c r="B1788" t="s">
        <v>4634</v>
      </c>
      <c r="C1788" t="s">
        <v>4635</v>
      </c>
      <c r="E1788">
        <v>0</v>
      </c>
      <c r="F1788">
        <v>0</v>
      </c>
      <c r="G1788">
        <v>7</v>
      </c>
      <c r="H1788">
        <v>389</v>
      </c>
      <c r="J1788" t="s">
        <v>93</v>
      </c>
      <c r="K1788" t="b">
        <v>0</v>
      </c>
      <c r="L1788">
        <f t="shared" si="27"/>
        <v>7</v>
      </c>
      <c r="M1788">
        <f t="shared" si="27"/>
        <v>389</v>
      </c>
      <c r="N1788" t="b">
        <v>0</v>
      </c>
      <c r="O1788">
        <v>0</v>
      </c>
      <c r="Q1788">
        <v>0</v>
      </c>
      <c r="R1788" t="b">
        <v>0</v>
      </c>
    </row>
    <row r="1789" spans="1:18" hidden="1">
      <c r="A1789" t="s">
        <v>1424</v>
      </c>
      <c r="B1789" t="s">
        <v>4636</v>
      </c>
      <c r="C1789" t="s">
        <v>4637</v>
      </c>
      <c r="E1789">
        <v>2</v>
      </c>
      <c r="F1789">
        <v>2</v>
      </c>
      <c r="G1789">
        <v>5</v>
      </c>
      <c r="H1789">
        <v>171</v>
      </c>
      <c r="J1789" t="s">
        <v>93</v>
      </c>
      <c r="K1789" t="b">
        <v>0</v>
      </c>
      <c r="L1789">
        <f t="shared" si="27"/>
        <v>7</v>
      </c>
      <c r="M1789">
        <f t="shared" si="27"/>
        <v>173</v>
      </c>
      <c r="N1789" t="b">
        <v>0</v>
      </c>
      <c r="O1789">
        <v>0</v>
      </c>
      <c r="Q1789">
        <v>0</v>
      </c>
      <c r="R1789" t="b">
        <v>0</v>
      </c>
    </row>
    <row r="1790" spans="1:18" hidden="1">
      <c r="A1790" t="s">
        <v>2414</v>
      </c>
      <c r="B1790" t="s">
        <v>4638</v>
      </c>
      <c r="C1790" t="s">
        <v>4639</v>
      </c>
      <c r="E1790">
        <v>4</v>
      </c>
      <c r="F1790">
        <v>45</v>
      </c>
      <c r="G1790">
        <v>3</v>
      </c>
      <c r="H1790">
        <v>10</v>
      </c>
      <c r="J1790" t="s">
        <v>93</v>
      </c>
      <c r="K1790" t="b">
        <v>0</v>
      </c>
      <c r="L1790">
        <f t="shared" si="27"/>
        <v>7</v>
      </c>
      <c r="M1790">
        <f t="shared" si="27"/>
        <v>55</v>
      </c>
      <c r="N1790" t="b">
        <v>0</v>
      </c>
      <c r="O1790">
        <v>0</v>
      </c>
      <c r="Q1790">
        <v>0</v>
      </c>
      <c r="R1790" t="b">
        <v>0</v>
      </c>
    </row>
    <row r="1791" spans="1:18" hidden="1">
      <c r="A1791" t="s">
        <v>37</v>
      </c>
      <c r="B1791" t="s">
        <v>4640</v>
      </c>
      <c r="C1791" t="s">
        <v>4641</v>
      </c>
      <c r="E1791">
        <v>2</v>
      </c>
      <c r="F1791">
        <v>2</v>
      </c>
      <c r="G1791">
        <v>5</v>
      </c>
      <c r="H1791">
        <v>7</v>
      </c>
      <c r="J1791" t="s">
        <v>93</v>
      </c>
      <c r="K1791" t="b">
        <v>1</v>
      </c>
      <c r="L1791">
        <f t="shared" si="27"/>
        <v>7</v>
      </c>
      <c r="M1791">
        <f t="shared" si="27"/>
        <v>9</v>
      </c>
      <c r="N1791" t="b">
        <v>0</v>
      </c>
      <c r="O1791">
        <v>0</v>
      </c>
      <c r="Q1791">
        <v>0</v>
      </c>
      <c r="R1791" t="b">
        <v>0</v>
      </c>
    </row>
    <row r="1792" spans="1:18" hidden="1">
      <c r="A1792" t="s">
        <v>248</v>
      </c>
      <c r="B1792" t="s">
        <v>4642</v>
      </c>
      <c r="C1792" t="s">
        <v>4643</v>
      </c>
      <c r="E1792">
        <v>4</v>
      </c>
      <c r="F1792">
        <v>20</v>
      </c>
      <c r="G1792">
        <v>3</v>
      </c>
      <c r="H1792">
        <v>11</v>
      </c>
      <c r="J1792" t="s">
        <v>93</v>
      </c>
      <c r="K1792" t="b">
        <v>1</v>
      </c>
      <c r="L1792">
        <f t="shared" si="27"/>
        <v>7</v>
      </c>
      <c r="M1792">
        <f t="shared" si="27"/>
        <v>31</v>
      </c>
      <c r="N1792" t="b">
        <v>0</v>
      </c>
      <c r="O1792">
        <v>0</v>
      </c>
      <c r="Q1792">
        <v>0</v>
      </c>
      <c r="R1792" t="b">
        <v>0</v>
      </c>
    </row>
    <row r="1793" spans="1:18" hidden="1">
      <c r="A1793" t="s">
        <v>3250</v>
      </c>
      <c r="B1793" t="s">
        <v>4644</v>
      </c>
      <c r="C1793" t="s">
        <v>4645</v>
      </c>
      <c r="E1793">
        <v>1</v>
      </c>
      <c r="F1793">
        <v>1</v>
      </c>
      <c r="G1793">
        <v>6</v>
      </c>
      <c r="H1793">
        <v>40</v>
      </c>
      <c r="J1793" t="s">
        <v>93</v>
      </c>
      <c r="K1793" t="b">
        <v>0</v>
      </c>
      <c r="L1793">
        <f t="shared" si="27"/>
        <v>7</v>
      </c>
      <c r="M1793">
        <f t="shared" si="27"/>
        <v>41</v>
      </c>
      <c r="N1793" t="b">
        <v>0</v>
      </c>
      <c r="O1793">
        <v>0</v>
      </c>
      <c r="Q1793">
        <v>0</v>
      </c>
      <c r="R1793" t="b">
        <v>0</v>
      </c>
    </row>
    <row r="1794" spans="1:18" hidden="1">
      <c r="A1794" t="s">
        <v>1227</v>
      </c>
      <c r="B1794" t="s">
        <v>4646</v>
      </c>
      <c r="C1794" t="s">
        <v>4647</v>
      </c>
      <c r="E1794">
        <v>7</v>
      </c>
      <c r="F1794">
        <v>19</v>
      </c>
      <c r="G1794">
        <v>0</v>
      </c>
      <c r="H1794">
        <v>0</v>
      </c>
      <c r="J1794" t="s">
        <v>93</v>
      </c>
      <c r="K1794" t="b">
        <v>0</v>
      </c>
      <c r="L1794">
        <f t="shared" si="27"/>
        <v>7</v>
      </c>
      <c r="M1794">
        <f t="shared" si="27"/>
        <v>19</v>
      </c>
      <c r="N1794" t="b">
        <v>0</v>
      </c>
      <c r="O1794">
        <v>0</v>
      </c>
      <c r="Q1794">
        <v>0</v>
      </c>
      <c r="R1794" t="b">
        <v>0</v>
      </c>
    </row>
    <row r="1795" spans="1:18" hidden="1">
      <c r="A1795" t="s">
        <v>1304</v>
      </c>
      <c r="B1795" t="s">
        <v>4648</v>
      </c>
      <c r="C1795" t="s">
        <v>4649</v>
      </c>
      <c r="E1795">
        <v>5</v>
      </c>
      <c r="F1795">
        <v>14</v>
      </c>
      <c r="G1795">
        <v>2</v>
      </c>
      <c r="H1795">
        <v>2</v>
      </c>
      <c r="J1795" t="s">
        <v>93</v>
      </c>
      <c r="K1795" t="b">
        <v>0</v>
      </c>
      <c r="L1795">
        <f t="shared" ref="L1795:M1858" si="28">E1795+G1795</f>
        <v>7</v>
      </c>
      <c r="M1795">
        <f t="shared" si="28"/>
        <v>16</v>
      </c>
      <c r="N1795" t="b">
        <v>0</v>
      </c>
      <c r="O1795">
        <v>0</v>
      </c>
      <c r="Q1795">
        <v>0</v>
      </c>
      <c r="R1795" t="b">
        <v>0</v>
      </c>
    </row>
    <row r="1796" spans="1:18">
      <c r="A1796" t="s">
        <v>2805</v>
      </c>
      <c r="B1796" t="s">
        <v>4650</v>
      </c>
      <c r="C1796" t="s">
        <v>4651</v>
      </c>
      <c r="E1796">
        <v>0</v>
      </c>
      <c r="F1796">
        <v>0</v>
      </c>
      <c r="G1796">
        <v>7</v>
      </c>
      <c r="H1796">
        <v>15</v>
      </c>
      <c r="J1796" t="s">
        <v>22</v>
      </c>
      <c r="K1796" t="b">
        <v>1</v>
      </c>
      <c r="L1796">
        <f t="shared" si="28"/>
        <v>7</v>
      </c>
      <c r="M1796">
        <f t="shared" si="28"/>
        <v>15</v>
      </c>
      <c r="N1796" t="b">
        <v>0</v>
      </c>
      <c r="O1796">
        <v>1</v>
      </c>
      <c r="P1796" t="s">
        <v>4652</v>
      </c>
      <c r="Q1796">
        <v>2</v>
      </c>
      <c r="R1796" t="b">
        <v>1</v>
      </c>
    </row>
    <row r="1797" spans="1:18" hidden="1">
      <c r="A1797" t="s">
        <v>3511</v>
      </c>
      <c r="B1797" t="s">
        <v>4653</v>
      </c>
      <c r="C1797" t="s">
        <v>4654</v>
      </c>
      <c r="E1797">
        <v>5</v>
      </c>
      <c r="F1797">
        <v>10</v>
      </c>
      <c r="G1797">
        <v>2</v>
      </c>
      <c r="H1797">
        <v>2</v>
      </c>
      <c r="J1797" t="s">
        <v>93</v>
      </c>
      <c r="K1797" t="b">
        <v>0</v>
      </c>
      <c r="L1797">
        <f t="shared" si="28"/>
        <v>7</v>
      </c>
      <c r="M1797">
        <f t="shared" si="28"/>
        <v>12</v>
      </c>
      <c r="N1797" t="b">
        <v>0</v>
      </c>
      <c r="O1797">
        <v>0</v>
      </c>
      <c r="Q1797">
        <v>0</v>
      </c>
      <c r="R1797" t="b">
        <v>0</v>
      </c>
    </row>
    <row r="1798" spans="1:18" hidden="1">
      <c r="A1798" t="s">
        <v>1143</v>
      </c>
      <c r="B1798" t="s">
        <v>4655</v>
      </c>
      <c r="C1798" t="s">
        <v>4656</v>
      </c>
      <c r="E1798">
        <v>0</v>
      </c>
      <c r="F1798">
        <v>0</v>
      </c>
      <c r="G1798">
        <v>7</v>
      </c>
      <c r="H1798">
        <v>33</v>
      </c>
      <c r="J1798" t="s">
        <v>93</v>
      </c>
      <c r="K1798" t="b">
        <v>1</v>
      </c>
      <c r="L1798">
        <f t="shared" si="28"/>
        <v>7</v>
      </c>
      <c r="M1798">
        <f t="shared" si="28"/>
        <v>33</v>
      </c>
      <c r="N1798" t="b">
        <v>0</v>
      </c>
      <c r="O1798">
        <v>0</v>
      </c>
      <c r="Q1798">
        <v>0</v>
      </c>
      <c r="R1798" t="b">
        <v>0</v>
      </c>
    </row>
    <row r="1799" spans="1:18" hidden="1">
      <c r="A1799" t="s">
        <v>3247</v>
      </c>
      <c r="B1799" t="s">
        <v>4657</v>
      </c>
      <c r="C1799" t="s">
        <v>4658</v>
      </c>
      <c r="E1799">
        <v>5</v>
      </c>
      <c r="F1799">
        <v>7</v>
      </c>
      <c r="G1799">
        <v>2</v>
      </c>
      <c r="H1799">
        <v>3</v>
      </c>
      <c r="J1799" t="s">
        <v>93</v>
      </c>
      <c r="K1799" t="b">
        <v>0</v>
      </c>
      <c r="L1799">
        <f t="shared" si="28"/>
        <v>7</v>
      </c>
      <c r="M1799">
        <f t="shared" si="28"/>
        <v>10</v>
      </c>
      <c r="N1799" t="b">
        <v>0</v>
      </c>
      <c r="O1799">
        <v>0</v>
      </c>
      <c r="Q1799">
        <v>0</v>
      </c>
      <c r="R1799" t="b">
        <v>0</v>
      </c>
    </row>
    <row r="1800" spans="1:18">
      <c r="A1800" t="s">
        <v>378</v>
      </c>
      <c r="B1800" t="s">
        <v>4659</v>
      </c>
      <c r="C1800" t="s">
        <v>4660</v>
      </c>
      <c r="E1800">
        <v>3</v>
      </c>
      <c r="F1800">
        <v>25</v>
      </c>
      <c r="G1800">
        <v>4</v>
      </c>
      <c r="H1800">
        <v>14</v>
      </c>
      <c r="J1800" t="s">
        <v>22</v>
      </c>
      <c r="K1800" t="b">
        <v>1</v>
      </c>
      <c r="L1800">
        <f t="shared" si="28"/>
        <v>7</v>
      </c>
      <c r="M1800">
        <f t="shared" si="28"/>
        <v>39</v>
      </c>
      <c r="N1800" t="b">
        <v>0</v>
      </c>
      <c r="O1800">
        <v>1</v>
      </c>
      <c r="P1800" t="s">
        <v>4661</v>
      </c>
      <c r="Q1800">
        <v>2</v>
      </c>
      <c r="R1800" t="b">
        <v>1</v>
      </c>
    </row>
    <row r="1801" spans="1:18">
      <c r="A1801" t="s">
        <v>378</v>
      </c>
      <c r="B1801" t="s">
        <v>4662</v>
      </c>
      <c r="C1801" t="s">
        <v>4663</v>
      </c>
      <c r="E1801">
        <v>2</v>
      </c>
      <c r="F1801">
        <v>3</v>
      </c>
      <c r="G1801">
        <v>5</v>
      </c>
      <c r="H1801">
        <v>136</v>
      </c>
      <c r="J1801" t="s">
        <v>22</v>
      </c>
      <c r="K1801" t="b">
        <v>1</v>
      </c>
      <c r="L1801">
        <f t="shared" si="28"/>
        <v>7</v>
      </c>
      <c r="M1801">
        <f t="shared" si="28"/>
        <v>139</v>
      </c>
      <c r="N1801" t="b">
        <v>0</v>
      </c>
      <c r="O1801">
        <v>1</v>
      </c>
      <c r="P1801" t="s">
        <v>4664</v>
      </c>
      <c r="Q1801">
        <v>2</v>
      </c>
      <c r="R1801" t="b">
        <v>1</v>
      </c>
    </row>
    <row r="1802" spans="1:18">
      <c r="A1802" t="s">
        <v>378</v>
      </c>
      <c r="B1802" t="s">
        <v>4665</v>
      </c>
      <c r="C1802" t="s">
        <v>4666</v>
      </c>
      <c r="E1802">
        <v>5</v>
      </c>
      <c r="F1802">
        <v>192</v>
      </c>
      <c r="G1802">
        <v>2</v>
      </c>
      <c r="H1802">
        <v>2</v>
      </c>
      <c r="J1802" t="s">
        <v>22</v>
      </c>
      <c r="K1802" t="b">
        <v>1</v>
      </c>
      <c r="L1802">
        <f t="shared" si="28"/>
        <v>7</v>
      </c>
      <c r="M1802">
        <f t="shared" si="28"/>
        <v>194</v>
      </c>
      <c r="N1802" t="b">
        <v>0</v>
      </c>
      <c r="O1802">
        <v>1</v>
      </c>
      <c r="P1802" t="s">
        <v>4667</v>
      </c>
      <c r="Q1802">
        <v>2</v>
      </c>
      <c r="R1802" t="b">
        <v>1</v>
      </c>
    </row>
    <row r="1803" spans="1:18" hidden="1">
      <c r="A1803" t="s">
        <v>816</v>
      </c>
      <c r="B1803" t="s">
        <v>4668</v>
      </c>
      <c r="C1803" t="s">
        <v>4669</v>
      </c>
      <c r="D1803" t="s">
        <v>519</v>
      </c>
      <c r="E1803">
        <v>7</v>
      </c>
      <c r="F1803">
        <v>9</v>
      </c>
      <c r="G1803">
        <v>0</v>
      </c>
      <c r="H1803">
        <v>0</v>
      </c>
      <c r="I1803" t="s">
        <v>819</v>
      </c>
      <c r="J1803" t="s">
        <v>93</v>
      </c>
      <c r="K1803" t="b">
        <v>0</v>
      </c>
      <c r="L1803">
        <f t="shared" si="28"/>
        <v>7</v>
      </c>
      <c r="M1803">
        <f t="shared" si="28"/>
        <v>9</v>
      </c>
      <c r="N1803" t="b">
        <v>0</v>
      </c>
      <c r="O1803">
        <v>0</v>
      </c>
      <c r="Q1803">
        <v>0</v>
      </c>
      <c r="R1803" t="b">
        <v>0</v>
      </c>
    </row>
    <row r="1804" spans="1:18" hidden="1">
      <c r="A1804" t="s">
        <v>3015</v>
      </c>
      <c r="B1804" t="s">
        <v>4670</v>
      </c>
      <c r="C1804" t="s">
        <v>4671</v>
      </c>
      <c r="E1804">
        <v>3</v>
      </c>
      <c r="F1804">
        <v>1</v>
      </c>
      <c r="G1804">
        <v>4</v>
      </c>
      <c r="H1804">
        <v>6</v>
      </c>
      <c r="J1804" t="s">
        <v>93</v>
      </c>
      <c r="K1804" t="b">
        <v>0</v>
      </c>
      <c r="L1804">
        <f t="shared" si="28"/>
        <v>7</v>
      </c>
      <c r="M1804">
        <f t="shared" si="28"/>
        <v>7</v>
      </c>
      <c r="N1804" t="b">
        <v>0</v>
      </c>
      <c r="O1804">
        <v>0</v>
      </c>
      <c r="Q1804">
        <v>0</v>
      </c>
      <c r="R1804" t="b">
        <v>0</v>
      </c>
    </row>
    <row r="1805" spans="1:18">
      <c r="A1805" t="s">
        <v>1384</v>
      </c>
      <c r="B1805" t="s">
        <v>4672</v>
      </c>
      <c r="C1805" t="s">
        <v>4673</v>
      </c>
      <c r="E1805">
        <v>5</v>
      </c>
      <c r="F1805">
        <v>72</v>
      </c>
      <c r="G1805">
        <v>2</v>
      </c>
      <c r="H1805">
        <v>3</v>
      </c>
      <c r="J1805" t="s">
        <v>22</v>
      </c>
      <c r="K1805" t="b">
        <v>1</v>
      </c>
      <c r="L1805">
        <f t="shared" si="28"/>
        <v>7</v>
      </c>
      <c r="M1805">
        <f t="shared" si="28"/>
        <v>75</v>
      </c>
      <c r="N1805" t="b">
        <v>0</v>
      </c>
      <c r="O1805">
        <v>1</v>
      </c>
      <c r="P1805" t="s">
        <v>4674</v>
      </c>
      <c r="Q1805">
        <v>2</v>
      </c>
      <c r="R1805" t="b">
        <v>1</v>
      </c>
    </row>
    <row r="1806" spans="1:18">
      <c r="A1806" t="s">
        <v>30</v>
      </c>
      <c r="B1806" t="s">
        <v>4675</v>
      </c>
      <c r="C1806" t="s">
        <v>4676</v>
      </c>
      <c r="E1806">
        <v>6</v>
      </c>
      <c r="F1806">
        <v>12</v>
      </c>
      <c r="G1806">
        <v>1</v>
      </c>
      <c r="H1806">
        <v>2</v>
      </c>
      <c r="J1806" t="s">
        <v>22</v>
      </c>
      <c r="K1806" t="b">
        <v>1</v>
      </c>
      <c r="L1806">
        <f t="shared" si="28"/>
        <v>7</v>
      </c>
      <c r="M1806">
        <f t="shared" si="28"/>
        <v>14</v>
      </c>
      <c r="N1806" t="b">
        <v>0</v>
      </c>
      <c r="O1806">
        <v>1</v>
      </c>
      <c r="P1806" t="s">
        <v>4677</v>
      </c>
      <c r="Q1806">
        <v>6</v>
      </c>
      <c r="R1806" t="b">
        <v>1</v>
      </c>
    </row>
    <row r="1807" spans="1:18">
      <c r="A1807" t="s">
        <v>30</v>
      </c>
      <c r="B1807" t="s">
        <v>4678</v>
      </c>
      <c r="C1807" t="s">
        <v>4679</v>
      </c>
      <c r="E1807">
        <v>6</v>
      </c>
      <c r="F1807">
        <v>48</v>
      </c>
      <c r="G1807">
        <v>1</v>
      </c>
      <c r="H1807">
        <v>1</v>
      </c>
      <c r="J1807" t="s">
        <v>22</v>
      </c>
      <c r="K1807" t="b">
        <v>1</v>
      </c>
      <c r="L1807">
        <f t="shared" si="28"/>
        <v>7</v>
      </c>
      <c r="M1807">
        <f t="shared" si="28"/>
        <v>49</v>
      </c>
      <c r="N1807" t="b">
        <v>0</v>
      </c>
      <c r="O1807">
        <v>1</v>
      </c>
      <c r="P1807" t="s">
        <v>4680</v>
      </c>
      <c r="Q1807">
        <v>2</v>
      </c>
      <c r="R1807" t="b">
        <v>1</v>
      </c>
    </row>
    <row r="1808" spans="1:18" hidden="1">
      <c r="A1808" t="s">
        <v>192</v>
      </c>
      <c r="B1808" t="s">
        <v>4681</v>
      </c>
      <c r="C1808" t="s">
        <v>4682</v>
      </c>
      <c r="E1808">
        <v>1</v>
      </c>
      <c r="F1808">
        <v>1</v>
      </c>
      <c r="G1808">
        <v>6</v>
      </c>
      <c r="H1808">
        <v>25</v>
      </c>
      <c r="J1808" t="s">
        <v>93</v>
      </c>
      <c r="K1808" t="b">
        <v>1</v>
      </c>
      <c r="L1808">
        <f t="shared" si="28"/>
        <v>7</v>
      </c>
      <c r="M1808">
        <f t="shared" si="28"/>
        <v>26</v>
      </c>
      <c r="N1808" t="b">
        <v>0</v>
      </c>
      <c r="O1808">
        <v>0</v>
      </c>
      <c r="Q1808">
        <v>0</v>
      </c>
      <c r="R1808" t="b">
        <v>0</v>
      </c>
    </row>
    <row r="1809" spans="1:18">
      <c r="A1809" t="s">
        <v>192</v>
      </c>
      <c r="B1809" t="s">
        <v>4683</v>
      </c>
      <c r="C1809" t="s">
        <v>4684</v>
      </c>
      <c r="E1809">
        <v>7</v>
      </c>
      <c r="F1809">
        <v>2</v>
      </c>
      <c r="G1809">
        <v>0</v>
      </c>
      <c r="H1809">
        <v>0</v>
      </c>
      <c r="J1809" t="s">
        <v>22</v>
      </c>
      <c r="K1809" t="b">
        <v>1</v>
      </c>
      <c r="L1809">
        <f t="shared" si="28"/>
        <v>7</v>
      </c>
      <c r="M1809">
        <f t="shared" si="28"/>
        <v>2</v>
      </c>
      <c r="N1809" t="b">
        <v>0</v>
      </c>
      <c r="O1809">
        <v>1</v>
      </c>
      <c r="P1809" t="s">
        <v>4685</v>
      </c>
      <c r="Q1809">
        <v>2</v>
      </c>
      <c r="R1809" t="b">
        <v>1</v>
      </c>
    </row>
    <row r="1810" spans="1:18">
      <c r="A1810" t="s">
        <v>192</v>
      </c>
      <c r="B1810" t="s">
        <v>4686</v>
      </c>
      <c r="C1810" t="s">
        <v>4687</v>
      </c>
      <c r="E1810">
        <v>7</v>
      </c>
      <c r="F1810">
        <v>0</v>
      </c>
      <c r="G1810">
        <v>0</v>
      </c>
      <c r="H1810">
        <v>0</v>
      </c>
      <c r="J1810" t="s">
        <v>22</v>
      </c>
      <c r="K1810" t="b">
        <v>1</v>
      </c>
      <c r="L1810">
        <f t="shared" si="28"/>
        <v>7</v>
      </c>
      <c r="M1810">
        <f t="shared" si="28"/>
        <v>0</v>
      </c>
      <c r="N1810" t="b">
        <v>0</v>
      </c>
      <c r="O1810">
        <v>1</v>
      </c>
      <c r="P1810" t="s">
        <v>4688</v>
      </c>
      <c r="Q1810">
        <v>2</v>
      </c>
      <c r="R1810" t="b">
        <v>1</v>
      </c>
    </row>
    <row r="1811" spans="1:18" hidden="1">
      <c r="A1811" t="s">
        <v>192</v>
      </c>
      <c r="B1811" t="s">
        <v>4689</v>
      </c>
      <c r="C1811" t="s">
        <v>4690</v>
      </c>
      <c r="E1811">
        <v>7</v>
      </c>
      <c r="F1811">
        <v>0</v>
      </c>
      <c r="G1811">
        <v>0</v>
      </c>
      <c r="H1811">
        <v>0</v>
      </c>
      <c r="J1811" t="s">
        <v>93</v>
      </c>
      <c r="K1811" t="b">
        <v>1</v>
      </c>
      <c r="L1811">
        <f t="shared" si="28"/>
        <v>7</v>
      </c>
      <c r="M1811">
        <f t="shared" si="28"/>
        <v>0</v>
      </c>
      <c r="N1811" t="b">
        <v>0</v>
      </c>
      <c r="O1811">
        <v>0</v>
      </c>
      <c r="Q1811">
        <v>0</v>
      </c>
      <c r="R1811" t="b">
        <v>0</v>
      </c>
    </row>
    <row r="1812" spans="1:18" hidden="1">
      <c r="A1812" t="s">
        <v>192</v>
      </c>
      <c r="B1812" t="s">
        <v>4691</v>
      </c>
      <c r="C1812" t="s">
        <v>4692</v>
      </c>
      <c r="E1812">
        <v>7</v>
      </c>
      <c r="F1812">
        <v>0</v>
      </c>
      <c r="G1812">
        <v>0</v>
      </c>
      <c r="H1812">
        <v>0</v>
      </c>
      <c r="J1812" t="s">
        <v>93</v>
      </c>
      <c r="K1812" t="b">
        <v>1</v>
      </c>
      <c r="L1812">
        <f t="shared" si="28"/>
        <v>7</v>
      </c>
      <c r="M1812">
        <f t="shared" si="28"/>
        <v>0</v>
      </c>
      <c r="N1812" t="b">
        <v>0</v>
      </c>
      <c r="O1812">
        <v>0</v>
      </c>
      <c r="Q1812">
        <v>0</v>
      </c>
      <c r="R1812" t="b">
        <v>0</v>
      </c>
    </row>
    <row r="1813" spans="1:18" hidden="1">
      <c r="A1813" t="s">
        <v>1167</v>
      </c>
      <c r="B1813" t="s">
        <v>4693</v>
      </c>
      <c r="C1813" t="s">
        <v>4694</v>
      </c>
      <c r="E1813">
        <v>5</v>
      </c>
      <c r="F1813">
        <v>15</v>
      </c>
      <c r="G1813">
        <v>2</v>
      </c>
      <c r="H1813">
        <v>2</v>
      </c>
      <c r="J1813" t="s">
        <v>93</v>
      </c>
      <c r="K1813" t="b">
        <v>1</v>
      </c>
      <c r="L1813">
        <f t="shared" si="28"/>
        <v>7</v>
      </c>
      <c r="M1813">
        <f t="shared" si="28"/>
        <v>17</v>
      </c>
      <c r="N1813" t="b">
        <v>0</v>
      </c>
      <c r="O1813">
        <v>0</v>
      </c>
      <c r="Q1813">
        <v>0</v>
      </c>
      <c r="R1813" t="b">
        <v>0</v>
      </c>
    </row>
    <row r="1814" spans="1:18" hidden="1">
      <c r="A1814" t="s">
        <v>1167</v>
      </c>
      <c r="B1814" t="s">
        <v>4695</v>
      </c>
      <c r="C1814" t="s">
        <v>4696</v>
      </c>
      <c r="E1814">
        <v>5</v>
      </c>
      <c r="F1814">
        <v>15</v>
      </c>
      <c r="G1814">
        <v>2</v>
      </c>
      <c r="H1814">
        <v>2</v>
      </c>
      <c r="J1814" t="s">
        <v>93</v>
      </c>
      <c r="K1814" t="b">
        <v>1</v>
      </c>
      <c r="L1814">
        <f t="shared" si="28"/>
        <v>7</v>
      </c>
      <c r="M1814">
        <f t="shared" si="28"/>
        <v>17</v>
      </c>
      <c r="N1814" t="b">
        <v>0</v>
      </c>
      <c r="O1814">
        <v>0</v>
      </c>
      <c r="Q1814">
        <v>0</v>
      </c>
      <c r="R1814" t="b">
        <v>0</v>
      </c>
    </row>
    <row r="1815" spans="1:18">
      <c r="A1815" t="s">
        <v>1167</v>
      </c>
      <c r="B1815" t="s">
        <v>4697</v>
      </c>
      <c r="C1815" t="s">
        <v>4698</v>
      </c>
      <c r="E1815">
        <v>6</v>
      </c>
      <c r="F1815">
        <v>2</v>
      </c>
      <c r="G1815">
        <v>1</v>
      </c>
      <c r="H1815">
        <v>7</v>
      </c>
      <c r="J1815" t="s">
        <v>22</v>
      </c>
      <c r="K1815" t="b">
        <v>1</v>
      </c>
      <c r="L1815">
        <f t="shared" si="28"/>
        <v>7</v>
      </c>
      <c r="M1815">
        <f t="shared" si="28"/>
        <v>9</v>
      </c>
      <c r="N1815" t="b">
        <v>0</v>
      </c>
      <c r="O1815">
        <v>1</v>
      </c>
      <c r="P1815" t="s">
        <v>4699</v>
      </c>
      <c r="Q1815">
        <v>2</v>
      </c>
      <c r="R1815" t="b">
        <v>1</v>
      </c>
    </row>
    <row r="1816" spans="1:18">
      <c r="A1816" t="s">
        <v>1167</v>
      </c>
      <c r="B1816" t="s">
        <v>4700</v>
      </c>
      <c r="C1816" t="s">
        <v>4701</v>
      </c>
      <c r="E1816">
        <v>7</v>
      </c>
      <c r="F1816">
        <v>51</v>
      </c>
      <c r="G1816">
        <v>0</v>
      </c>
      <c r="H1816">
        <v>0</v>
      </c>
      <c r="J1816" t="s">
        <v>22</v>
      </c>
      <c r="K1816" t="b">
        <v>1</v>
      </c>
      <c r="L1816">
        <f t="shared" si="28"/>
        <v>7</v>
      </c>
      <c r="M1816">
        <f t="shared" si="28"/>
        <v>51</v>
      </c>
      <c r="N1816" t="b">
        <v>0</v>
      </c>
      <c r="O1816">
        <v>1</v>
      </c>
      <c r="P1816" t="s">
        <v>4702</v>
      </c>
      <c r="Q1816">
        <v>2</v>
      </c>
      <c r="R1816" t="b">
        <v>1</v>
      </c>
    </row>
    <row r="1817" spans="1:18" hidden="1">
      <c r="A1817" t="s">
        <v>19</v>
      </c>
      <c r="B1817" t="s">
        <v>4703</v>
      </c>
      <c r="C1817" t="s">
        <v>4704</v>
      </c>
      <c r="E1817">
        <v>6</v>
      </c>
      <c r="F1817">
        <v>464</v>
      </c>
      <c r="G1817">
        <v>1</v>
      </c>
      <c r="H1817">
        <v>1</v>
      </c>
      <c r="J1817" t="s">
        <v>93</v>
      </c>
      <c r="K1817" t="b">
        <v>1</v>
      </c>
      <c r="L1817">
        <f t="shared" si="28"/>
        <v>7</v>
      </c>
      <c r="M1817">
        <f t="shared" si="28"/>
        <v>465</v>
      </c>
      <c r="N1817" t="b">
        <v>0</v>
      </c>
      <c r="O1817">
        <v>0.5</v>
      </c>
      <c r="P1817" t="s">
        <v>2908</v>
      </c>
      <c r="Q1817">
        <v>2</v>
      </c>
      <c r="R1817" t="b">
        <v>1</v>
      </c>
    </row>
    <row r="1818" spans="1:18">
      <c r="A1818" t="s">
        <v>1782</v>
      </c>
      <c r="B1818" t="s">
        <v>4705</v>
      </c>
      <c r="C1818" t="s">
        <v>4706</v>
      </c>
      <c r="E1818">
        <v>5</v>
      </c>
      <c r="F1818">
        <v>11</v>
      </c>
      <c r="G1818">
        <v>2</v>
      </c>
      <c r="H1818">
        <v>4</v>
      </c>
      <c r="J1818" t="s">
        <v>22</v>
      </c>
      <c r="K1818" t="b">
        <v>1</v>
      </c>
      <c r="L1818">
        <f t="shared" si="28"/>
        <v>7</v>
      </c>
      <c r="M1818">
        <f t="shared" si="28"/>
        <v>15</v>
      </c>
      <c r="N1818" t="b">
        <v>0</v>
      </c>
      <c r="O1818">
        <v>1</v>
      </c>
      <c r="P1818" t="s">
        <v>4707</v>
      </c>
      <c r="Q1818">
        <v>2</v>
      </c>
      <c r="R1818" t="b">
        <v>1</v>
      </c>
    </row>
    <row r="1819" spans="1:18" hidden="1">
      <c r="A1819" t="s">
        <v>1782</v>
      </c>
      <c r="B1819" t="s">
        <v>4708</v>
      </c>
      <c r="C1819" s="2" t="s">
        <v>4709</v>
      </c>
      <c r="D1819" s="2"/>
      <c r="E1819">
        <v>5</v>
      </c>
      <c r="F1819">
        <v>11</v>
      </c>
      <c r="G1819">
        <v>2</v>
      </c>
      <c r="H1819">
        <v>4</v>
      </c>
      <c r="J1819" t="s">
        <v>93</v>
      </c>
      <c r="K1819" t="b">
        <v>1</v>
      </c>
      <c r="L1819">
        <f t="shared" si="28"/>
        <v>7</v>
      </c>
      <c r="M1819">
        <f t="shared" si="28"/>
        <v>15</v>
      </c>
      <c r="N1819" t="b">
        <v>0</v>
      </c>
      <c r="O1819">
        <v>0</v>
      </c>
      <c r="Q1819">
        <v>0</v>
      </c>
      <c r="R1819" t="b">
        <v>0</v>
      </c>
    </row>
    <row r="1820" spans="1:18">
      <c r="A1820" t="s">
        <v>1782</v>
      </c>
      <c r="B1820" t="s">
        <v>4710</v>
      </c>
      <c r="C1820" t="s">
        <v>4711</v>
      </c>
      <c r="E1820">
        <v>5</v>
      </c>
      <c r="F1820">
        <v>11</v>
      </c>
      <c r="G1820">
        <v>2</v>
      </c>
      <c r="H1820">
        <v>4</v>
      </c>
      <c r="J1820" t="s">
        <v>22</v>
      </c>
      <c r="K1820" t="b">
        <v>1</v>
      </c>
      <c r="L1820">
        <f t="shared" si="28"/>
        <v>7</v>
      </c>
      <c r="M1820">
        <f t="shared" si="28"/>
        <v>15</v>
      </c>
      <c r="N1820" t="b">
        <v>0</v>
      </c>
      <c r="O1820">
        <v>1</v>
      </c>
      <c r="P1820" t="s">
        <v>4712</v>
      </c>
      <c r="Q1820">
        <v>2</v>
      </c>
      <c r="R1820" t="b">
        <v>1</v>
      </c>
    </row>
    <row r="1821" spans="1:18" hidden="1">
      <c r="A1821" t="s">
        <v>1191</v>
      </c>
      <c r="B1821" t="s">
        <v>4713</v>
      </c>
      <c r="C1821" t="s">
        <v>4714</v>
      </c>
      <c r="E1821">
        <v>4</v>
      </c>
      <c r="F1821">
        <v>8</v>
      </c>
      <c r="G1821">
        <v>2</v>
      </c>
      <c r="H1821">
        <v>5</v>
      </c>
      <c r="J1821" t="s">
        <v>93</v>
      </c>
      <c r="K1821" t="b">
        <v>1</v>
      </c>
      <c r="L1821">
        <f t="shared" si="28"/>
        <v>6</v>
      </c>
      <c r="M1821">
        <f t="shared" si="28"/>
        <v>13</v>
      </c>
      <c r="N1821" t="b">
        <v>0</v>
      </c>
      <c r="O1821">
        <v>0.2</v>
      </c>
      <c r="P1821" t="s">
        <v>4715</v>
      </c>
      <c r="Q1821">
        <v>8</v>
      </c>
      <c r="R1821" t="b">
        <v>1</v>
      </c>
    </row>
    <row r="1822" spans="1:18">
      <c r="A1822" t="s">
        <v>1191</v>
      </c>
      <c r="B1822" t="s">
        <v>4716</v>
      </c>
      <c r="C1822" t="s">
        <v>4717</v>
      </c>
      <c r="E1822">
        <v>4</v>
      </c>
      <c r="F1822">
        <v>9</v>
      </c>
      <c r="G1822">
        <v>2</v>
      </c>
      <c r="H1822">
        <v>3</v>
      </c>
      <c r="J1822" t="s">
        <v>22</v>
      </c>
      <c r="K1822" t="b">
        <v>1</v>
      </c>
      <c r="L1822">
        <f t="shared" si="28"/>
        <v>6</v>
      </c>
      <c r="M1822">
        <f t="shared" si="28"/>
        <v>12</v>
      </c>
      <c r="N1822" t="b">
        <v>0</v>
      </c>
      <c r="O1822">
        <v>1</v>
      </c>
      <c r="P1822" t="s">
        <v>4718</v>
      </c>
      <c r="Q1822">
        <v>2</v>
      </c>
      <c r="R1822" t="b">
        <v>1</v>
      </c>
    </row>
    <row r="1823" spans="1:18">
      <c r="A1823" t="s">
        <v>372</v>
      </c>
      <c r="B1823" t="s">
        <v>4719</v>
      </c>
      <c r="C1823" t="s">
        <v>4720</v>
      </c>
      <c r="E1823">
        <v>5</v>
      </c>
      <c r="F1823">
        <v>36</v>
      </c>
      <c r="G1823">
        <v>1</v>
      </c>
      <c r="H1823">
        <v>2</v>
      </c>
      <c r="J1823" t="s">
        <v>22</v>
      </c>
      <c r="K1823" t="b">
        <v>1</v>
      </c>
      <c r="L1823">
        <f t="shared" si="28"/>
        <v>6</v>
      </c>
      <c r="M1823">
        <f t="shared" si="28"/>
        <v>38</v>
      </c>
      <c r="N1823" t="b">
        <v>0</v>
      </c>
      <c r="O1823">
        <v>1</v>
      </c>
      <c r="P1823" t="s">
        <v>4721</v>
      </c>
      <c r="Q1823">
        <v>2</v>
      </c>
      <c r="R1823" t="b">
        <v>1</v>
      </c>
    </row>
    <row r="1824" spans="1:18">
      <c r="A1824" t="s">
        <v>372</v>
      </c>
      <c r="B1824" t="s">
        <v>4722</v>
      </c>
      <c r="C1824" t="s">
        <v>4723</v>
      </c>
      <c r="E1824">
        <v>5</v>
      </c>
      <c r="F1824">
        <v>36</v>
      </c>
      <c r="G1824">
        <v>1</v>
      </c>
      <c r="H1824">
        <v>2</v>
      </c>
      <c r="J1824" t="s">
        <v>22</v>
      </c>
      <c r="K1824" t="b">
        <v>1</v>
      </c>
      <c r="L1824">
        <f t="shared" si="28"/>
        <v>6</v>
      </c>
      <c r="M1824">
        <f t="shared" si="28"/>
        <v>38</v>
      </c>
      <c r="N1824" t="b">
        <v>0</v>
      </c>
      <c r="O1824">
        <v>1</v>
      </c>
      <c r="P1824" t="s">
        <v>4724</v>
      </c>
      <c r="Q1824">
        <v>2</v>
      </c>
      <c r="R1824" t="b">
        <v>1</v>
      </c>
    </row>
    <row r="1825" spans="1:18">
      <c r="A1825" t="s">
        <v>372</v>
      </c>
      <c r="B1825" t="s">
        <v>4725</v>
      </c>
      <c r="C1825" t="s">
        <v>4726</v>
      </c>
      <c r="E1825">
        <v>5</v>
      </c>
      <c r="F1825">
        <v>36</v>
      </c>
      <c r="G1825">
        <v>1</v>
      </c>
      <c r="H1825">
        <v>2</v>
      </c>
      <c r="J1825" t="s">
        <v>22</v>
      </c>
      <c r="K1825" t="b">
        <v>1</v>
      </c>
      <c r="L1825">
        <f t="shared" si="28"/>
        <v>6</v>
      </c>
      <c r="M1825">
        <f t="shared" si="28"/>
        <v>38</v>
      </c>
      <c r="N1825" t="b">
        <v>0</v>
      </c>
      <c r="O1825">
        <v>1</v>
      </c>
      <c r="P1825" t="s">
        <v>4727</v>
      </c>
      <c r="Q1825">
        <v>2</v>
      </c>
      <c r="R1825" t="b">
        <v>1</v>
      </c>
    </row>
    <row r="1826" spans="1:18">
      <c r="A1826" t="s">
        <v>372</v>
      </c>
      <c r="B1826" t="s">
        <v>4728</v>
      </c>
      <c r="C1826" t="s">
        <v>4729</v>
      </c>
      <c r="E1826">
        <v>4</v>
      </c>
      <c r="F1826">
        <v>33</v>
      </c>
      <c r="G1826">
        <v>2</v>
      </c>
      <c r="H1826">
        <v>147</v>
      </c>
      <c r="J1826" t="s">
        <v>22</v>
      </c>
      <c r="K1826" t="b">
        <v>1</v>
      </c>
      <c r="L1826">
        <f t="shared" si="28"/>
        <v>6</v>
      </c>
      <c r="M1826">
        <f t="shared" si="28"/>
        <v>180</v>
      </c>
      <c r="N1826" t="b">
        <v>0</v>
      </c>
      <c r="O1826">
        <v>1</v>
      </c>
      <c r="P1826" t="s">
        <v>4730</v>
      </c>
      <c r="Q1826">
        <v>2</v>
      </c>
      <c r="R1826" t="b">
        <v>1</v>
      </c>
    </row>
    <row r="1827" spans="1:18">
      <c r="A1827" t="s">
        <v>3627</v>
      </c>
      <c r="B1827" t="s">
        <v>4731</v>
      </c>
      <c r="C1827" t="s">
        <v>4732</v>
      </c>
      <c r="E1827">
        <v>4</v>
      </c>
      <c r="F1827">
        <v>1011</v>
      </c>
      <c r="G1827">
        <v>2</v>
      </c>
      <c r="H1827">
        <v>4</v>
      </c>
      <c r="J1827" t="s">
        <v>22</v>
      </c>
      <c r="K1827" t="b">
        <v>1</v>
      </c>
      <c r="L1827">
        <f t="shared" si="28"/>
        <v>6</v>
      </c>
      <c r="M1827">
        <f t="shared" si="28"/>
        <v>1015</v>
      </c>
      <c r="N1827" t="b">
        <v>0</v>
      </c>
      <c r="O1827">
        <v>1</v>
      </c>
      <c r="P1827" t="s">
        <v>4733</v>
      </c>
      <c r="Q1827">
        <v>2</v>
      </c>
      <c r="R1827" t="b">
        <v>1</v>
      </c>
    </row>
    <row r="1828" spans="1:18">
      <c r="A1828" t="s">
        <v>1987</v>
      </c>
      <c r="B1828" t="s">
        <v>4734</v>
      </c>
      <c r="C1828" t="s">
        <v>4735</v>
      </c>
      <c r="E1828">
        <v>6</v>
      </c>
      <c r="F1828">
        <v>935</v>
      </c>
      <c r="G1828">
        <v>0</v>
      </c>
      <c r="H1828">
        <v>0</v>
      </c>
      <c r="J1828" t="s">
        <v>22</v>
      </c>
      <c r="K1828" t="b">
        <v>1</v>
      </c>
      <c r="L1828">
        <f t="shared" si="28"/>
        <v>6</v>
      </c>
      <c r="M1828">
        <f t="shared" si="28"/>
        <v>935</v>
      </c>
      <c r="N1828" t="b">
        <v>0</v>
      </c>
      <c r="O1828">
        <v>1</v>
      </c>
      <c r="P1828" t="s">
        <v>4736</v>
      </c>
      <c r="Q1828">
        <v>2</v>
      </c>
      <c r="R1828" t="b">
        <v>1</v>
      </c>
    </row>
    <row r="1829" spans="1:18">
      <c r="A1829" t="s">
        <v>1987</v>
      </c>
      <c r="B1829" t="s">
        <v>4737</v>
      </c>
      <c r="C1829" t="s">
        <v>4738</v>
      </c>
      <c r="E1829">
        <v>6</v>
      </c>
      <c r="F1829">
        <v>7</v>
      </c>
      <c r="G1829">
        <v>0</v>
      </c>
      <c r="H1829">
        <v>0</v>
      </c>
      <c r="J1829" t="s">
        <v>22</v>
      </c>
      <c r="K1829" t="b">
        <v>1</v>
      </c>
      <c r="L1829">
        <f t="shared" si="28"/>
        <v>6</v>
      </c>
      <c r="M1829">
        <f t="shared" si="28"/>
        <v>7</v>
      </c>
      <c r="N1829" t="b">
        <v>0</v>
      </c>
      <c r="O1829">
        <v>1</v>
      </c>
      <c r="P1829" t="s">
        <v>4739</v>
      </c>
      <c r="Q1829">
        <v>2</v>
      </c>
      <c r="R1829" t="b">
        <v>1</v>
      </c>
    </row>
    <row r="1830" spans="1:18">
      <c r="A1830" t="s">
        <v>24</v>
      </c>
      <c r="B1830" t="s">
        <v>4740</v>
      </c>
      <c r="C1830" t="s">
        <v>4741</v>
      </c>
      <c r="E1830">
        <v>6</v>
      </c>
      <c r="F1830">
        <v>7</v>
      </c>
      <c r="G1830">
        <v>0</v>
      </c>
      <c r="H1830">
        <v>0</v>
      </c>
      <c r="J1830" t="s">
        <v>22</v>
      </c>
      <c r="K1830" t="b">
        <v>1</v>
      </c>
      <c r="L1830">
        <f t="shared" si="28"/>
        <v>6</v>
      </c>
      <c r="M1830">
        <f t="shared" si="28"/>
        <v>7</v>
      </c>
      <c r="N1830" t="b">
        <v>0</v>
      </c>
      <c r="O1830">
        <v>1</v>
      </c>
      <c r="P1830" t="s">
        <v>3394</v>
      </c>
      <c r="Q1830">
        <v>2</v>
      </c>
      <c r="R1830" t="b">
        <v>1</v>
      </c>
    </row>
    <row r="1831" spans="1:18" hidden="1">
      <c r="A1831" t="s">
        <v>1304</v>
      </c>
      <c r="B1831" t="s">
        <v>4742</v>
      </c>
      <c r="C1831" t="s">
        <v>4743</v>
      </c>
      <c r="E1831">
        <v>5</v>
      </c>
      <c r="F1831">
        <v>1008</v>
      </c>
      <c r="G1831">
        <v>1</v>
      </c>
      <c r="H1831">
        <v>2</v>
      </c>
      <c r="J1831" t="s">
        <v>93</v>
      </c>
      <c r="K1831" t="b">
        <v>0</v>
      </c>
      <c r="L1831">
        <f t="shared" si="28"/>
        <v>6</v>
      </c>
      <c r="M1831">
        <f t="shared" si="28"/>
        <v>1010</v>
      </c>
      <c r="N1831" t="b">
        <v>0</v>
      </c>
      <c r="O1831">
        <v>0</v>
      </c>
      <c r="Q1831">
        <v>0</v>
      </c>
      <c r="R1831" t="b">
        <v>0</v>
      </c>
    </row>
    <row r="1832" spans="1:18">
      <c r="A1832" t="s">
        <v>24</v>
      </c>
      <c r="B1832" t="s">
        <v>4744</v>
      </c>
      <c r="C1832" t="s">
        <v>4745</v>
      </c>
      <c r="E1832">
        <v>5</v>
      </c>
      <c r="F1832">
        <v>524</v>
      </c>
      <c r="G1832">
        <v>1</v>
      </c>
      <c r="H1832">
        <v>6</v>
      </c>
      <c r="J1832" t="s">
        <v>22</v>
      </c>
      <c r="K1832" t="b">
        <v>1</v>
      </c>
      <c r="L1832">
        <f t="shared" si="28"/>
        <v>6</v>
      </c>
      <c r="M1832">
        <f t="shared" si="28"/>
        <v>530</v>
      </c>
      <c r="N1832" t="b">
        <v>0</v>
      </c>
      <c r="O1832">
        <v>1</v>
      </c>
      <c r="P1832" t="s">
        <v>4746</v>
      </c>
      <c r="Q1832">
        <v>2</v>
      </c>
      <c r="R1832" t="b">
        <v>1</v>
      </c>
    </row>
    <row r="1833" spans="1:18">
      <c r="A1833" t="s">
        <v>24</v>
      </c>
      <c r="B1833" t="s">
        <v>4747</v>
      </c>
      <c r="C1833" t="s">
        <v>4748</v>
      </c>
      <c r="E1833">
        <v>4</v>
      </c>
      <c r="F1833">
        <v>3</v>
      </c>
      <c r="G1833">
        <v>2</v>
      </c>
      <c r="H1833">
        <v>3</v>
      </c>
      <c r="J1833" t="s">
        <v>4749</v>
      </c>
      <c r="K1833" t="b">
        <v>1</v>
      </c>
      <c r="L1833">
        <f t="shared" si="28"/>
        <v>6</v>
      </c>
      <c r="M1833">
        <f t="shared" si="28"/>
        <v>6</v>
      </c>
      <c r="N1833" t="b">
        <v>0</v>
      </c>
      <c r="O1833">
        <v>0</v>
      </c>
      <c r="Q1833">
        <v>0</v>
      </c>
      <c r="R1833" t="b">
        <v>0</v>
      </c>
    </row>
    <row r="1834" spans="1:18" hidden="1">
      <c r="A1834" t="s">
        <v>205</v>
      </c>
      <c r="B1834" t="s">
        <v>4750</v>
      </c>
      <c r="C1834" t="s">
        <v>4751</v>
      </c>
      <c r="E1834">
        <v>4</v>
      </c>
      <c r="F1834">
        <v>8</v>
      </c>
      <c r="G1834">
        <v>2</v>
      </c>
      <c r="H1834">
        <v>2</v>
      </c>
      <c r="J1834" t="s">
        <v>93</v>
      </c>
      <c r="K1834" t="b">
        <v>1</v>
      </c>
      <c r="L1834">
        <f t="shared" si="28"/>
        <v>6</v>
      </c>
      <c r="M1834">
        <f t="shared" si="28"/>
        <v>10</v>
      </c>
      <c r="N1834" t="b">
        <v>0</v>
      </c>
      <c r="O1834">
        <v>0</v>
      </c>
      <c r="Q1834">
        <v>0</v>
      </c>
      <c r="R1834" t="b">
        <v>0</v>
      </c>
    </row>
    <row r="1835" spans="1:18" hidden="1">
      <c r="A1835" t="s">
        <v>205</v>
      </c>
      <c r="B1835" t="s">
        <v>4752</v>
      </c>
      <c r="C1835" t="s">
        <v>4753</v>
      </c>
      <c r="E1835">
        <v>4</v>
      </c>
      <c r="F1835">
        <v>8</v>
      </c>
      <c r="G1835">
        <v>2</v>
      </c>
      <c r="H1835">
        <v>2</v>
      </c>
      <c r="J1835" t="s">
        <v>93</v>
      </c>
      <c r="K1835" t="b">
        <v>1</v>
      </c>
      <c r="L1835">
        <f t="shared" si="28"/>
        <v>6</v>
      </c>
      <c r="M1835">
        <f t="shared" si="28"/>
        <v>10</v>
      </c>
      <c r="N1835" t="b">
        <v>0</v>
      </c>
      <c r="O1835">
        <v>0</v>
      </c>
      <c r="Q1835">
        <v>0</v>
      </c>
      <c r="R1835" t="b">
        <v>0</v>
      </c>
    </row>
    <row r="1836" spans="1:18">
      <c r="A1836" t="s">
        <v>2472</v>
      </c>
      <c r="B1836" t="s">
        <v>4754</v>
      </c>
      <c r="C1836" t="s">
        <v>4755</v>
      </c>
      <c r="E1836">
        <v>5</v>
      </c>
      <c r="F1836">
        <v>8</v>
      </c>
      <c r="G1836">
        <v>1</v>
      </c>
      <c r="H1836">
        <v>2</v>
      </c>
      <c r="J1836" t="s">
        <v>22</v>
      </c>
      <c r="K1836" t="b">
        <v>1</v>
      </c>
      <c r="L1836">
        <f t="shared" si="28"/>
        <v>6</v>
      </c>
      <c r="M1836">
        <f t="shared" si="28"/>
        <v>10</v>
      </c>
      <c r="N1836" t="b">
        <v>0</v>
      </c>
      <c r="O1836">
        <v>1</v>
      </c>
      <c r="P1836" t="s">
        <v>4756</v>
      </c>
      <c r="Q1836">
        <v>2</v>
      </c>
      <c r="R1836" t="b">
        <v>1</v>
      </c>
    </row>
    <row r="1837" spans="1:18" hidden="1">
      <c r="A1837" t="s">
        <v>59</v>
      </c>
      <c r="B1837" t="s">
        <v>4757</v>
      </c>
      <c r="C1837" t="s">
        <v>4758</v>
      </c>
      <c r="E1837">
        <v>3</v>
      </c>
      <c r="F1837">
        <v>6</v>
      </c>
      <c r="G1837">
        <v>3</v>
      </c>
      <c r="H1837">
        <v>3</v>
      </c>
      <c r="J1837" t="s">
        <v>93</v>
      </c>
      <c r="K1837" t="b">
        <v>1</v>
      </c>
      <c r="L1837">
        <f t="shared" si="28"/>
        <v>6</v>
      </c>
      <c r="M1837">
        <f t="shared" si="28"/>
        <v>9</v>
      </c>
      <c r="N1837" t="b">
        <v>0</v>
      </c>
      <c r="O1837">
        <v>0</v>
      </c>
      <c r="Q1837">
        <v>0</v>
      </c>
      <c r="R1837" t="b">
        <v>0</v>
      </c>
    </row>
    <row r="1838" spans="1:18" hidden="1">
      <c r="A1838" t="s">
        <v>59</v>
      </c>
      <c r="B1838" t="s">
        <v>4759</v>
      </c>
      <c r="C1838" t="s">
        <v>4760</v>
      </c>
      <c r="E1838">
        <v>3</v>
      </c>
      <c r="F1838">
        <v>6</v>
      </c>
      <c r="G1838">
        <v>3</v>
      </c>
      <c r="H1838">
        <v>4</v>
      </c>
      <c r="J1838" t="s">
        <v>93</v>
      </c>
      <c r="K1838" t="b">
        <v>1</v>
      </c>
      <c r="L1838">
        <f t="shared" si="28"/>
        <v>6</v>
      </c>
      <c r="M1838">
        <f t="shared" si="28"/>
        <v>10</v>
      </c>
      <c r="N1838" t="b">
        <v>0</v>
      </c>
      <c r="O1838">
        <v>0</v>
      </c>
      <c r="Q1838">
        <v>0</v>
      </c>
      <c r="R1838" t="b">
        <v>0</v>
      </c>
    </row>
    <row r="1839" spans="1:18" hidden="1">
      <c r="A1839" t="s">
        <v>4021</v>
      </c>
      <c r="B1839" t="s">
        <v>4761</v>
      </c>
      <c r="C1839" t="s">
        <v>4762</v>
      </c>
      <c r="E1839">
        <v>0</v>
      </c>
      <c r="F1839">
        <v>0</v>
      </c>
      <c r="G1839">
        <v>6</v>
      </c>
      <c r="H1839">
        <v>234</v>
      </c>
      <c r="J1839" t="s">
        <v>93</v>
      </c>
      <c r="K1839" t="b">
        <v>0</v>
      </c>
      <c r="L1839">
        <f t="shared" si="28"/>
        <v>6</v>
      </c>
      <c r="M1839">
        <f t="shared" si="28"/>
        <v>234</v>
      </c>
      <c r="N1839" t="b">
        <v>0</v>
      </c>
      <c r="O1839">
        <v>0</v>
      </c>
      <c r="Q1839">
        <v>0</v>
      </c>
      <c r="R1839" t="b">
        <v>0</v>
      </c>
    </row>
    <row r="1840" spans="1:18">
      <c r="A1840" t="s">
        <v>394</v>
      </c>
      <c r="B1840" t="s">
        <v>4763</v>
      </c>
      <c r="C1840" t="s">
        <v>4764</v>
      </c>
      <c r="E1840">
        <v>4</v>
      </c>
      <c r="F1840">
        <v>4</v>
      </c>
      <c r="G1840">
        <v>2</v>
      </c>
      <c r="H1840">
        <v>3</v>
      </c>
      <c r="J1840" t="s">
        <v>22</v>
      </c>
      <c r="K1840" t="b">
        <v>1</v>
      </c>
      <c r="L1840">
        <f t="shared" si="28"/>
        <v>6</v>
      </c>
      <c r="M1840">
        <f t="shared" si="28"/>
        <v>7</v>
      </c>
      <c r="N1840" t="b">
        <v>0</v>
      </c>
      <c r="O1840">
        <v>1</v>
      </c>
      <c r="P1840" t="s">
        <v>4765</v>
      </c>
      <c r="Q1840">
        <v>2</v>
      </c>
      <c r="R1840" t="b">
        <v>1</v>
      </c>
    </row>
    <row r="1841" spans="1:18" hidden="1">
      <c r="A1841" t="s">
        <v>1712</v>
      </c>
      <c r="B1841" t="s">
        <v>4766</v>
      </c>
      <c r="C1841" t="s">
        <v>4767</v>
      </c>
      <c r="E1841">
        <v>4</v>
      </c>
      <c r="F1841">
        <v>81</v>
      </c>
      <c r="G1841">
        <v>2</v>
      </c>
      <c r="H1841">
        <v>6</v>
      </c>
      <c r="J1841" t="s">
        <v>93</v>
      </c>
      <c r="K1841" t="b">
        <v>0</v>
      </c>
      <c r="L1841">
        <f t="shared" si="28"/>
        <v>6</v>
      </c>
      <c r="M1841">
        <f t="shared" si="28"/>
        <v>87</v>
      </c>
      <c r="N1841" t="b">
        <v>0</v>
      </c>
      <c r="O1841">
        <v>0</v>
      </c>
      <c r="Q1841">
        <v>0</v>
      </c>
      <c r="R1841" t="b">
        <v>0</v>
      </c>
    </row>
    <row r="1842" spans="1:18" hidden="1">
      <c r="A1842" t="s">
        <v>4370</v>
      </c>
      <c r="B1842" t="s">
        <v>4768</v>
      </c>
      <c r="C1842" t="s">
        <v>4769</v>
      </c>
      <c r="E1842">
        <v>6</v>
      </c>
      <c r="F1842">
        <v>61</v>
      </c>
      <c r="G1842">
        <v>0</v>
      </c>
      <c r="H1842">
        <v>0</v>
      </c>
      <c r="J1842" t="s">
        <v>93</v>
      </c>
      <c r="K1842" t="b">
        <v>0</v>
      </c>
      <c r="L1842">
        <f t="shared" si="28"/>
        <v>6</v>
      </c>
      <c r="M1842">
        <f t="shared" si="28"/>
        <v>61</v>
      </c>
      <c r="N1842" t="b">
        <v>0</v>
      </c>
      <c r="O1842">
        <v>0</v>
      </c>
      <c r="Q1842">
        <v>0</v>
      </c>
      <c r="R1842" t="b">
        <v>0</v>
      </c>
    </row>
    <row r="1843" spans="1:18" hidden="1">
      <c r="A1843" t="s">
        <v>4370</v>
      </c>
      <c r="B1843" t="s">
        <v>4770</v>
      </c>
      <c r="C1843" t="s">
        <v>4771</v>
      </c>
      <c r="E1843">
        <v>6</v>
      </c>
      <c r="F1843">
        <v>59</v>
      </c>
      <c r="G1843">
        <v>0</v>
      </c>
      <c r="H1843">
        <v>0</v>
      </c>
      <c r="J1843" t="s">
        <v>93</v>
      </c>
      <c r="K1843" t="b">
        <v>0</v>
      </c>
      <c r="L1843">
        <f t="shared" si="28"/>
        <v>6</v>
      </c>
      <c r="M1843">
        <f t="shared" si="28"/>
        <v>59</v>
      </c>
      <c r="N1843" t="b">
        <v>0</v>
      </c>
      <c r="O1843">
        <v>0</v>
      </c>
      <c r="Q1843">
        <v>0</v>
      </c>
      <c r="R1843" t="b">
        <v>0</v>
      </c>
    </row>
    <row r="1844" spans="1:18" hidden="1">
      <c r="A1844" t="s">
        <v>361</v>
      </c>
      <c r="B1844" t="s">
        <v>4772</v>
      </c>
      <c r="C1844" t="s">
        <v>4773</v>
      </c>
      <c r="D1844" t="s">
        <v>519</v>
      </c>
      <c r="E1844">
        <v>4</v>
      </c>
      <c r="F1844">
        <v>43</v>
      </c>
      <c r="G1844">
        <v>2</v>
      </c>
      <c r="H1844">
        <v>4</v>
      </c>
      <c r="I1844" t="s">
        <v>520</v>
      </c>
      <c r="J1844" t="s">
        <v>93</v>
      </c>
      <c r="K1844" t="b">
        <v>0</v>
      </c>
      <c r="L1844">
        <f t="shared" si="28"/>
        <v>6</v>
      </c>
      <c r="M1844">
        <f t="shared" si="28"/>
        <v>47</v>
      </c>
      <c r="N1844" t="b">
        <v>0</v>
      </c>
      <c r="O1844">
        <v>0</v>
      </c>
      <c r="Q1844">
        <v>0</v>
      </c>
      <c r="R1844" t="b">
        <v>0</v>
      </c>
    </row>
    <row r="1845" spans="1:18" hidden="1">
      <c r="A1845" t="s">
        <v>37</v>
      </c>
      <c r="B1845" t="s">
        <v>4774</v>
      </c>
      <c r="C1845" t="s">
        <v>4775</v>
      </c>
      <c r="E1845">
        <v>6</v>
      </c>
      <c r="F1845">
        <v>18</v>
      </c>
      <c r="G1845">
        <v>0</v>
      </c>
      <c r="H1845">
        <v>0</v>
      </c>
      <c r="J1845" t="s">
        <v>93</v>
      </c>
      <c r="K1845" t="b">
        <v>1</v>
      </c>
      <c r="L1845">
        <f t="shared" si="28"/>
        <v>6</v>
      </c>
      <c r="M1845">
        <f t="shared" si="28"/>
        <v>18</v>
      </c>
      <c r="N1845" t="b">
        <v>0</v>
      </c>
      <c r="O1845">
        <v>0</v>
      </c>
      <c r="Q1845">
        <v>0</v>
      </c>
      <c r="R1845" t="b">
        <v>0</v>
      </c>
    </row>
    <row r="1846" spans="1:18" hidden="1">
      <c r="A1846" t="s">
        <v>248</v>
      </c>
      <c r="B1846" t="s">
        <v>4776</v>
      </c>
      <c r="C1846" t="s">
        <v>4777</v>
      </c>
      <c r="E1846">
        <v>3</v>
      </c>
      <c r="F1846">
        <v>8</v>
      </c>
      <c r="G1846">
        <v>3</v>
      </c>
      <c r="H1846">
        <v>7</v>
      </c>
      <c r="J1846" t="s">
        <v>93</v>
      </c>
      <c r="K1846" t="b">
        <v>1</v>
      </c>
      <c r="L1846">
        <f t="shared" si="28"/>
        <v>6</v>
      </c>
      <c r="M1846">
        <f t="shared" si="28"/>
        <v>15</v>
      </c>
      <c r="N1846" t="b">
        <v>0</v>
      </c>
      <c r="O1846">
        <v>0</v>
      </c>
      <c r="Q1846">
        <v>0</v>
      </c>
      <c r="R1846" t="b">
        <v>0</v>
      </c>
    </row>
    <row r="1847" spans="1:18" hidden="1">
      <c r="A1847" t="s">
        <v>248</v>
      </c>
      <c r="B1847" t="s">
        <v>4778</v>
      </c>
      <c r="C1847" t="s">
        <v>4779</v>
      </c>
      <c r="E1847">
        <v>4</v>
      </c>
      <c r="F1847">
        <v>4</v>
      </c>
      <c r="G1847">
        <v>2</v>
      </c>
      <c r="H1847">
        <v>4</v>
      </c>
      <c r="J1847" t="s">
        <v>93</v>
      </c>
      <c r="K1847" t="b">
        <v>1</v>
      </c>
      <c r="L1847">
        <f t="shared" si="28"/>
        <v>6</v>
      </c>
      <c r="M1847">
        <f t="shared" si="28"/>
        <v>8</v>
      </c>
      <c r="N1847" t="b">
        <v>0</v>
      </c>
      <c r="O1847">
        <v>0</v>
      </c>
      <c r="Q1847">
        <v>0</v>
      </c>
      <c r="R1847" t="b">
        <v>0</v>
      </c>
    </row>
    <row r="1848" spans="1:18" hidden="1">
      <c r="A1848" t="s">
        <v>4780</v>
      </c>
      <c r="B1848" t="s">
        <v>4781</v>
      </c>
      <c r="C1848" t="s">
        <v>4782</v>
      </c>
      <c r="E1848">
        <v>3</v>
      </c>
      <c r="F1848">
        <v>17</v>
      </c>
      <c r="G1848">
        <v>3</v>
      </c>
      <c r="H1848">
        <v>4</v>
      </c>
      <c r="J1848" t="s">
        <v>93</v>
      </c>
      <c r="K1848" t="b">
        <v>0</v>
      </c>
      <c r="L1848">
        <f t="shared" si="28"/>
        <v>6</v>
      </c>
      <c r="M1848">
        <f t="shared" si="28"/>
        <v>21</v>
      </c>
      <c r="N1848" t="b">
        <v>0</v>
      </c>
      <c r="O1848">
        <v>0</v>
      </c>
      <c r="Q1848">
        <v>0</v>
      </c>
      <c r="R1848" t="b">
        <v>0</v>
      </c>
    </row>
    <row r="1849" spans="1:18" hidden="1">
      <c r="A1849" t="s">
        <v>4780</v>
      </c>
      <c r="B1849" t="s">
        <v>4783</v>
      </c>
      <c r="C1849" t="s">
        <v>4784</v>
      </c>
      <c r="E1849">
        <v>3</v>
      </c>
      <c r="F1849">
        <v>17</v>
      </c>
      <c r="G1849">
        <v>3</v>
      </c>
      <c r="H1849">
        <v>4</v>
      </c>
      <c r="J1849" t="s">
        <v>93</v>
      </c>
      <c r="K1849" t="b">
        <v>0</v>
      </c>
      <c r="L1849">
        <f t="shared" si="28"/>
        <v>6</v>
      </c>
      <c r="M1849">
        <f t="shared" si="28"/>
        <v>21</v>
      </c>
      <c r="N1849" t="b">
        <v>0</v>
      </c>
      <c r="O1849">
        <v>0</v>
      </c>
      <c r="Q1849">
        <v>0</v>
      </c>
      <c r="R1849" t="b">
        <v>0</v>
      </c>
    </row>
    <row r="1850" spans="1:18" hidden="1">
      <c r="A1850" t="s">
        <v>4780</v>
      </c>
      <c r="B1850" t="s">
        <v>4785</v>
      </c>
      <c r="C1850" t="s">
        <v>4786</v>
      </c>
      <c r="E1850">
        <v>3</v>
      </c>
      <c r="F1850">
        <v>17</v>
      </c>
      <c r="G1850">
        <v>3</v>
      </c>
      <c r="H1850">
        <v>4</v>
      </c>
      <c r="J1850" t="s">
        <v>93</v>
      </c>
      <c r="K1850" t="b">
        <v>0</v>
      </c>
      <c r="L1850">
        <f t="shared" si="28"/>
        <v>6</v>
      </c>
      <c r="M1850">
        <f t="shared" si="28"/>
        <v>21</v>
      </c>
      <c r="N1850" t="b">
        <v>0</v>
      </c>
      <c r="O1850">
        <v>0</v>
      </c>
      <c r="Q1850">
        <v>0</v>
      </c>
      <c r="R1850" t="b">
        <v>0</v>
      </c>
    </row>
    <row r="1851" spans="1:18" hidden="1">
      <c r="A1851" t="s">
        <v>4780</v>
      </c>
      <c r="B1851" t="s">
        <v>4787</v>
      </c>
      <c r="C1851" t="s">
        <v>4788</v>
      </c>
      <c r="E1851">
        <v>3</v>
      </c>
      <c r="F1851">
        <v>17</v>
      </c>
      <c r="G1851">
        <v>3</v>
      </c>
      <c r="H1851">
        <v>4</v>
      </c>
      <c r="J1851" t="s">
        <v>93</v>
      </c>
      <c r="K1851" t="b">
        <v>0</v>
      </c>
      <c r="L1851">
        <f t="shared" si="28"/>
        <v>6</v>
      </c>
      <c r="M1851">
        <f t="shared" si="28"/>
        <v>21</v>
      </c>
      <c r="N1851" t="b">
        <v>0</v>
      </c>
      <c r="O1851">
        <v>0</v>
      </c>
      <c r="Q1851">
        <v>0</v>
      </c>
      <c r="R1851" t="b">
        <v>0</v>
      </c>
    </row>
    <row r="1852" spans="1:18" hidden="1">
      <c r="A1852" t="s">
        <v>4780</v>
      </c>
      <c r="B1852" t="s">
        <v>4789</v>
      </c>
      <c r="C1852" t="s">
        <v>4790</v>
      </c>
      <c r="E1852">
        <v>3</v>
      </c>
      <c r="F1852">
        <v>17</v>
      </c>
      <c r="G1852">
        <v>3</v>
      </c>
      <c r="H1852">
        <v>4</v>
      </c>
      <c r="J1852" t="s">
        <v>93</v>
      </c>
      <c r="K1852" t="b">
        <v>0</v>
      </c>
      <c r="L1852">
        <f t="shared" si="28"/>
        <v>6</v>
      </c>
      <c r="M1852">
        <f t="shared" si="28"/>
        <v>21</v>
      </c>
      <c r="N1852" t="b">
        <v>0</v>
      </c>
      <c r="O1852">
        <v>0</v>
      </c>
      <c r="Q1852">
        <v>0</v>
      </c>
      <c r="R1852" t="b">
        <v>0</v>
      </c>
    </row>
    <row r="1853" spans="1:18" hidden="1">
      <c r="A1853" t="s">
        <v>4780</v>
      </c>
      <c r="B1853" t="s">
        <v>4791</v>
      </c>
      <c r="C1853" t="s">
        <v>4792</v>
      </c>
      <c r="E1853">
        <v>3</v>
      </c>
      <c r="F1853">
        <v>17</v>
      </c>
      <c r="G1853">
        <v>3</v>
      </c>
      <c r="H1853">
        <v>4</v>
      </c>
      <c r="J1853" t="s">
        <v>93</v>
      </c>
      <c r="K1853" t="b">
        <v>0</v>
      </c>
      <c r="L1853">
        <f t="shared" si="28"/>
        <v>6</v>
      </c>
      <c r="M1853">
        <f t="shared" si="28"/>
        <v>21</v>
      </c>
      <c r="N1853" t="b">
        <v>0</v>
      </c>
      <c r="O1853">
        <v>0</v>
      </c>
      <c r="Q1853">
        <v>0</v>
      </c>
      <c r="R1853" t="b">
        <v>0</v>
      </c>
    </row>
    <row r="1854" spans="1:18" hidden="1">
      <c r="A1854" t="s">
        <v>4780</v>
      </c>
      <c r="B1854" t="s">
        <v>4793</v>
      </c>
      <c r="C1854" t="s">
        <v>4794</v>
      </c>
      <c r="E1854">
        <v>3</v>
      </c>
      <c r="F1854">
        <v>17</v>
      </c>
      <c r="G1854">
        <v>3</v>
      </c>
      <c r="H1854">
        <v>4</v>
      </c>
      <c r="J1854" t="s">
        <v>93</v>
      </c>
      <c r="K1854" t="b">
        <v>0</v>
      </c>
      <c r="L1854">
        <f t="shared" si="28"/>
        <v>6</v>
      </c>
      <c r="M1854">
        <f t="shared" si="28"/>
        <v>21</v>
      </c>
      <c r="N1854" t="b">
        <v>0</v>
      </c>
      <c r="O1854">
        <v>0</v>
      </c>
      <c r="Q1854">
        <v>0</v>
      </c>
      <c r="R1854" t="b">
        <v>0</v>
      </c>
    </row>
    <row r="1855" spans="1:18">
      <c r="A1855" t="s">
        <v>1191</v>
      </c>
      <c r="B1855" t="s">
        <v>4795</v>
      </c>
      <c r="C1855" t="s">
        <v>4796</v>
      </c>
      <c r="E1855">
        <v>0</v>
      </c>
      <c r="F1855">
        <v>0</v>
      </c>
      <c r="G1855">
        <v>6</v>
      </c>
      <c r="H1855">
        <v>17</v>
      </c>
      <c r="J1855" t="s">
        <v>22</v>
      </c>
      <c r="K1855" t="b">
        <v>1</v>
      </c>
      <c r="L1855">
        <f t="shared" si="28"/>
        <v>6</v>
      </c>
      <c r="M1855">
        <f t="shared" si="28"/>
        <v>17</v>
      </c>
      <c r="N1855" t="b">
        <v>0</v>
      </c>
      <c r="O1855">
        <v>1</v>
      </c>
      <c r="P1855" t="s">
        <v>4797</v>
      </c>
      <c r="Q1855">
        <v>2</v>
      </c>
      <c r="R1855" t="b">
        <v>1</v>
      </c>
    </row>
    <row r="1856" spans="1:18" hidden="1">
      <c r="A1856" t="s">
        <v>3015</v>
      </c>
      <c r="B1856" t="s">
        <v>4798</v>
      </c>
      <c r="C1856" t="s">
        <v>4799</v>
      </c>
      <c r="E1856">
        <v>4</v>
      </c>
      <c r="F1856">
        <v>2</v>
      </c>
      <c r="G1856">
        <v>2</v>
      </c>
      <c r="H1856">
        <v>3</v>
      </c>
      <c r="J1856" t="s">
        <v>93</v>
      </c>
      <c r="K1856" t="b">
        <v>0</v>
      </c>
      <c r="L1856">
        <f t="shared" si="28"/>
        <v>6</v>
      </c>
      <c r="M1856">
        <f t="shared" si="28"/>
        <v>5</v>
      </c>
      <c r="N1856" t="b">
        <v>1</v>
      </c>
      <c r="O1856">
        <v>0</v>
      </c>
      <c r="Q1856">
        <v>0</v>
      </c>
      <c r="R1856" t="b">
        <v>0</v>
      </c>
    </row>
    <row r="1857" spans="1:18" hidden="1">
      <c r="A1857" t="s">
        <v>4800</v>
      </c>
      <c r="B1857" t="s">
        <v>4801</v>
      </c>
      <c r="C1857" t="s">
        <v>4802</v>
      </c>
      <c r="E1857">
        <v>3</v>
      </c>
      <c r="F1857">
        <v>5</v>
      </c>
      <c r="G1857">
        <v>3</v>
      </c>
      <c r="H1857">
        <v>10</v>
      </c>
      <c r="J1857" t="s">
        <v>93</v>
      </c>
      <c r="K1857" t="b">
        <v>0</v>
      </c>
      <c r="L1857">
        <f t="shared" si="28"/>
        <v>6</v>
      </c>
      <c r="M1857">
        <f t="shared" si="28"/>
        <v>15</v>
      </c>
      <c r="N1857" t="b">
        <v>0</v>
      </c>
      <c r="O1857">
        <v>0</v>
      </c>
      <c r="Q1857">
        <v>0</v>
      </c>
      <c r="R1857" t="b">
        <v>0</v>
      </c>
    </row>
    <row r="1858" spans="1:18" hidden="1">
      <c r="A1858" t="s">
        <v>2477</v>
      </c>
      <c r="B1858" t="s">
        <v>4803</v>
      </c>
      <c r="C1858" t="s">
        <v>4804</v>
      </c>
      <c r="E1858">
        <v>2</v>
      </c>
      <c r="F1858">
        <v>1</v>
      </c>
      <c r="G1858">
        <v>4</v>
      </c>
      <c r="H1858">
        <v>12</v>
      </c>
      <c r="J1858" t="s">
        <v>93</v>
      </c>
      <c r="K1858" t="b">
        <v>0</v>
      </c>
      <c r="L1858">
        <f t="shared" si="28"/>
        <v>6</v>
      </c>
      <c r="M1858">
        <f t="shared" si="28"/>
        <v>13</v>
      </c>
      <c r="N1858" t="b">
        <v>0</v>
      </c>
      <c r="O1858">
        <v>0</v>
      </c>
      <c r="Q1858">
        <v>0</v>
      </c>
      <c r="R1858" t="b">
        <v>0</v>
      </c>
    </row>
    <row r="1859" spans="1:18" hidden="1">
      <c r="A1859" t="s">
        <v>2477</v>
      </c>
      <c r="B1859" t="s">
        <v>4805</v>
      </c>
      <c r="C1859" t="s">
        <v>4806</v>
      </c>
      <c r="E1859">
        <v>2</v>
      </c>
      <c r="F1859">
        <v>1</v>
      </c>
      <c r="G1859">
        <v>4</v>
      </c>
      <c r="H1859">
        <v>12</v>
      </c>
      <c r="J1859" t="s">
        <v>93</v>
      </c>
      <c r="K1859" t="b">
        <v>0</v>
      </c>
      <c r="L1859">
        <f t="shared" ref="L1859:M1922" si="29">E1859+G1859</f>
        <v>6</v>
      </c>
      <c r="M1859">
        <f t="shared" si="29"/>
        <v>13</v>
      </c>
      <c r="N1859" t="b">
        <v>0</v>
      </c>
      <c r="O1859">
        <v>0</v>
      </c>
      <c r="Q1859">
        <v>0</v>
      </c>
      <c r="R1859" t="b">
        <v>0</v>
      </c>
    </row>
    <row r="1860" spans="1:18" hidden="1">
      <c r="A1860" t="s">
        <v>2477</v>
      </c>
      <c r="B1860" t="s">
        <v>4807</v>
      </c>
      <c r="C1860" t="s">
        <v>4808</v>
      </c>
      <c r="E1860">
        <v>2</v>
      </c>
      <c r="F1860">
        <v>1</v>
      </c>
      <c r="G1860">
        <v>4</v>
      </c>
      <c r="H1860">
        <v>12</v>
      </c>
      <c r="J1860" t="s">
        <v>93</v>
      </c>
      <c r="K1860" t="b">
        <v>0</v>
      </c>
      <c r="L1860">
        <f t="shared" si="29"/>
        <v>6</v>
      </c>
      <c r="M1860">
        <f t="shared" si="29"/>
        <v>13</v>
      </c>
      <c r="N1860" t="b">
        <v>0</v>
      </c>
      <c r="O1860">
        <v>0</v>
      </c>
      <c r="Q1860">
        <v>0</v>
      </c>
      <c r="R1860" t="b">
        <v>0</v>
      </c>
    </row>
    <row r="1861" spans="1:18" hidden="1">
      <c r="A1861" t="s">
        <v>2477</v>
      </c>
      <c r="B1861" t="s">
        <v>4809</v>
      </c>
      <c r="C1861" t="s">
        <v>4810</v>
      </c>
      <c r="E1861">
        <v>2</v>
      </c>
      <c r="F1861">
        <v>1</v>
      </c>
      <c r="G1861">
        <v>4</v>
      </c>
      <c r="H1861">
        <v>12</v>
      </c>
      <c r="J1861" t="s">
        <v>93</v>
      </c>
      <c r="K1861" t="b">
        <v>0</v>
      </c>
      <c r="L1861">
        <f t="shared" si="29"/>
        <v>6</v>
      </c>
      <c r="M1861">
        <f t="shared" si="29"/>
        <v>13</v>
      </c>
      <c r="N1861" t="b">
        <v>0</v>
      </c>
      <c r="O1861">
        <v>0</v>
      </c>
      <c r="Q1861">
        <v>0</v>
      </c>
      <c r="R1861" t="b">
        <v>0</v>
      </c>
    </row>
    <row r="1862" spans="1:18" hidden="1">
      <c r="A1862" t="s">
        <v>4811</v>
      </c>
      <c r="B1862" t="s">
        <v>4812</v>
      </c>
      <c r="C1862" s="2" t="s">
        <v>4813</v>
      </c>
      <c r="D1862" s="2"/>
      <c r="E1862">
        <v>2</v>
      </c>
      <c r="F1862">
        <v>4</v>
      </c>
      <c r="G1862">
        <v>4</v>
      </c>
      <c r="H1862">
        <v>8</v>
      </c>
      <c r="J1862" t="s">
        <v>93</v>
      </c>
      <c r="K1862" t="b">
        <v>0</v>
      </c>
      <c r="L1862">
        <f t="shared" si="29"/>
        <v>6</v>
      </c>
      <c r="M1862">
        <f t="shared" si="29"/>
        <v>12</v>
      </c>
      <c r="N1862" t="b">
        <v>0</v>
      </c>
      <c r="O1862">
        <v>0</v>
      </c>
      <c r="Q1862">
        <v>0</v>
      </c>
      <c r="R1862" t="b">
        <v>0</v>
      </c>
    </row>
    <row r="1863" spans="1:18" hidden="1">
      <c r="A1863" t="s">
        <v>4811</v>
      </c>
      <c r="B1863" t="s">
        <v>4814</v>
      </c>
      <c r="C1863" t="s">
        <v>4815</v>
      </c>
      <c r="E1863">
        <v>2</v>
      </c>
      <c r="F1863">
        <v>4</v>
      </c>
      <c r="G1863">
        <v>4</v>
      </c>
      <c r="H1863">
        <v>8</v>
      </c>
      <c r="J1863" t="s">
        <v>93</v>
      </c>
      <c r="K1863" t="b">
        <v>0</v>
      </c>
      <c r="L1863">
        <f t="shared" si="29"/>
        <v>6</v>
      </c>
      <c r="M1863">
        <f t="shared" si="29"/>
        <v>12</v>
      </c>
      <c r="N1863" t="b">
        <v>0</v>
      </c>
      <c r="O1863">
        <v>0</v>
      </c>
      <c r="Q1863">
        <v>0</v>
      </c>
      <c r="R1863" t="b">
        <v>0</v>
      </c>
    </row>
    <row r="1864" spans="1:18" hidden="1">
      <c r="A1864" t="s">
        <v>4811</v>
      </c>
      <c r="B1864" t="s">
        <v>4816</v>
      </c>
      <c r="C1864" t="s">
        <v>4817</v>
      </c>
      <c r="E1864">
        <v>2</v>
      </c>
      <c r="F1864">
        <v>4</v>
      </c>
      <c r="G1864">
        <v>4</v>
      </c>
      <c r="H1864">
        <v>8</v>
      </c>
      <c r="J1864" t="s">
        <v>93</v>
      </c>
      <c r="K1864" t="b">
        <v>0</v>
      </c>
      <c r="L1864">
        <f t="shared" si="29"/>
        <v>6</v>
      </c>
      <c r="M1864">
        <f t="shared" si="29"/>
        <v>12</v>
      </c>
      <c r="N1864" t="b">
        <v>0</v>
      </c>
      <c r="O1864">
        <v>0</v>
      </c>
      <c r="Q1864">
        <v>0</v>
      </c>
      <c r="R1864" t="b">
        <v>0</v>
      </c>
    </row>
    <row r="1865" spans="1:18" hidden="1">
      <c r="A1865" t="s">
        <v>4811</v>
      </c>
      <c r="B1865" t="s">
        <v>4818</v>
      </c>
      <c r="C1865" t="s">
        <v>4819</v>
      </c>
      <c r="E1865">
        <v>2</v>
      </c>
      <c r="F1865">
        <v>4</v>
      </c>
      <c r="G1865">
        <v>4</v>
      </c>
      <c r="H1865">
        <v>8</v>
      </c>
      <c r="J1865" t="s">
        <v>93</v>
      </c>
      <c r="K1865" t="b">
        <v>0</v>
      </c>
      <c r="L1865">
        <f t="shared" si="29"/>
        <v>6</v>
      </c>
      <c r="M1865">
        <f t="shared" si="29"/>
        <v>12</v>
      </c>
      <c r="N1865" t="b">
        <v>0</v>
      </c>
      <c r="O1865">
        <v>0</v>
      </c>
      <c r="Q1865">
        <v>0</v>
      </c>
      <c r="R1865" t="b">
        <v>0</v>
      </c>
    </row>
    <row r="1866" spans="1:18" hidden="1">
      <c r="A1866" t="s">
        <v>4811</v>
      </c>
      <c r="B1866" t="s">
        <v>4820</v>
      </c>
      <c r="C1866" t="s">
        <v>4821</v>
      </c>
      <c r="E1866">
        <v>2</v>
      </c>
      <c r="F1866">
        <v>4</v>
      </c>
      <c r="G1866">
        <v>4</v>
      </c>
      <c r="H1866">
        <v>8</v>
      </c>
      <c r="J1866" t="s">
        <v>93</v>
      </c>
      <c r="K1866" t="b">
        <v>0</v>
      </c>
      <c r="L1866">
        <f t="shared" si="29"/>
        <v>6</v>
      </c>
      <c r="M1866">
        <f t="shared" si="29"/>
        <v>12</v>
      </c>
      <c r="N1866" t="b">
        <v>0</v>
      </c>
      <c r="O1866">
        <v>0</v>
      </c>
      <c r="Q1866">
        <v>0</v>
      </c>
      <c r="R1866" t="b">
        <v>0</v>
      </c>
    </row>
    <row r="1867" spans="1:18" hidden="1">
      <c r="A1867" t="s">
        <v>1143</v>
      </c>
      <c r="B1867" t="s">
        <v>4822</v>
      </c>
      <c r="C1867" t="s">
        <v>4823</v>
      </c>
      <c r="E1867">
        <v>0</v>
      </c>
      <c r="F1867">
        <v>0</v>
      </c>
      <c r="G1867">
        <v>6</v>
      </c>
      <c r="H1867">
        <v>30</v>
      </c>
      <c r="J1867" t="s">
        <v>93</v>
      </c>
      <c r="K1867" t="b">
        <v>1</v>
      </c>
      <c r="L1867">
        <f t="shared" si="29"/>
        <v>6</v>
      </c>
      <c r="M1867">
        <f t="shared" si="29"/>
        <v>30</v>
      </c>
      <c r="N1867" t="b">
        <v>0</v>
      </c>
      <c r="O1867">
        <v>0</v>
      </c>
      <c r="Q1867">
        <v>0</v>
      </c>
      <c r="R1867" t="b">
        <v>0</v>
      </c>
    </row>
    <row r="1868" spans="1:18">
      <c r="A1868" t="s">
        <v>4383</v>
      </c>
      <c r="B1868" t="s">
        <v>4824</v>
      </c>
      <c r="C1868" t="s">
        <v>4825</v>
      </c>
      <c r="E1868">
        <v>0</v>
      </c>
      <c r="F1868">
        <v>0</v>
      </c>
      <c r="G1868">
        <v>6</v>
      </c>
      <c r="H1868">
        <v>17</v>
      </c>
      <c r="J1868" t="s">
        <v>22</v>
      </c>
      <c r="K1868" t="b">
        <v>1</v>
      </c>
      <c r="L1868">
        <f t="shared" si="29"/>
        <v>6</v>
      </c>
      <c r="M1868">
        <f t="shared" si="29"/>
        <v>17</v>
      </c>
      <c r="N1868" t="b">
        <v>0</v>
      </c>
      <c r="O1868">
        <v>1</v>
      </c>
      <c r="P1868" t="s">
        <v>1440</v>
      </c>
      <c r="Q1868">
        <v>2</v>
      </c>
      <c r="R1868" t="b">
        <v>1</v>
      </c>
    </row>
    <row r="1869" spans="1:18">
      <c r="A1869" t="s">
        <v>4383</v>
      </c>
      <c r="B1869" t="s">
        <v>4826</v>
      </c>
      <c r="C1869" t="s">
        <v>4827</v>
      </c>
      <c r="E1869">
        <v>0</v>
      </c>
      <c r="F1869">
        <v>0</v>
      </c>
      <c r="G1869">
        <v>6</v>
      </c>
      <c r="H1869">
        <v>17</v>
      </c>
      <c r="J1869" t="s">
        <v>22</v>
      </c>
      <c r="K1869" t="b">
        <v>1</v>
      </c>
      <c r="L1869">
        <f t="shared" si="29"/>
        <v>6</v>
      </c>
      <c r="M1869">
        <f t="shared" si="29"/>
        <v>17</v>
      </c>
      <c r="N1869" t="b">
        <v>0</v>
      </c>
      <c r="O1869">
        <v>1</v>
      </c>
      <c r="P1869" t="s">
        <v>1443</v>
      </c>
      <c r="Q1869">
        <v>2</v>
      </c>
      <c r="R1869" t="b">
        <v>1</v>
      </c>
    </row>
    <row r="1870" spans="1:18" hidden="1">
      <c r="A1870" t="s">
        <v>378</v>
      </c>
      <c r="B1870" t="s">
        <v>4828</v>
      </c>
      <c r="C1870" t="s">
        <v>4829</v>
      </c>
      <c r="E1870">
        <v>1</v>
      </c>
      <c r="F1870">
        <v>2</v>
      </c>
      <c r="G1870">
        <v>5</v>
      </c>
      <c r="H1870">
        <v>83</v>
      </c>
      <c r="J1870" t="s">
        <v>93</v>
      </c>
      <c r="K1870" t="b">
        <v>1</v>
      </c>
      <c r="L1870">
        <f t="shared" si="29"/>
        <v>6</v>
      </c>
      <c r="M1870">
        <f t="shared" si="29"/>
        <v>85</v>
      </c>
      <c r="N1870" t="b">
        <v>0</v>
      </c>
      <c r="O1870">
        <v>0</v>
      </c>
      <c r="Q1870">
        <v>0</v>
      </c>
      <c r="R1870" t="b">
        <v>0</v>
      </c>
    </row>
    <row r="1871" spans="1:18" hidden="1">
      <c r="A1871" t="s">
        <v>192</v>
      </c>
      <c r="B1871" t="s">
        <v>4830</v>
      </c>
      <c r="C1871" t="s">
        <v>4831</v>
      </c>
      <c r="E1871">
        <v>0</v>
      </c>
      <c r="F1871">
        <v>0</v>
      </c>
      <c r="G1871">
        <v>6</v>
      </c>
      <c r="H1871">
        <v>9</v>
      </c>
      <c r="J1871" t="s">
        <v>93</v>
      </c>
      <c r="K1871" t="b">
        <v>1</v>
      </c>
      <c r="L1871">
        <f t="shared" si="29"/>
        <v>6</v>
      </c>
      <c r="M1871">
        <f t="shared" si="29"/>
        <v>9</v>
      </c>
      <c r="N1871" t="b">
        <v>0</v>
      </c>
      <c r="O1871">
        <v>0.5</v>
      </c>
      <c r="P1871" t="s">
        <v>3179</v>
      </c>
      <c r="Q1871">
        <v>2</v>
      </c>
      <c r="R1871" t="b">
        <v>1</v>
      </c>
    </row>
    <row r="1872" spans="1:18" hidden="1">
      <c r="A1872" t="s">
        <v>3757</v>
      </c>
      <c r="B1872" t="s">
        <v>4832</v>
      </c>
      <c r="C1872" t="s">
        <v>4833</v>
      </c>
      <c r="E1872">
        <v>5</v>
      </c>
      <c r="F1872">
        <v>4</v>
      </c>
      <c r="G1872">
        <v>1</v>
      </c>
      <c r="H1872">
        <v>4</v>
      </c>
      <c r="J1872" t="s">
        <v>93</v>
      </c>
      <c r="K1872" t="b">
        <v>0</v>
      </c>
      <c r="L1872">
        <f t="shared" si="29"/>
        <v>6</v>
      </c>
      <c r="M1872">
        <f t="shared" si="29"/>
        <v>8</v>
      </c>
      <c r="N1872" t="b">
        <v>0</v>
      </c>
      <c r="O1872">
        <v>0</v>
      </c>
      <c r="Q1872">
        <v>0</v>
      </c>
      <c r="R1872" t="b">
        <v>0</v>
      </c>
    </row>
    <row r="1873" spans="1:18" hidden="1">
      <c r="A1873" t="s">
        <v>4834</v>
      </c>
      <c r="B1873" t="s">
        <v>4835</v>
      </c>
      <c r="C1873" t="s">
        <v>4836</v>
      </c>
      <c r="E1873">
        <v>2</v>
      </c>
      <c r="F1873">
        <v>2</v>
      </c>
      <c r="G1873">
        <v>4</v>
      </c>
      <c r="H1873">
        <v>4</v>
      </c>
      <c r="J1873" t="s">
        <v>93</v>
      </c>
      <c r="K1873" t="b">
        <v>0</v>
      </c>
      <c r="L1873">
        <f t="shared" si="29"/>
        <v>6</v>
      </c>
      <c r="M1873">
        <f t="shared" si="29"/>
        <v>6</v>
      </c>
      <c r="N1873" t="b">
        <v>0</v>
      </c>
      <c r="O1873">
        <v>0</v>
      </c>
      <c r="Q1873">
        <v>0</v>
      </c>
      <c r="R1873" t="b">
        <v>0</v>
      </c>
    </row>
    <row r="1874" spans="1:18" hidden="1">
      <c r="A1874" t="s">
        <v>2454</v>
      </c>
      <c r="B1874" t="s">
        <v>4837</v>
      </c>
      <c r="C1874" t="s">
        <v>4838</v>
      </c>
      <c r="E1874">
        <v>3</v>
      </c>
      <c r="F1874">
        <v>2</v>
      </c>
      <c r="G1874">
        <v>3</v>
      </c>
      <c r="H1874">
        <v>4</v>
      </c>
      <c r="J1874" t="s">
        <v>93</v>
      </c>
      <c r="K1874" t="b">
        <v>0</v>
      </c>
      <c r="L1874">
        <f t="shared" si="29"/>
        <v>6</v>
      </c>
      <c r="M1874">
        <f t="shared" si="29"/>
        <v>6</v>
      </c>
      <c r="N1874" t="b">
        <v>0</v>
      </c>
      <c r="O1874">
        <v>0</v>
      </c>
      <c r="Q1874">
        <v>0</v>
      </c>
      <c r="R1874" t="b">
        <v>0</v>
      </c>
    </row>
    <row r="1875" spans="1:18" hidden="1">
      <c r="A1875" t="s">
        <v>19</v>
      </c>
      <c r="B1875" t="s">
        <v>4839</v>
      </c>
      <c r="C1875" t="s">
        <v>4840</v>
      </c>
      <c r="E1875">
        <v>4</v>
      </c>
      <c r="F1875">
        <v>43</v>
      </c>
      <c r="G1875">
        <v>2</v>
      </c>
      <c r="H1875">
        <v>4</v>
      </c>
      <c r="J1875" t="s">
        <v>93</v>
      </c>
      <c r="K1875" t="b">
        <v>1</v>
      </c>
      <c r="L1875">
        <f t="shared" si="29"/>
        <v>6</v>
      </c>
      <c r="M1875">
        <f t="shared" si="29"/>
        <v>47</v>
      </c>
      <c r="N1875" t="b">
        <v>0</v>
      </c>
      <c r="O1875">
        <v>0</v>
      </c>
      <c r="Q1875">
        <v>0</v>
      </c>
      <c r="R1875" t="b">
        <v>0</v>
      </c>
    </row>
    <row r="1876" spans="1:18">
      <c r="A1876" t="s">
        <v>573</v>
      </c>
      <c r="B1876" t="s">
        <v>4841</v>
      </c>
      <c r="C1876" t="s">
        <v>4842</v>
      </c>
      <c r="E1876">
        <v>4</v>
      </c>
      <c r="F1876">
        <v>20</v>
      </c>
      <c r="G1876">
        <v>1</v>
      </c>
      <c r="H1876">
        <v>1</v>
      </c>
      <c r="J1876" t="s">
        <v>22</v>
      </c>
      <c r="K1876" t="b">
        <v>1</v>
      </c>
      <c r="L1876">
        <f t="shared" si="29"/>
        <v>5</v>
      </c>
      <c r="M1876">
        <f t="shared" si="29"/>
        <v>21</v>
      </c>
      <c r="N1876" t="b">
        <v>0</v>
      </c>
      <c r="O1876">
        <v>1</v>
      </c>
      <c r="P1876" t="s">
        <v>4843</v>
      </c>
      <c r="Q1876">
        <v>2</v>
      </c>
      <c r="R1876" t="b">
        <v>1</v>
      </c>
    </row>
    <row r="1877" spans="1:18" hidden="1">
      <c r="A1877" t="s">
        <v>1191</v>
      </c>
      <c r="B1877" t="s">
        <v>4844</v>
      </c>
      <c r="C1877" t="s">
        <v>4845</v>
      </c>
      <c r="E1877">
        <v>4</v>
      </c>
      <c r="F1877">
        <v>8</v>
      </c>
      <c r="G1877">
        <v>1</v>
      </c>
      <c r="H1877">
        <v>5</v>
      </c>
      <c r="J1877" t="s">
        <v>93</v>
      </c>
      <c r="K1877" t="b">
        <v>1</v>
      </c>
      <c r="L1877">
        <f t="shared" si="29"/>
        <v>5</v>
      </c>
      <c r="M1877">
        <f t="shared" si="29"/>
        <v>13</v>
      </c>
      <c r="N1877" t="b">
        <v>0</v>
      </c>
      <c r="O1877">
        <v>0.4</v>
      </c>
      <c r="P1877" t="s">
        <v>4846</v>
      </c>
      <c r="Q1877">
        <v>4</v>
      </c>
      <c r="R1877" t="b">
        <v>1</v>
      </c>
    </row>
    <row r="1878" spans="1:18" hidden="1">
      <c r="A1878" t="s">
        <v>1191</v>
      </c>
      <c r="B1878" t="s">
        <v>4847</v>
      </c>
      <c r="C1878" t="s">
        <v>4848</v>
      </c>
      <c r="E1878">
        <v>3</v>
      </c>
      <c r="F1878">
        <v>24</v>
      </c>
      <c r="G1878">
        <v>2</v>
      </c>
      <c r="H1878">
        <v>2</v>
      </c>
      <c r="J1878" t="s">
        <v>93</v>
      </c>
      <c r="K1878" t="b">
        <v>1</v>
      </c>
      <c r="L1878">
        <f t="shared" si="29"/>
        <v>5</v>
      </c>
      <c r="M1878">
        <f t="shared" si="29"/>
        <v>26</v>
      </c>
      <c r="N1878" t="b">
        <v>0</v>
      </c>
      <c r="O1878">
        <v>0.16669999999999999</v>
      </c>
      <c r="P1878" t="s">
        <v>4849</v>
      </c>
      <c r="Q1878">
        <v>20</v>
      </c>
      <c r="R1878" t="b">
        <v>1</v>
      </c>
    </row>
    <row r="1879" spans="1:18" hidden="1">
      <c r="A1879" t="s">
        <v>1191</v>
      </c>
      <c r="B1879" t="s">
        <v>4850</v>
      </c>
      <c r="C1879" t="s">
        <v>4851</v>
      </c>
      <c r="E1879">
        <v>3</v>
      </c>
      <c r="F1879">
        <v>24</v>
      </c>
      <c r="G1879">
        <v>2</v>
      </c>
      <c r="H1879">
        <v>2</v>
      </c>
      <c r="J1879" t="s">
        <v>93</v>
      </c>
      <c r="K1879" t="b">
        <v>1</v>
      </c>
      <c r="L1879">
        <f t="shared" si="29"/>
        <v>5</v>
      </c>
      <c r="M1879">
        <f t="shared" si="29"/>
        <v>26</v>
      </c>
      <c r="N1879" t="b">
        <v>0</v>
      </c>
      <c r="O1879">
        <v>0</v>
      </c>
      <c r="Q1879">
        <v>0</v>
      </c>
      <c r="R1879" t="b">
        <v>0</v>
      </c>
    </row>
    <row r="1880" spans="1:18">
      <c r="A1880" t="s">
        <v>1191</v>
      </c>
      <c r="B1880" t="s">
        <v>4852</v>
      </c>
      <c r="C1880" t="s">
        <v>4853</v>
      </c>
      <c r="E1880">
        <v>4</v>
      </c>
      <c r="F1880">
        <v>7</v>
      </c>
      <c r="G1880">
        <v>1</v>
      </c>
      <c r="H1880">
        <v>4</v>
      </c>
      <c r="J1880" t="s">
        <v>22</v>
      </c>
      <c r="K1880" t="b">
        <v>1</v>
      </c>
      <c r="L1880">
        <f t="shared" si="29"/>
        <v>5</v>
      </c>
      <c r="M1880">
        <f t="shared" si="29"/>
        <v>11</v>
      </c>
      <c r="N1880" t="b">
        <v>0</v>
      </c>
      <c r="O1880">
        <v>1</v>
      </c>
      <c r="P1880" t="s">
        <v>4854</v>
      </c>
      <c r="Q1880">
        <v>2</v>
      </c>
      <c r="R1880" t="b">
        <v>1</v>
      </c>
    </row>
    <row r="1881" spans="1:18">
      <c r="A1881" t="s">
        <v>1191</v>
      </c>
      <c r="B1881" t="s">
        <v>4855</v>
      </c>
      <c r="C1881" t="s">
        <v>4856</v>
      </c>
      <c r="E1881">
        <v>4</v>
      </c>
      <c r="F1881">
        <v>7</v>
      </c>
      <c r="G1881">
        <v>1</v>
      </c>
      <c r="H1881">
        <v>4</v>
      </c>
      <c r="J1881" t="s">
        <v>22</v>
      </c>
      <c r="K1881" t="b">
        <v>1</v>
      </c>
      <c r="L1881">
        <f t="shared" si="29"/>
        <v>5</v>
      </c>
      <c r="M1881">
        <f t="shared" si="29"/>
        <v>11</v>
      </c>
      <c r="N1881" t="b">
        <v>0</v>
      </c>
      <c r="O1881">
        <v>1</v>
      </c>
      <c r="P1881" t="s">
        <v>4857</v>
      </c>
      <c r="Q1881">
        <v>2</v>
      </c>
      <c r="R1881" t="b">
        <v>1</v>
      </c>
    </row>
    <row r="1882" spans="1:18">
      <c r="A1882" t="s">
        <v>1191</v>
      </c>
      <c r="B1882" t="s">
        <v>4858</v>
      </c>
      <c r="C1882" t="s">
        <v>4859</v>
      </c>
      <c r="E1882">
        <v>5</v>
      </c>
      <c r="F1882">
        <v>13</v>
      </c>
      <c r="G1882">
        <v>0</v>
      </c>
      <c r="H1882">
        <v>0</v>
      </c>
      <c r="J1882" t="s">
        <v>22</v>
      </c>
      <c r="K1882" t="b">
        <v>1</v>
      </c>
      <c r="L1882">
        <f t="shared" si="29"/>
        <v>5</v>
      </c>
      <c r="M1882">
        <f t="shared" si="29"/>
        <v>13</v>
      </c>
      <c r="N1882" t="b">
        <v>0</v>
      </c>
      <c r="O1882">
        <v>1</v>
      </c>
      <c r="P1882" t="s">
        <v>4860</v>
      </c>
      <c r="Q1882">
        <v>2</v>
      </c>
      <c r="R1882" t="b">
        <v>1</v>
      </c>
    </row>
    <row r="1883" spans="1:18">
      <c r="A1883" t="s">
        <v>1191</v>
      </c>
      <c r="B1883" t="s">
        <v>4861</v>
      </c>
      <c r="C1883" t="s">
        <v>4862</v>
      </c>
      <c r="E1883">
        <v>5</v>
      </c>
      <c r="F1883">
        <v>13</v>
      </c>
      <c r="G1883">
        <v>0</v>
      </c>
      <c r="H1883">
        <v>0</v>
      </c>
      <c r="J1883" t="s">
        <v>22</v>
      </c>
      <c r="K1883" t="b">
        <v>1</v>
      </c>
      <c r="L1883">
        <f t="shared" si="29"/>
        <v>5</v>
      </c>
      <c r="M1883">
        <f t="shared" si="29"/>
        <v>13</v>
      </c>
      <c r="N1883" t="b">
        <v>0</v>
      </c>
      <c r="O1883">
        <v>1</v>
      </c>
      <c r="P1883" t="s">
        <v>4863</v>
      </c>
      <c r="Q1883">
        <v>2</v>
      </c>
      <c r="R1883" t="b">
        <v>1</v>
      </c>
    </row>
    <row r="1884" spans="1:18" hidden="1">
      <c r="A1884" t="s">
        <v>1191</v>
      </c>
      <c r="B1884" t="s">
        <v>4864</v>
      </c>
      <c r="C1884" t="s">
        <v>4865</v>
      </c>
      <c r="E1884">
        <v>5</v>
      </c>
      <c r="F1884">
        <v>0</v>
      </c>
      <c r="G1884">
        <v>0</v>
      </c>
      <c r="H1884">
        <v>0</v>
      </c>
      <c r="J1884" t="s">
        <v>93</v>
      </c>
      <c r="K1884" t="b">
        <v>1</v>
      </c>
      <c r="L1884">
        <f t="shared" si="29"/>
        <v>5</v>
      </c>
      <c r="M1884">
        <f t="shared" si="29"/>
        <v>0</v>
      </c>
      <c r="N1884" t="b">
        <v>0</v>
      </c>
      <c r="O1884">
        <v>0</v>
      </c>
      <c r="Q1884">
        <v>0</v>
      </c>
      <c r="R1884" t="b">
        <v>0</v>
      </c>
    </row>
    <row r="1885" spans="1:18">
      <c r="A1885" t="s">
        <v>1191</v>
      </c>
      <c r="B1885" t="s">
        <v>4866</v>
      </c>
      <c r="C1885" t="s">
        <v>4867</v>
      </c>
      <c r="E1885">
        <v>4</v>
      </c>
      <c r="F1885">
        <v>5</v>
      </c>
      <c r="G1885">
        <v>1</v>
      </c>
      <c r="H1885">
        <v>13</v>
      </c>
      <c r="J1885" t="s">
        <v>22</v>
      </c>
      <c r="K1885" t="b">
        <v>1</v>
      </c>
      <c r="L1885">
        <f t="shared" si="29"/>
        <v>5</v>
      </c>
      <c r="M1885">
        <f t="shared" si="29"/>
        <v>18</v>
      </c>
      <c r="N1885" t="b">
        <v>0</v>
      </c>
      <c r="O1885">
        <v>1</v>
      </c>
      <c r="P1885" t="s">
        <v>4868</v>
      </c>
      <c r="Q1885">
        <v>2</v>
      </c>
      <c r="R1885" t="b">
        <v>1</v>
      </c>
    </row>
    <row r="1886" spans="1:18">
      <c r="A1886" t="s">
        <v>1191</v>
      </c>
      <c r="B1886" t="s">
        <v>4869</v>
      </c>
      <c r="C1886" t="s">
        <v>4870</v>
      </c>
      <c r="E1886">
        <v>5</v>
      </c>
      <c r="F1886">
        <v>0</v>
      </c>
      <c r="G1886">
        <v>0</v>
      </c>
      <c r="H1886">
        <v>0</v>
      </c>
      <c r="J1886" t="s">
        <v>4749</v>
      </c>
      <c r="K1886" t="b">
        <v>1</v>
      </c>
      <c r="L1886">
        <f t="shared" si="29"/>
        <v>5</v>
      </c>
      <c r="M1886">
        <f t="shared" si="29"/>
        <v>0</v>
      </c>
      <c r="N1886" t="b">
        <v>0</v>
      </c>
      <c r="O1886">
        <v>0.33329999999999999</v>
      </c>
      <c r="P1886" t="s">
        <v>1256</v>
      </c>
      <c r="Q1886">
        <v>2</v>
      </c>
      <c r="R1886" t="b">
        <v>1</v>
      </c>
    </row>
    <row r="1887" spans="1:18">
      <c r="A1887" t="s">
        <v>1191</v>
      </c>
      <c r="B1887" t="s">
        <v>4871</v>
      </c>
      <c r="C1887" t="s">
        <v>4872</v>
      </c>
      <c r="E1887">
        <v>5</v>
      </c>
      <c r="F1887">
        <v>0</v>
      </c>
      <c r="G1887">
        <v>0</v>
      </c>
      <c r="H1887">
        <v>0</v>
      </c>
      <c r="J1887" t="s">
        <v>22</v>
      </c>
      <c r="K1887" t="b">
        <v>1</v>
      </c>
      <c r="L1887">
        <f t="shared" si="29"/>
        <v>5</v>
      </c>
      <c r="M1887">
        <f t="shared" si="29"/>
        <v>0</v>
      </c>
      <c r="N1887" t="b">
        <v>0</v>
      </c>
      <c r="O1887">
        <v>0.33329999999999999</v>
      </c>
      <c r="P1887" t="s">
        <v>4873</v>
      </c>
      <c r="Q1887">
        <v>4</v>
      </c>
      <c r="R1887" t="b">
        <v>1</v>
      </c>
    </row>
    <row r="1888" spans="1:18">
      <c r="A1888" t="s">
        <v>498</v>
      </c>
      <c r="B1888" t="s">
        <v>4874</v>
      </c>
      <c r="C1888" t="s">
        <v>4875</v>
      </c>
      <c r="E1888">
        <v>5</v>
      </c>
      <c r="F1888">
        <v>153</v>
      </c>
      <c r="G1888">
        <v>0</v>
      </c>
      <c r="H1888">
        <v>0</v>
      </c>
      <c r="J1888" t="s">
        <v>22</v>
      </c>
      <c r="K1888" t="b">
        <v>1</v>
      </c>
      <c r="L1888">
        <f t="shared" si="29"/>
        <v>5</v>
      </c>
      <c r="M1888">
        <f t="shared" si="29"/>
        <v>153</v>
      </c>
      <c r="N1888" t="b">
        <v>0</v>
      </c>
      <c r="O1888">
        <v>1</v>
      </c>
      <c r="P1888" t="s">
        <v>4876</v>
      </c>
      <c r="Q1888">
        <v>2</v>
      </c>
      <c r="R1888" t="b">
        <v>1</v>
      </c>
    </row>
    <row r="1889" spans="1:18">
      <c r="A1889" t="s">
        <v>372</v>
      </c>
      <c r="B1889" t="s">
        <v>4877</v>
      </c>
      <c r="C1889" t="s">
        <v>4878</v>
      </c>
      <c r="E1889">
        <v>3</v>
      </c>
      <c r="F1889">
        <v>33</v>
      </c>
      <c r="G1889">
        <v>2</v>
      </c>
      <c r="H1889">
        <v>147</v>
      </c>
      <c r="J1889" t="s">
        <v>22</v>
      </c>
      <c r="K1889" t="b">
        <v>1</v>
      </c>
      <c r="L1889">
        <f t="shared" si="29"/>
        <v>5</v>
      </c>
      <c r="M1889">
        <f t="shared" si="29"/>
        <v>180</v>
      </c>
      <c r="N1889" t="b">
        <v>0</v>
      </c>
      <c r="O1889">
        <v>1</v>
      </c>
      <c r="P1889" t="s">
        <v>4879</v>
      </c>
      <c r="Q1889">
        <v>2</v>
      </c>
      <c r="R1889" t="b">
        <v>1</v>
      </c>
    </row>
    <row r="1890" spans="1:18">
      <c r="A1890" t="s">
        <v>3627</v>
      </c>
      <c r="B1890" t="s">
        <v>4880</v>
      </c>
      <c r="C1890" t="s">
        <v>4881</v>
      </c>
      <c r="E1890">
        <v>4</v>
      </c>
      <c r="F1890">
        <v>1011</v>
      </c>
      <c r="G1890">
        <v>1</v>
      </c>
      <c r="H1890">
        <v>3</v>
      </c>
      <c r="J1890" t="s">
        <v>22</v>
      </c>
      <c r="K1890" t="b">
        <v>1</v>
      </c>
      <c r="L1890">
        <f t="shared" si="29"/>
        <v>5</v>
      </c>
      <c r="M1890">
        <f t="shared" si="29"/>
        <v>1014</v>
      </c>
      <c r="N1890" t="b">
        <v>0</v>
      </c>
      <c r="O1890">
        <v>1</v>
      </c>
      <c r="P1890" t="s">
        <v>4882</v>
      </c>
      <c r="Q1890">
        <v>2</v>
      </c>
      <c r="R1890" t="b">
        <v>1</v>
      </c>
    </row>
    <row r="1891" spans="1:18">
      <c r="A1891" t="s">
        <v>1987</v>
      </c>
      <c r="B1891" t="s">
        <v>4883</v>
      </c>
      <c r="C1891" t="s">
        <v>4884</v>
      </c>
      <c r="E1891">
        <v>5</v>
      </c>
      <c r="F1891">
        <v>11</v>
      </c>
      <c r="G1891">
        <v>0</v>
      </c>
      <c r="H1891">
        <v>0</v>
      </c>
      <c r="J1891" t="s">
        <v>22</v>
      </c>
      <c r="K1891" t="b">
        <v>1</v>
      </c>
      <c r="L1891">
        <f t="shared" si="29"/>
        <v>5</v>
      </c>
      <c r="M1891">
        <f t="shared" si="29"/>
        <v>11</v>
      </c>
      <c r="N1891" t="b">
        <v>0</v>
      </c>
      <c r="O1891">
        <v>1</v>
      </c>
      <c r="P1891" t="s">
        <v>4885</v>
      </c>
      <c r="Q1891">
        <v>2</v>
      </c>
      <c r="R1891" t="b">
        <v>1</v>
      </c>
    </row>
    <row r="1892" spans="1:18">
      <c r="A1892" t="s">
        <v>1987</v>
      </c>
      <c r="B1892" t="s">
        <v>4886</v>
      </c>
      <c r="C1892" t="s">
        <v>4887</v>
      </c>
      <c r="E1892">
        <v>4</v>
      </c>
      <c r="F1892">
        <v>18</v>
      </c>
      <c r="G1892">
        <v>1</v>
      </c>
      <c r="H1892">
        <v>23</v>
      </c>
      <c r="J1892" t="s">
        <v>22</v>
      </c>
      <c r="K1892" t="b">
        <v>1</v>
      </c>
      <c r="L1892">
        <f t="shared" si="29"/>
        <v>5</v>
      </c>
      <c r="M1892">
        <f t="shared" si="29"/>
        <v>41</v>
      </c>
      <c r="N1892" t="b">
        <v>0</v>
      </c>
      <c r="O1892">
        <v>1</v>
      </c>
      <c r="P1892" t="s">
        <v>4888</v>
      </c>
      <c r="Q1892">
        <v>2</v>
      </c>
      <c r="R1892" t="b">
        <v>1</v>
      </c>
    </row>
    <row r="1893" spans="1:18">
      <c r="A1893" t="s">
        <v>24</v>
      </c>
      <c r="B1893" t="s">
        <v>4889</v>
      </c>
      <c r="C1893" t="s">
        <v>4890</v>
      </c>
      <c r="E1893">
        <v>4</v>
      </c>
      <c r="F1893">
        <v>20</v>
      </c>
      <c r="G1893">
        <v>1</v>
      </c>
      <c r="H1893">
        <v>1</v>
      </c>
      <c r="J1893" t="s">
        <v>22</v>
      </c>
      <c r="K1893" t="b">
        <v>1</v>
      </c>
      <c r="L1893">
        <f t="shared" si="29"/>
        <v>5</v>
      </c>
      <c r="M1893">
        <f t="shared" si="29"/>
        <v>21</v>
      </c>
      <c r="N1893" t="b">
        <v>0</v>
      </c>
      <c r="O1893">
        <v>1</v>
      </c>
      <c r="P1893" t="s">
        <v>4891</v>
      </c>
      <c r="Q1893">
        <v>2</v>
      </c>
      <c r="R1893" t="b">
        <v>1</v>
      </c>
    </row>
    <row r="1894" spans="1:18" hidden="1">
      <c r="A1894" t="s">
        <v>24</v>
      </c>
      <c r="B1894" t="s">
        <v>4892</v>
      </c>
      <c r="C1894" t="s">
        <v>4893</v>
      </c>
      <c r="E1894">
        <v>3</v>
      </c>
      <c r="F1894">
        <v>2</v>
      </c>
      <c r="G1894">
        <v>2</v>
      </c>
      <c r="H1894">
        <v>3</v>
      </c>
      <c r="J1894" t="s">
        <v>93</v>
      </c>
      <c r="K1894" t="b">
        <v>1</v>
      </c>
      <c r="L1894">
        <f t="shared" si="29"/>
        <v>5</v>
      </c>
      <c r="M1894">
        <f t="shared" si="29"/>
        <v>5</v>
      </c>
      <c r="N1894" t="b">
        <v>0</v>
      </c>
      <c r="O1894">
        <v>0</v>
      </c>
      <c r="Q1894">
        <v>0</v>
      </c>
      <c r="R1894" t="b">
        <v>0</v>
      </c>
    </row>
    <row r="1895" spans="1:18" hidden="1">
      <c r="A1895" t="s">
        <v>1293</v>
      </c>
      <c r="B1895" t="s">
        <v>4894</v>
      </c>
      <c r="C1895" t="s">
        <v>4895</v>
      </c>
      <c r="E1895">
        <v>5</v>
      </c>
      <c r="F1895">
        <v>1050</v>
      </c>
      <c r="G1895">
        <v>0</v>
      </c>
      <c r="H1895">
        <v>0</v>
      </c>
      <c r="J1895" t="s">
        <v>93</v>
      </c>
      <c r="K1895" t="b">
        <v>0</v>
      </c>
      <c r="L1895">
        <f t="shared" si="29"/>
        <v>5</v>
      </c>
      <c r="M1895">
        <f t="shared" si="29"/>
        <v>1050</v>
      </c>
      <c r="N1895" t="b">
        <v>0</v>
      </c>
      <c r="O1895">
        <v>0</v>
      </c>
      <c r="Q1895">
        <v>0</v>
      </c>
      <c r="R1895" t="b">
        <v>0</v>
      </c>
    </row>
    <row r="1896" spans="1:18">
      <c r="A1896" t="s">
        <v>24</v>
      </c>
      <c r="B1896" t="s">
        <v>4896</v>
      </c>
      <c r="C1896" t="s">
        <v>4897</v>
      </c>
      <c r="E1896">
        <v>5</v>
      </c>
      <c r="F1896">
        <v>85</v>
      </c>
      <c r="G1896">
        <v>0</v>
      </c>
      <c r="H1896">
        <v>0</v>
      </c>
      <c r="J1896" t="s">
        <v>22</v>
      </c>
      <c r="K1896" t="b">
        <v>1</v>
      </c>
      <c r="L1896">
        <f t="shared" si="29"/>
        <v>5</v>
      </c>
      <c r="M1896">
        <f t="shared" si="29"/>
        <v>85</v>
      </c>
      <c r="N1896" t="b">
        <v>0</v>
      </c>
      <c r="O1896">
        <v>1</v>
      </c>
      <c r="P1896" t="s">
        <v>4898</v>
      </c>
      <c r="Q1896">
        <v>2</v>
      </c>
      <c r="R1896" t="b">
        <v>1</v>
      </c>
    </row>
    <row r="1897" spans="1:18">
      <c r="A1897" t="s">
        <v>205</v>
      </c>
      <c r="B1897" t="s">
        <v>4899</v>
      </c>
      <c r="C1897" t="s">
        <v>4900</v>
      </c>
      <c r="E1897">
        <v>2</v>
      </c>
      <c r="F1897">
        <v>0</v>
      </c>
      <c r="G1897">
        <v>3</v>
      </c>
      <c r="H1897">
        <v>8</v>
      </c>
      <c r="J1897" t="s">
        <v>22</v>
      </c>
      <c r="K1897" t="b">
        <v>1</v>
      </c>
      <c r="L1897">
        <f t="shared" si="29"/>
        <v>5</v>
      </c>
      <c r="M1897">
        <f t="shared" si="29"/>
        <v>8</v>
      </c>
      <c r="N1897" t="b">
        <v>0</v>
      </c>
      <c r="O1897">
        <v>1</v>
      </c>
      <c r="P1897" t="s">
        <v>1554</v>
      </c>
      <c r="Q1897">
        <v>2</v>
      </c>
      <c r="R1897" t="b">
        <v>1</v>
      </c>
    </row>
    <row r="1898" spans="1:18">
      <c r="A1898" t="s">
        <v>205</v>
      </c>
      <c r="B1898" t="s">
        <v>4901</v>
      </c>
      <c r="C1898" t="s">
        <v>4902</v>
      </c>
      <c r="E1898">
        <v>4</v>
      </c>
      <c r="F1898">
        <v>9</v>
      </c>
      <c r="G1898">
        <v>1</v>
      </c>
      <c r="H1898">
        <v>57</v>
      </c>
      <c r="J1898" t="s">
        <v>22</v>
      </c>
      <c r="K1898" t="b">
        <v>1</v>
      </c>
      <c r="L1898">
        <f t="shared" si="29"/>
        <v>5</v>
      </c>
      <c r="M1898">
        <f t="shared" si="29"/>
        <v>66</v>
      </c>
      <c r="N1898" t="b">
        <v>0</v>
      </c>
      <c r="O1898">
        <v>1</v>
      </c>
      <c r="P1898" t="s">
        <v>3583</v>
      </c>
      <c r="Q1898">
        <v>2</v>
      </c>
      <c r="R1898" t="b">
        <v>1</v>
      </c>
    </row>
    <row r="1899" spans="1:18">
      <c r="A1899" t="s">
        <v>59</v>
      </c>
      <c r="B1899" t="s">
        <v>4903</v>
      </c>
      <c r="C1899" t="s">
        <v>4904</v>
      </c>
      <c r="E1899">
        <v>3</v>
      </c>
      <c r="F1899">
        <v>10</v>
      </c>
      <c r="G1899">
        <v>2</v>
      </c>
      <c r="H1899">
        <v>4</v>
      </c>
      <c r="J1899" t="s">
        <v>22</v>
      </c>
      <c r="K1899" t="b">
        <v>1</v>
      </c>
      <c r="L1899">
        <f t="shared" si="29"/>
        <v>5</v>
      </c>
      <c r="M1899">
        <f t="shared" si="29"/>
        <v>14</v>
      </c>
      <c r="N1899" t="b">
        <v>0</v>
      </c>
      <c r="O1899">
        <v>1</v>
      </c>
      <c r="P1899" t="s">
        <v>4905</v>
      </c>
      <c r="Q1899">
        <v>2</v>
      </c>
      <c r="R1899" t="b">
        <v>1</v>
      </c>
    </row>
    <row r="1900" spans="1:18" hidden="1">
      <c r="A1900" t="s">
        <v>2984</v>
      </c>
      <c r="B1900" t="s">
        <v>4906</v>
      </c>
      <c r="C1900" t="s">
        <v>4907</v>
      </c>
      <c r="E1900">
        <v>5</v>
      </c>
      <c r="F1900">
        <v>4</v>
      </c>
      <c r="G1900">
        <v>0</v>
      </c>
      <c r="H1900">
        <v>0</v>
      </c>
      <c r="J1900" t="s">
        <v>93</v>
      </c>
      <c r="K1900" t="b">
        <v>0</v>
      </c>
      <c r="L1900">
        <f t="shared" si="29"/>
        <v>5</v>
      </c>
      <c r="M1900">
        <f t="shared" si="29"/>
        <v>4</v>
      </c>
      <c r="N1900" t="b">
        <v>1</v>
      </c>
      <c r="O1900">
        <v>0</v>
      </c>
      <c r="Q1900">
        <v>0</v>
      </c>
      <c r="R1900" t="b">
        <v>0</v>
      </c>
    </row>
    <row r="1901" spans="1:18" hidden="1">
      <c r="A1901" t="s">
        <v>1293</v>
      </c>
      <c r="B1901" t="s">
        <v>4908</v>
      </c>
      <c r="C1901" t="s">
        <v>4909</v>
      </c>
      <c r="E1901">
        <v>3</v>
      </c>
      <c r="F1901">
        <v>70</v>
      </c>
      <c r="G1901">
        <v>2</v>
      </c>
      <c r="H1901">
        <v>5</v>
      </c>
      <c r="J1901" t="s">
        <v>93</v>
      </c>
      <c r="K1901" t="b">
        <v>0</v>
      </c>
      <c r="L1901">
        <f t="shared" si="29"/>
        <v>5</v>
      </c>
      <c r="M1901">
        <f t="shared" si="29"/>
        <v>75</v>
      </c>
      <c r="N1901" t="b">
        <v>0</v>
      </c>
      <c r="O1901">
        <v>0</v>
      </c>
      <c r="Q1901">
        <v>0</v>
      </c>
      <c r="R1901" t="b">
        <v>0</v>
      </c>
    </row>
    <row r="1902" spans="1:18" hidden="1">
      <c r="A1902" t="s">
        <v>1227</v>
      </c>
      <c r="B1902" t="s">
        <v>4910</v>
      </c>
      <c r="C1902" t="s">
        <v>4911</v>
      </c>
      <c r="E1902">
        <v>0</v>
      </c>
      <c r="F1902">
        <v>0</v>
      </c>
      <c r="G1902">
        <v>5</v>
      </c>
      <c r="H1902">
        <v>47</v>
      </c>
      <c r="J1902" t="s">
        <v>93</v>
      </c>
      <c r="K1902" t="b">
        <v>0</v>
      </c>
      <c r="L1902">
        <f t="shared" si="29"/>
        <v>5</v>
      </c>
      <c r="M1902">
        <f t="shared" si="29"/>
        <v>47</v>
      </c>
      <c r="N1902" t="b">
        <v>0</v>
      </c>
      <c r="O1902">
        <v>0</v>
      </c>
      <c r="Q1902">
        <v>0</v>
      </c>
      <c r="R1902" t="b">
        <v>0</v>
      </c>
    </row>
    <row r="1903" spans="1:18" hidden="1">
      <c r="A1903" t="s">
        <v>4912</v>
      </c>
      <c r="B1903" t="s">
        <v>4913</v>
      </c>
      <c r="C1903" t="s">
        <v>4914</v>
      </c>
      <c r="E1903">
        <v>5</v>
      </c>
      <c r="F1903">
        <v>43</v>
      </c>
      <c r="G1903">
        <v>0</v>
      </c>
      <c r="H1903">
        <v>0</v>
      </c>
      <c r="J1903" t="s">
        <v>93</v>
      </c>
      <c r="K1903" t="b">
        <v>0</v>
      </c>
      <c r="L1903">
        <f t="shared" si="29"/>
        <v>5</v>
      </c>
      <c r="M1903">
        <f t="shared" si="29"/>
        <v>43</v>
      </c>
      <c r="N1903" t="b">
        <v>0</v>
      </c>
      <c r="O1903">
        <v>0</v>
      </c>
      <c r="Q1903">
        <v>0</v>
      </c>
      <c r="R1903" t="b">
        <v>0</v>
      </c>
    </row>
    <row r="1904" spans="1:18" hidden="1">
      <c r="A1904" t="s">
        <v>4912</v>
      </c>
      <c r="B1904" t="s">
        <v>4915</v>
      </c>
      <c r="C1904" t="s">
        <v>4916</v>
      </c>
      <c r="E1904">
        <v>5</v>
      </c>
      <c r="F1904">
        <v>43</v>
      </c>
      <c r="G1904">
        <v>0</v>
      </c>
      <c r="H1904">
        <v>0</v>
      </c>
      <c r="J1904" t="s">
        <v>93</v>
      </c>
      <c r="K1904" t="b">
        <v>0</v>
      </c>
      <c r="L1904">
        <f t="shared" si="29"/>
        <v>5</v>
      </c>
      <c r="M1904">
        <f t="shared" si="29"/>
        <v>43</v>
      </c>
      <c r="N1904" t="b">
        <v>0</v>
      </c>
      <c r="O1904">
        <v>0</v>
      </c>
      <c r="Q1904">
        <v>0</v>
      </c>
      <c r="R1904" t="b">
        <v>0</v>
      </c>
    </row>
    <row r="1905" spans="1:18" hidden="1">
      <c r="A1905" t="s">
        <v>248</v>
      </c>
      <c r="B1905" t="s">
        <v>4917</v>
      </c>
      <c r="C1905" t="s">
        <v>4918</v>
      </c>
      <c r="E1905">
        <v>1</v>
      </c>
      <c r="F1905">
        <v>3</v>
      </c>
      <c r="G1905">
        <v>4</v>
      </c>
      <c r="H1905">
        <v>8</v>
      </c>
      <c r="J1905" t="s">
        <v>93</v>
      </c>
      <c r="K1905" t="b">
        <v>1</v>
      </c>
      <c r="L1905">
        <f t="shared" si="29"/>
        <v>5</v>
      </c>
      <c r="M1905">
        <f t="shared" si="29"/>
        <v>11</v>
      </c>
      <c r="N1905" t="b">
        <v>0</v>
      </c>
      <c r="O1905">
        <v>0</v>
      </c>
      <c r="Q1905">
        <v>0</v>
      </c>
      <c r="R1905" t="b">
        <v>0</v>
      </c>
    </row>
    <row r="1906" spans="1:18" hidden="1">
      <c r="A1906" t="s">
        <v>2540</v>
      </c>
      <c r="B1906" t="s">
        <v>4919</v>
      </c>
      <c r="C1906" t="s">
        <v>4920</v>
      </c>
      <c r="E1906">
        <v>3</v>
      </c>
      <c r="F1906">
        <v>35</v>
      </c>
      <c r="G1906">
        <v>2</v>
      </c>
      <c r="H1906">
        <v>3</v>
      </c>
      <c r="J1906" t="s">
        <v>93</v>
      </c>
      <c r="K1906" t="b">
        <v>0</v>
      </c>
      <c r="L1906">
        <f t="shared" si="29"/>
        <v>5</v>
      </c>
      <c r="M1906">
        <f t="shared" si="29"/>
        <v>38</v>
      </c>
      <c r="N1906" t="b">
        <v>0</v>
      </c>
      <c r="O1906">
        <v>0</v>
      </c>
      <c r="Q1906">
        <v>0</v>
      </c>
      <c r="R1906" t="b">
        <v>0</v>
      </c>
    </row>
    <row r="1907" spans="1:18" hidden="1">
      <c r="A1907" t="s">
        <v>2540</v>
      </c>
      <c r="B1907" t="s">
        <v>4921</v>
      </c>
      <c r="C1907" t="s">
        <v>4922</v>
      </c>
      <c r="E1907">
        <v>1</v>
      </c>
      <c r="F1907">
        <v>33</v>
      </c>
      <c r="G1907">
        <v>4</v>
      </c>
      <c r="H1907">
        <v>4</v>
      </c>
      <c r="J1907" t="s">
        <v>93</v>
      </c>
      <c r="K1907" t="b">
        <v>0</v>
      </c>
      <c r="L1907">
        <f t="shared" si="29"/>
        <v>5</v>
      </c>
      <c r="M1907">
        <f t="shared" si="29"/>
        <v>37</v>
      </c>
      <c r="N1907" t="b">
        <v>0</v>
      </c>
      <c r="O1907">
        <v>0</v>
      </c>
      <c r="Q1907">
        <v>0</v>
      </c>
      <c r="R1907" t="b">
        <v>0</v>
      </c>
    </row>
    <row r="1908" spans="1:18" hidden="1">
      <c r="A1908" t="s">
        <v>361</v>
      </c>
      <c r="B1908" t="s">
        <v>4923</v>
      </c>
      <c r="C1908" t="s">
        <v>4924</v>
      </c>
      <c r="D1908" t="s">
        <v>519</v>
      </c>
      <c r="E1908">
        <v>4</v>
      </c>
      <c r="F1908">
        <v>27</v>
      </c>
      <c r="G1908">
        <v>1</v>
      </c>
      <c r="H1908">
        <v>1</v>
      </c>
      <c r="I1908" t="s">
        <v>520</v>
      </c>
      <c r="J1908" t="s">
        <v>93</v>
      </c>
      <c r="K1908" t="b">
        <v>0</v>
      </c>
      <c r="L1908">
        <f t="shared" si="29"/>
        <v>5</v>
      </c>
      <c r="M1908">
        <f t="shared" si="29"/>
        <v>28</v>
      </c>
      <c r="N1908" t="b">
        <v>0</v>
      </c>
      <c r="O1908">
        <v>0</v>
      </c>
      <c r="Q1908">
        <v>0</v>
      </c>
      <c r="R1908" t="b">
        <v>0</v>
      </c>
    </row>
    <row r="1909" spans="1:18" hidden="1">
      <c r="A1909" t="s">
        <v>361</v>
      </c>
      <c r="B1909" t="s">
        <v>4925</v>
      </c>
      <c r="C1909" t="s">
        <v>4926</v>
      </c>
      <c r="D1909" t="s">
        <v>519</v>
      </c>
      <c r="E1909">
        <v>3</v>
      </c>
      <c r="F1909">
        <v>16</v>
      </c>
      <c r="G1909">
        <v>2</v>
      </c>
      <c r="H1909">
        <v>9</v>
      </c>
      <c r="I1909" t="s">
        <v>520</v>
      </c>
      <c r="J1909" t="s">
        <v>93</v>
      </c>
      <c r="K1909" t="b">
        <v>0</v>
      </c>
      <c r="L1909">
        <f t="shared" si="29"/>
        <v>5</v>
      </c>
      <c r="M1909">
        <f t="shared" si="29"/>
        <v>25</v>
      </c>
      <c r="N1909" t="b">
        <v>0</v>
      </c>
      <c r="O1909">
        <v>0</v>
      </c>
      <c r="Q1909">
        <v>0</v>
      </c>
      <c r="R1909" t="b">
        <v>0</v>
      </c>
    </row>
    <row r="1910" spans="1:18">
      <c r="A1910" t="s">
        <v>3478</v>
      </c>
      <c r="B1910" t="s">
        <v>4927</v>
      </c>
      <c r="C1910" t="s">
        <v>4928</v>
      </c>
      <c r="E1910">
        <v>5</v>
      </c>
      <c r="F1910">
        <v>20</v>
      </c>
      <c r="G1910">
        <v>0</v>
      </c>
      <c r="H1910">
        <v>0</v>
      </c>
      <c r="J1910" t="s">
        <v>22</v>
      </c>
      <c r="K1910" t="b">
        <v>1</v>
      </c>
      <c r="L1910">
        <f t="shared" si="29"/>
        <v>5</v>
      </c>
      <c r="M1910">
        <f t="shared" si="29"/>
        <v>20</v>
      </c>
      <c r="N1910" t="b">
        <v>0</v>
      </c>
      <c r="O1910">
        <v>1</v>
      </c>
      <c r="P1910" t="s">
        <v>4929</v>
      </c>
      <c r="Q1910">
        <v>2</v>
      </c>
      <c r="R1910" t="b">
        <v>1</v>
      </c>
    </row>
    <row r="1911" spans="1:18">
      <c r="A1911" t="s">
        <v>2775</v>
      </c>
      <c r="B1911" t="s">
        <v>4930</v>
      </c>
      <c r="C1911" t="s">
        <v>4931</v>
      </c>
      <c r="E1911">
        <v>3</v>
      </c>
      <c r="F1911">
        <v>2</v>
      </c>
      <c r="G1911">
        <v>2</v>
      </c>
      <c r="H1911">
        <v>3</v>
      </c>
      <c r="J1911" t="s">
        <v>22</v>
      </c>
      <c r="K1911" t="b">
        <v>1</v>
      </c>
      <c r="L1911">
        <f t="shared" si="29"/>
        <v>5</v>
      </c>
      <c r="M1911">
        <f t="shared" si="29"/>
        <v>5</v>
      </c>
      <c r="N1911" t="b">
        <v>0</v>
      </c>
      <c r="O1911">
        <v>1</v>
      </c>
      <c r="P1911" t="s">
        <v>4932</v>
      </c>
      <c r="Q1911">
        <v>2</v>
      </c>
      <c r="R1911" t="b">
        <v>1</v>
      </c>
    </row>
    <row r="1912" spans="1:18" hidden="1">
      <c r="A1912" t="s">
        <v>768</v>
      </c>
      <c r="B1912" t="s">
        <v>4933</v>
      </c>
      <c r="C1912" t="s">
        <v>4934</v>
      </c>
      <c r="E1912">
        <v>0</v>
      </c>
      <c r="F1912">
        <v>0</v>
      </c>
      <c r="G1912">
        <v>5</v>
      </c>
      <c r="H1912">
        <v>16</v>
      </c>
      <c r="J1912" t="s">
        <v>93</v>
      </c>
      <c r="K1912" t="b">
        <v>0</v>
      </c>
      <c r="L1912">
        <f t="shared" si="29"/>
        <v>5</v>
      </c>
      <c r="M1912">
        <f t="shared" si="29"/>
        <v>16</v>
      </c>
      <c r="N1912" t="b">
        <v>0</v>
      </c>
      <c r="O1912">
        <v>0</v>
      </c>
      <c r="Q1912">
        <v>0</v>
      </c>
      <c r="R1912" t="b">
        <v>0</v>
      </c>
    </row>
    <row r="1913" spans="1:18" hidden="1">
      <c r="A1913" t="s">
        <v>1847</v>
      </c>
      <c r="B1913" t="s">
        <v>4935</v>
      </c>
      <c r="C1913" t="s">
        <v>4936</v>
      </c>
      <c r="E1913">
        <v>5</v>
      </c>
      <c r="F1913">
        <v>0</v>
      </c>
      <c r="G1913">
        <v>0</v>
      </c>
      <c r="H1913">
        <v>0</v>
      </c>
      <c r="J1913" t="s">
        <v>93</v>
      </c>
      <c r="K1913" t="b">
        <v>0</v>
      </c>
      <c r="L1913">
        <f t="shared" si="29"/>
        <v>5</v>
      </c>
      <c r="M1913">
        <f t="shared" si="29"/>
        <v>0</v>
      </c>
      <c r="N1913" t="b">
        <v>1</v>
      </c>
      <c r="O1913">
        <v>0</v>
      </c>
      <c r="Q1913">
        <v>0</v>
      </c>
      <c r="R1913" t="b">
        <v>0</v>
      </c>
    </row>
    <row r="1914" spans="1:18" hidden="1">
      <c r="A1914" t="s">
        <v>672</v>
      </c>
      <c r="B1914" t="s">
        <v>4937</v>
      </c>
      <c r="C1914" t="s">
        <v>4938</v>
      </c>
      <c r="E1914">
        <v>3</v>
      </c>
      <c r="F1914">
        <v>9</v>
      </c>
      <c r="G1914">
        <v>2</v>
      </c>
      <c r="H1914">
        <v>4</v>
      </c>
      <c r="J1914" t="s">
        <v>93</v>
      </c>
      <c r="K1914" t="b">
        <v>0</v>
      </c>
      <c r="L1914">
        <f t="shared" si="29"/>
        <v>5</v>
      </c>
      <c r="M1914">
        <f t="shared" si="29"/>
        <v>13</v>
      </c>
      <c r="N1914" t="b">
        <v>0</v>
      </c>
      <c r="O1914">
        <v>0</v>
      </c>
      <c r="Q1914">
        <v>0</v>
      </c>
      <c r="R1914" t="b">
        <v>0</v>
      </c>
    </row>
    <row r="1915" spans="1:18">
      <c r="A1915" t="s">
        <v>1143</v>
      </c>
      <c r="B1915" t="s">
        <v>4939</v>
      </c>
      <c r="C1915" t="s">
        <v>4940</v>
      </c>
      <c r="E1915">
        <v>0</v>
      </c>
      <c r="F1915">
        <v>0</v>
      </c>
      <c r="G1915">
        <v>5</v>
      </c>
      <c r="H1915">
        <v>24</v>
      </c>
      <c r="J1915" t="s">
        <v>22</v>
      </c>
      <c r="K1915" t="b">
        <v>1</v>
      </c>
      <c r="L1915">
        <f t="shared" si="29"/>
        <v>5</v>
      </c>
      <c r="M1915">
        <f t="shared" si="29"/>
        <v>24</v>
      </c>
      <c r="N1915" t="b">
        <v>0</v>
      </c>
      <c r="O1915">
        <v>1</v>
      </c>
      <c r="P1915" t="s">
        <v>4941</v>
      </c>
      <c r="Q1915">
        <v>2</v>
      </c>
      <c r="R1915" t="b">
        <v>1</v>
      </c>
    </row>
    <row r="1916" spans="1:18" hidden="1">
      <c r="A1916" t="s">
        <v>1143</v>
      </c>
      <c r="B1916" t="s">
        <v>4942</v>
      </c>
      <c r="C1916" t="s">
        <v>4943</v>
      </c>
      <c r="E1916">
        <v>0</v>
      </c>
      <c r="F1916">
        <v>0</v>
      </c>
      <c r="G1916">
        <v>5</v>
      </c>
      <c r="H1916">
        <v>19</v>
      </c>
      <c r="J1916" t="s">
        <v>93</v>
      </c>
      <c r="K1916" t="b">
        <v>1</v>
      </c>
      <c r="L1916">
        <f t="shared" si="29"/>
        <v>5</v>
      </c>
      <c r="M1916">
        <f t="shared" si="29"/>
        <v>19</v>
      </c>
      <c r="N1916" t="b">
        <v>0</v>
      </c>
      <c r="O1916">
        <v>0.25</v>
      </c>
      <c r="P1916" t="s">
        <v>4944</v>
      </c>
      <c r="Q1916">
        <v>8</v>
      </c>
      <c r="R1916" t="b">
        <v>1</v>
      </c>
    </row>
    <row r="1917" spans="1:18">
      <c r="A1917" t="s">
        <v>1143</v>
      </c>
      <c r="B1917" t="s">
        <v>4945</v>
      </c>
      <c r="C1917" t="s">
        <v>4946</v>
      </c>
      <c r="E1917">
        <v>0</v>
      </c>
      <c r="F1917">
        <v>0</v>
      </c>
      <c r="G1917">
        <v>5</v>
      </c>
      <c r="H1917">
        <v>36</v>
      </c>
      <c r="J1917" t="s">
        <v>22</v>
      </c>
      <c r="K1917" t="b">
        <v>1</v>
      </c>
      <c r="L1917">
        <f t="shared" si="29"/>
        <v>5</v>
      </c>
      <c r="M1917">
        <f t="shared" si="29"/>
        <v>36</v>
      </c>
      <c r="N1917" t="b">
        <v>0</v>
      </c>
      <c r="O1917">
        <v>1</v>
      </c>
      <c r="P1917" t="s">
        <v>4947</v>
      </c>
      <c r="Q1917">
        <v>2</v>
      </c>
      <c r="R1917" t="b">
        <v>1</v>
      </c>
    </row>
    <row r="1918" spans="1:18" hidden="1">
      <c r="A1918" t="s">
        <v>1143</v>
      </c>
      <c r="B1918" t="s">
        <v>4948</v>
      </c>
      <c r="C1918" t="s">
        <v>4949</v>
      </c>
      <c r="E1918">
        <v>0</v>
      </c>
      <c r="F1918">
        <v>0</v>
      </c>
      <c r="G1918">
        <v>5</v>
      </c>
      <c r="H1918">
        <v>36</v>
      </c>
      <c r="J1918" t="s">
        <v>93</v>
      </c>
      <c r="K1918" t="b">
        <v>1</v>
      </c>
      <c r="L1918">
        <f t="shared" si="29"/>
        <v>5</v>
      </c>
      <c r="M1918">
        <f t="shared" si="29"/>
        <v>36</v>
      </c>
      <c r="N1918" t="b">
        <v>0</v>
      </c>
      <c r="O1918">
        <v>0</v>
      </c>
      <c r="Q1918">
        <v>0</v>
      </c>
      <c r="R1918" t="b">
        <v>0</v>
      </c>
    </row>
    <row r="1919" spans="1:18">
      <c r="A1919" t="s">
        <v>1143</v>
      </c>
      <c r="B1919" t="s">
        <v>4950</v>
      </c>
      <c r="C1919" t="s">
        <v>4951</v>
      </c>
      <c r="E1919">
        <v>0</v>
      </c>
      <c r="F1919">
        <v>0</v>
      </c>
      <c r="G1919">
        <v>5</v>
      </c>
      <c r="H1919">
        <v>36</v>
      </c>
      <c r="J1919" t="s">
        <v>22</v>
      </c>
      <c r="K1919" t="b">
        <v>1</v>
      </c>
      <c r="L1919">
        <f t="shared" si="29"/>
        <v>5</v>
      </c>
      <c r="M1919">
        <f t="shared" si="29"/>
        <v>36</v>
      </c>
      <c r="N1919" t="b">
        <v>0</v>
      </c>
      <c r="O1919">
        <v>1</v>
      </c>
      <c r="P1919" t="s">
        <v>4952</v>
      </c>
      <c r="Q1919">
        <v>2</v>
      </c>
      <c r="R1919" t="b">
        <v>1</v>
      </c>
    </row>
    <row r="1920" spans="1:18" hidden="1">
      <c r="A1920" t="s">
        <v>1304</v>
      </c>
      <c r="B1920" t="s">
        <v>4953</v>
      </c>
      <c r="C1920" t="s">
        <v>4954</v>
      </c>
      <c r="E1920">
        <v>3</v>
      </c>
      <c r="F1920">
        <v>3</v>
      </c>
      <c r="G1920">
        <v>2</v>
      </c>
      <c r="H1920">
        <v>8</v>
      </c>
      <c r="J1920" t="s">
        <v>93</v>
      </c>
      <c r="K1920" t="b">
        <v>0</v>
      </c>
      <c r="L1920">
        <f t="shared" si="29"/>
        <v>5</v>
      </c>
      <c r="M1920">
        <f t="shared" si="29"/>
        <v>11</v>
      </c>
      <c r="N1920" t="b">
        <v>0</v>
      </c>
      <c r="O1920">
        <v>0</v>
      </c>
      <c r="Q1920">
        <v>0</v>
      </c>
      <c r="R1920" t="b">
        <v>0</v>
      </c>
    </row>
    <row r="1921" spans="1:18" hidden="1">
      <c r="A1921" t="s">
        <v>1304</v>
      </c>
      <c r="B1921" t="s">
        <v>4955</v>
      </c>
      <c r="C1921" t="s">
        <v>4956</v>
      </c>
      <c r="E1921">
        <v>3</v>
      </c>
      <c r="F1921">
        <v>3</v>
      </c>
      <c r="G1921">
        <v>2</v>
      </c>
      <c r="H1921">
        <v>8</v>
      </c>
      <c r="J1921" t="s">
        <v>93</v>
      </c>
      <c r="K1921" t="b">
        <v>0</v>
      </c>
      <c r="L1921">
        <f t="shared" si="29"/>
        <v>5</v>
      </c>
      <c r="M1921">
        <f t="shared" si="29"/>
        <v>11</v>
      </c>
      <c r="N1921" t="b">
        <v>0</v>
      </c>
      <c r="O1921">
        <v>0</v>
      </c>
      <c r="Q1921">
        <v>0</v>
      </c>
      <c r="R1921" t="b">
        <v>0</v>
      </c>
    </row>
    <row r="1922" spans="1:18" hidden="1">
      <c r="A1922" t="s">
        <v>1304</v>
      </c>
      <c r="B1922" t="s">
        <v>4957</v>
      </c>
      <c r="C1922" t="s">
        <v>4958</v>
      </c>
      <c r="E1922">
        <v>3</v>
      </c>
      <c r="F1922">
        <v>3</v>
      </c>
      <c r="G1922">
        <v>2</v>
      </c>
      <c r="H1922">
        <v>8</v>
      </c>
      <c r="J1922" t="s">
        <v>93</v>
      </c>
      <c r="K1922" t="b">
        <v>0</v>
      </c>
      <c r="L1922">
        <f t="shared" si="29"/>
        <v>5</v>
      </c>
      <c r="M1922">
        <f t="shared" si="29"/>
        <v>11</v>
      </c>
      <c r="N1922" t="b">
        <v>0</v>
      </c>
      <c r="O1922">
        <v>0</v>
      </c>
      <c r="Q1922">
        <v>0</v>
      </c>
      <c r="R1922" t="b">
        <v>0</v>
      </c>
    </row>
    <row r="1923" spans="1:18">
      <c r="A1923" t="s">
        <v>4383</v>
      </c>
      <c r="B1923" t="s">
        <v>4959</v>
      </c>
      <c r="C1923" t="s">
        <v>4960</v>
      </c>
      <c r="E1923">
        <v>0</v>
      </c>
      <c r="F1923">
        <v>0</v>
      </c>
      <c r="G1923">
        <v>5</v>
      </c>
      <c r="H1923">
        <v>41</v>
      </c>
      <c r="J1923" t="s">
        <v>22</v>
      </c>
      <c r="K1923" t="b">
        <v>1</v>
      </c>
      <c r="L1923">
        <f t="shared" ref="L1923:M1986" si="30">E1923+G1923</f>
        <v>5</v>
      </c>
      <c r="M1923">
        <f t="shared" si="30"/>
        <v>41</v>
      </c>
      <c r="N1923" t="b">
        <v>0</v>
      </c>
      <c r="O1923">
        <v>1</v>
      </c>
      <c r="P1923" t="s">
        <v>1238</v>
      </c>
      <c r="Q1923">
        <v>2</v>
      </c>
      <c r="R1923" t="b">
        <v>1</v>
      </c>
    </row>
    <row r="1924" spans="1:18" hidden="1">
      <c r="A1924" t="s">
        <v>1304</v>
      </c>
      <c r="B1924" t="s">
        <v>4961</v>
      </c>
      <c r="C1924" t="s">
        <v>4962</v>
      </c>
      <c r="E1924">
        <v>3</v>
      </c>
      <c r="F1924">
        <v>3</v>
      </c>
      <c r="G1924">
        <v>2</v>
      </c>
      <c r="H1924">
        <v>8</v>
      </c>
      <c r="J1924" t="s">
        <v>93</v>
      </c>
      <c r="K1924" t="b">
        <v>0</v>
      </c>
      <c r="L1924">
        <f t="shared" si="30"/>
        <v>5</v>
      </c>
      <c r="M1924">
        <f t="shared" si="30"/>
        <v>11</v>
      </c>
      <c r="N1924" t="b">
        <v>0</v>
      </c>
      <c r="O1924">
        <v>0</v>
      </c>
      <c r="Q1924">
        <v>0</v>
      </c>
      <c r="R1924" t="b">
        <v>0</v>
      </c>
    </row>
    <row r="1925" spans="1:18" hidden="1">
      <c r="A1925" t="s">
        <v>4404</v>
      </c>
      <c r="B1925" t="s">
        <v>4963</v>
      </c>
      <c r="C1925" t="s">
        <v>4964</v>
      </c>
      <c r="E1925">
        <v>5</v>
      </c>
      <c r="F1925">
        <v>11</v>
      </c>
      <c r="G1925">
        <v>0</v>
      </c>
      <c r="H1925">
        <v>0</v>
      </c>
      <c r="J1925" t="s">
        <v>93</v>
      </c>
      <c r="K1925" t="b">
        <v>0</v>
      </c>
      <c r="L1925">
        <f t="shared" si="30"/>
        <v>5</v>
      </c>
      <c r="M1925">
        <f t="shared" si="30"/>
        <v>11</v>
      </c>
      <c r="N1925" t="b">
        <v>0</v>
      </c>
      <c r="O1925">
        <v>0</v>
      </c>
      <c r="Q1925">
        <v>0</v>
      </c>
      <c r="R1925" t="b">
        <v>0</v>
      </c>
    </row>
    <row r="1926" spans="1:18" hidden="1">
      <c r="A1926" t="s">
        <v>4404</v>
      </c>
      <c r="B1926" t="s">
        <v>4965</v>
      </c>
      <c r="C1926" t="s">
        <v>4966</v>
      </c>
      <c r="E1926">
        <v>5</v>
      </c>
      <c r="F1926">
        <v>11</v>
      </c>
      <c r="G1926">
        <v>0</v>
      </c>
      <c r="H1926">
        <v>0</v>
      </c>
      <c r="J1926" t="s">
        <v>93</v>
      </c>
      <c r="K1926" t="b">
        <v>0</v>
      </c>
      <c r="L1926">
        <f t="shared" si="30"/>
        <v>5</v>
      </c>
      <c r="M1926">
        <f t="shared" si="30"/>
        <v>11</v>
      </c>
      <c r="N1926" t="b">
        <v>0</v>
      </c>
      <c r="O1926">
        <v>0</v>
      </c>
      <c r="Q1926">
        <v>0</v>
      </c>
      <c r="R1926" t="b">
        <v>0</v>
      </c>
    </row>
    <row r="1927" spans="1:18" hidden="1">
      <c r="A1927" t="s">
        <v>4404</v>
      </c>
      <c r="B1927" t="s">
        <v>4967</v>
      </c>
      <c r="C1927" t="s">
        <v>4968</v>
      </c>
      <c r="E1927">
        <v>5</v>
      </c>
      <c r="F1927">
        <v>11</v>
      </c>
      <c r="G1927">
        <v>0</v>
      </c>
      <c r="H1927">
        <v>0</v>
      </c>
      <c r="J1927" t="s">
        <v>93</v>
      </c>
      <c r="K1927" t="b">
        <v>0</v>
      </c>
      <c r="L1927">
        <f t="shared" si="30"/>
        <v>5</v>
      </c>
      <c r="M1927">
        <f t="shared" si="30"/>
        <v>11</v>
      </c>
      <c r="N1927" t="b">
        <v>0</v>
      </c>
      <c r="O1927">
        <v>0</v>
      </c>
      <c r="Q1927">
        <v>0</v>
      </c>
      <c r="R1927" t="b">
        <v>0</v>
      </c>
    </row>
    <row r="1928" spans="1:18" hidden="1">
      <c r="A1928" t="s">
        <v>3929</v>
      </c>
      <c r="B1928" t="s">
        <v>4969</v>
      </c>
      <c r="C1928" t="s">
        <v>4970</v>
      </c>
      <c r="E1928">
        <v>3</v>
      </c>
      <c r="F1928">
        <v>8</v>
      </c>
      <c r="G1928">
        <v>2</v>
      </c>
      <c r="H1928">
        <v>2</v>
      </c>
      <c r="J1928" t="s">
        <v>93</v>
      </c>
      <c r="K1928" t="b">
        <v>0</v>
      </c>
      <c r="L1928">
        <f t="shared" si="30"/>
        <v>5</v>
      </c>
      <c r="M1928">
        <f t="shared" si="30"/>
        <v>10</v>
      </c>
      <c r="N1928" t="b">
        <v>0</v>
      </c>
      <c r="O1928">
        <v>0</v>
      </c>
      <c r="Q1928">
        <v>0</v>
      </c>
      <c r="R1928" t="b">
        <v>0</v>
      </c>
    </row>
    <row r="1929" spans="1:18" hidden="1">
      <c r="A1929" t="s">
        <v>378</v>
      </c>
      <c r="B1929" t="s">
        <v>4971</v>
      </c>
      <c r="C1929" t="s">
        <v>4972</v>
      </c>
      <c r="E1929">
        <v>3</v>
      </c>
      <c r="F1929">
        <v>1</v>
      </c>
      <c r="G1929">
        <v>2</v>
      </c>
      <c r="H1929">
        <v>44</v>
      </c>
      <c r="J1929" t="s">
        <v>93</v>
      </c>
      <c r="K1929" t="b">
        <v>1</v>
      </c>
      <c r="L1929">
        <f t="shared" si="30"/>
        <v>5</v>
      </c>
      <c r="M1929">
        <f t="shared" si="30"/>
        <v>45</v>
      </c>
      <c r="N1929" t="b">
        <v>0</v>
      </c>
      <c r="O1929">
        <v>0</v>
      </c>
      <c r="Q1929">
        <v>0</v>
      </c>
      <c r="R1929" t="b">
        <v>0</v>
      </c>
    </row>
    <row r="1930" spans="1:18" hidden="1">
      <c r="A1930" t="s">
        <v>378</v>
      </c>
      <c r="B1930" t="s">
        <v>4973</v>
      </c>
      <c r="C1930" t="s">
        <v>4974</v>
      </c>
      <c r="E1930">
        <v>4</v>
      </c>
      <c r="F1930">
        <v>11</v>
      </c>
      <c r="G1930">
        <v>1</v>
      </c>
      <c r="H1930">
        <v>4</v>
      </c>
      <c r="J1930" t="s">
        <v>93</v>
      </c>
      <c r="K1930" t="b">
        <v>1</v>
      </c>
      <c r="L1930">
        <f t="shared" si="30"/>
        <v>5</v>
      </c>
      <c r="M1930">
        <f t="shared" si="30"/>
        <v>15</v>
      </c>
      <c r="N1930" t="b">
        <v>0</v>
      </c>
      <c r="O1930">
        <v>0</v>
      </c>
      <c r="Q1930">
        <v>0</v>
      </c>
      <c r="R1930" t="b">
        <v>0</v>
      </c>
    </row>
    <row r="1931" spans="1:18">
      <c r="A1931" t="s">
        <v>378</v>
      </c>
      <c r="B1931" t="s">
        <v>4975</v>
      </c>
      <c r="C1931" t="s">
        <v>4976</v>
      </c>
      <c r="E1931">
        <v>3</v>
      </c>
      <c r="F1931">
        <v>10</v>
      </c>
      <c r="G1931">
        <v>2</v>
      </c>
      <c r="H1931">
        <v>3</v>
      </c>
      <c r="J1931" t="s">
        <v>22</v>
      </c>
      <c r="K1931" t="b">
        <v>1</v>
      </c>
      <c r="L1931">
        <f t="shared" si="30"/>
        <v>5</v>
      </c>
      <c r="M1931">
        <f t="shared" si="30"/>
        <v>13</v>
      </c>
      <c r="N1931" t="b">
        <v>0</v>
      </c>
      <c r="O1931">
        <v>1</v>
      </c>
      <c r="P1931" t="s">
        <v>4538</v>
      </c>
      <c r="Q1931">
        <v>2</v>
      </c>
      <c r="R1931" t="b">
        <v>1</v>
      </c>
    </row>
    <row r="1932" spans="1:18" hidden="1">
      <c r="A1932" t="s">
        <v>4811</v>
      </c>
      <c r="B1932" t="s">
        <v>4977</v>
      </c>
      <c r="C1932" t="s">
        <v>4978</v>
      </c>
      <c r="E1932">
        <v>1</v>
      </c>
      <c r="F1932">
        <v>2</v>
      </c>
      <c r="G1932">
        <v>4</v>
      </c>
      <c r="H1932">
        <v>8</v>
      </c>
      <c r="J1932" t="s">
        <v>93</v>
      </c>
      <c r="K1932" t="b">
        <v>0</v>
      </c>
      <c r="L1932">
        <f t="shared" si="30"/>
        <v>5</v>
      </c>
      <c r="M1932">
        <f t="shared" si="30"/>
        <v>10</v>
      </c>
      <c r="N1932" t="b">
        <v>0</v>
      </c>
      <c r="O1932">
        <v>0</v>
      </c>
      <c r="Q1932">
        <v>0</v>
      </c>
      <c r="R1932" t="b">
        <v>0</v>
      </c>
    </row>
    <row r="1933" spans="1:18" hidden="1">
      <c r="A1933" t="s">
        <v>4811</v>
      </c>
      <c r="B1933" t="s">
        <v>4979</v>
      </c>
      <c r="C1933" t="s">
        <v>4980</v>
      </c>
      <c r="E1933">
        <v>2</v>
      </c>
      <c r="F1933">
        <v>4</v>
      </c>
      <c r="G1933">
        <v>3</v>
      </c>
      <c r="H1933">
        <v>6</v>
      </c>
      <c r="J1933" t="s">
        <v>93</v>
      </c>
      <c r="K1933" t="b">
        <v>0</v>
      </c>
      <c r="L1933">
        <f t="shared" si="30"/>
        <v>5</v>
      </c>
      <c r="M1933">
        <f t="shared" si="30"/>
        <v>10</v>
      </c>
      <c r="N1933" t="b">
        <v>0</v>
      </c>
      <c r="O1933">
        <v>0</v>
      </c>
      <c r="Q1933">
        <v>0</v>
      </c>
      <c r="R1933" t="b">
        <v>0</v>
      </c>
    </row>
    <row r="1934" spans="1:18" hidden="1">
      <c r="A1934" t="s">
        <v>1304</v>
      </c>
      <c r="B1934" t="s">
        <v>4981</v>
      </c>
      <c r="C1934" t="s">
        <v>4982</v>
      </c>
      <c r="E1934">
        <v>2</v>
      </c>
      <c r="F1934">
        <v>1</v>
      </c>
      <c r="G1934">
        <v>3</v>
      </c>
      <c r="H1934">
        <v>9</v>
      </c>
      <c r="J1934" t="s">
        <v>93</v>
      </c>
      <c r="K1934" t="b">
        <v>0</v>
      </c>
      <c r="L1934">
        <f t="shared" si="30"/>
        <v>5</v>
      </c>
      <c r="M1934">
        <f t="shared" si="30"/>
        <v>10</v>
      </c>
      <c r="N1934" t="b">
        <v>0</v>
      </c>
      <c r="O1934">
        <v>0</v>
      </c>
      <c r="Q1934">
        <v>0</v>
      </c>
      <c r="R1934" t="b">
        <v>0</v>
      </c>
    </row>
    <row r="1935" spans="1:18" hidden="1">
      <c r="A1935" t="s">
        <v>4404</v>
      </c>
      <c r="B1935" t="s">
        <v>4983</v>
      </c>
      <c r="C1935" t="s">
        <v>4984</v>
      </c>
      <c r="E1935">
        <v>5</v>
      </c>
      <c r="F1935">
        <v>10</v>
      </c>
      <c r="G1935">
        <v>0</v>
      </c>
      <c r="H1935">
        <v>0</v>
      </c>
      <c r="J1935" t="s">
        <v>93</v>
      </c>
      <c r="K1935" t="b">
        <v>0</v>
      </c>
      <c r="L1935">
        <f t="shared" si="30"/>
        <v>5</v>
      </c>
      <c r="M1935">
        <f t="shared" si="30"/>
        <v>10</v>
      </c>
      <c r="N1935" t="b">
        <v>0</v>
      </c>
      <c r="O1935">
        <v>0</v>
      </c>
      <c r="Q1935">
        <v>0</v>
      </c>
      <c r="R1935" t="b">
        <v>0</v>
      </c>
    </row>
    <row r="1936" spans="1:18" hidden="1">
      <c r="A1936" t="s">
        <v>1207</v>
      </c>
      <c r="B1936" t="s">
        <v>4985</v>
      </c>
      <c r="C1936" t="s">
        <v>4986</v>
      </c>
      <c r="E1936">
        <v>4</v>
      </c>
      <c r="F1936">
        <v>5</v>
      </c>
      <c r="G1936">
        <v>1</v>
      </c>
      <c r="H1936">
        <v>4</v>
      </c>
      <c r="J1936" t="s">
        <v>93</v>
      </c>
      <c r="K1936" t="b">
        <v>0</v>
      </c>
      <c r="L1936">
        <f t="shared" si="30"/>
        <v>5</v>
      </c>
      <c r="M1936">
        <f t="shared" si="30"/>
        <v>9</v>
      </c>
      <c r="N1936" t="b">
        <v>0</v>
      </c>
      <c r="O1936">
        <v>0</v>
      </c>
      <c r="Q1936">
        <v>0</v>
      </c>
      <c r="R1936" t="b">
        <v>0</v>
      </c>
    </row>
    <row r="1937" spans="1:18" hidden="1">
      <c r="A1937" t="s">
        <v>3308</v>
      </c>
      <c r="B1937" t="s">
        <v>4987</v>
      </c>
      <c r="C1937" t="s">
        <v>4988</v>
      </c>
      <c r="E1937">
        <v>5</v>
      </c>
      <c r="F1937">
        <v>8</v>
      </c>
      <c r="G1937">
        <v>0</v>
      </c>
      <c r="H1937">
        <v>0</v>
      </c>
      <c r="J1937" t="s">
        <v>93</v>
      </c>
      <c r="K1937" t="b">
        <v>0</v>
      </c>
      <c r="L1937">
        <f t="shared" si="30"/>
        <v>5</v>
      </c>
      <c r="M1937">
        <f t="shared" si="30"/>
        <v>8</v>
      </c>
      <c r="N1937" t="b">
        <v>0</v>
      </c>
      <c r="O1937">
        <v>0</v>
      </c>
      <c r="Q1937">
        <v>0</v>
      </c>
      <c r="R1937" t="b">
        <v>0</v>
      </c>
    </row>
    <row r="1938" spans="1:18" hidden="1">
      <c r="A1938" t="s">
        <v>2984</v>
      </c>
      <c r="B1938" t="s">
        <v>4989</v>
      </c>
      <c r="C1938" t="s">
        <v>4990</v>
      </c>
      <c r="E1938">
        <v>4</v>
      </c>
      <c r="F1938">
        <v>4</v>
      </c>
      <c r="G1938">
        <v>1</v>
      </c>
      <c r="H1938">
        <v>1</v>
      </c>
      <c r="J1938" t="s">
        <v>93</v>
      </c>
      <c r="K1938" t="b">
        <v>0</v>
      </c>
      <c r="L1938">
        <f t="shared" si="30"/>
        <v>5</v>
      </c>
      <c r="M1938">
        <f t="shared" si="30"/>
        <v>5</v>
      </c>
      <c r="N1938" t="b">
        <v>0</v>
      </c>
      <c r="O1938">
        <v>0</v>
      </c>
      <c r="Q1938">
        <v>0</v>
      </c>
      <c r="R1938" t="b">
        <v>0</v>
      </c>
    </row>
    <row r="1939" spans="1:18" hidden="1">
      <c r="A1939" t="s">
        <v>2919</v>
      </c>
      <c r="B1939" t="s">
        <v>4991</v>
      </c>
      <c r="C1939" t="s">
        <v>4992</v>
      </c>
      <c r="E1939">
        <v>3</v>
      </c>
      <c r="F1939">
        <v>3</v>
      </c>
      <c r="G1939">
        <v>2</v>
      </c>
      <c r="H1939">
        <v>2</v>
      </c>
      <c r="J1939" t="s">
        <v>93</v>
      </c>
      <c r="K1939" t="b">
        <v>0</v>
      </c>
      <c r="L1939">
        <f t="shared" si="30"/>
        <v>5</v>
      </c>
      <c r="M1939">
        <f t="shared" si="30"/>
        <v>5</v>
      </c>
      <c r="N1939" t="b">
        <v>0</v>
      </c>
      <c r="O1939">
        <v>0</v>
      </c>
      <c r="Q1939">
        <v>0</v>
      </c>
      <c r="R1939" t="b">
        <v>0</v>
      </c>
    </row>
    <row r="1940" spans="1:18" hidden="1">
      <c r="A1940" t="s">
        <v>2919</v>
      </c>
      <c r="B1940" t="s">
        <v>4993</v>
      </c>
      <c r="C1940" t="s">
        <v>4994</v>
      </c>
      <c r="E1940">
        <v>3</v>
      </c>
      <c r="F1940">
        <v>3</v>
      </c>
      <c r="G1940">
        <v>2</v>
      </c>
      <c r="H1940">
        <v>2</v>
      </c>
      <c r="J1940" t="s">
        <v>93</v>
      </c>
      <c r="K1940" t="b">
        <v>0</v>
      </c>
      <c r="L1940">
        <f t="shared" si="30"/>
        <v>5</v>
      </c>
      <c r="M1940">
        <f t="shared" si="30"/>
        <v>5</v>
      </c>
      <c r="N1940" t="b">
        <v>0</v>
      </c>
      <c r="O1940">
        <v>0</v>
      </c>
      <c r="Q1940">
        <v>0</v>
      </c>
      <c r="R1940" t="b">
        <v>0</v>
      </c>
    </row>
    <row r="1941" spans="1:18">
      <c r="A1941" t="s">
        <v>1384</v>
      </c>
      <c r="B1941" t="s">
        <v>4995</v>
      </c>
      <c r="C1941" t="s">
        <v>4996</v>
      </c>
      <c r="E1941">
        <v>4</v>
      </c>
      <c r="F1941">
        <v>5</v>
      </c>
      <c r="G1941">
        <v>1</v>
      </c>
      <c r="H1941">
        <v>1</v>
      </c>
      <c r="J1941" t="s">
        <v>22</v>
      </c>
      <c r="K1941" t="b">
        <v>1</v>
      </c>
      <c r="L1941">
        <f t="shared" si="30"/>
        <v>5</v>
      </c>
      <c r="M1941">
        <f t="shared" si="30"/>
        <v>6</v>
      </c>
      <c r="N1941" t="b">
        <v>0</v>
      </c>
      <c r="O1941">
        <v>1</v>
      </c>
      <c r="P1941" t="s">
        <v>4997</v>
      </c>
      <c r="Q1941">
        <v>2</v>
      </c>
      <c r="R1941" t="b">
        <v>1</v>
      </c>
    </row>
    <row r="1942" spans="1:18" hidden="1">
      <c r="A1942" t="s">
        <v>115</v>
      </c>
      <c r="B1942" t="s">
        <v>4998</v>
      </c>
      <c r="C1942" t="s">
        <v>4999</v>
      </c>
      <c r="E1942">
        <v>3</v>
      </c>
      <c r="F1942">
        <v>20</v>
      </c>
      <c r="G1942">
        <v>2</v>
      </c>
      <c r="H1942">
        <v>2</v>
      </c>
      <c r="J1942" t="s">
        <v>93</v>
      </c>
      <c r="K1942" t="b">
        <v>1</v>
      </c>
      <c r="L1942">
        <f t="shared" si="30"/>
        <v>5</v>
      </c>
      <c r="M1942">
        <f t="shared" si="30"/>
        <v>22</v>
      </c>
      <c r="N1942" t="b">
        <v>0</v>
      </c>
      <c r="O1942">
        <v>0</v>
      </c>
      <c r="Q1942">
        <v>0</v>
      </c>
      <c r="R1942" t="b">
        <v>0</v>
      </c>
    </row>
    <row r="1943" spans="1:18">
      <c r="A1943" t="s">
        <v>115</v>
      </c>
      <c r="B1943" t="s">
        <v>5000</v>
      </c>
      <c r="C1943" t="s">
        <v>5001</v>
      </c>
      <c r="E1943">
        <v>4</v>
      </c>
      <c r="F1943">
        <v>5</v>
      </c>
      <c r="G1943">
        <v>1</v>
      </c>
      <c r="H1943">
        <v>1</v>
      </c>
      <c r="J1943" t="s">
        <v>22</v>
      </c>
      <c r="K1943" t="b">
        <v>1</v>
      </c>
      <c r="L1943">
        <f t="shared" si="30"/>
        <v>5</v>
      </c>
      <c r="M1943">
        <f t="shared" si="30"/>
        <v>6</v>
      </c>
      <c r="N1943" t="b">
        <v>0</v>
      </c>
      <c r="O1943">
        <v>1</v>
      </c>
      <c r="P1943" t="s">
        <v>5002</v>
      </c>
      <c r="Q1943">
        <v>2</v>
      </c>
      <c r="R1943" t="b">
        <v>1</v>
      </c>
    </row>
    <row r="1944" spans="1:18">
      <c r="A1944" t="s">
        <v>30</v>
      </c>
      <c r="B1944" t="s">
        <v>5003</v>
      </c>
      <c r="C1944" t="s">
        <v>5004</v>
      </c>
      <c r="E1944">
        <v>4</v>
      </c>
      <c r="F1944">
        <v>40</v>
      </c>
      <c r="G1944">
        <v>1</v>
      </c>
      <c r="H1944">
        <v>73</v>
      </c>
      <c r="J1944" t="s">
        <v>22</v>
      </c>
      <c r="K1944" t="b">
        <v>1</v>
      </c>
      <c r="L1944">
        <f t="shared" si="30"/>
        <v>5</v>
      </c>
      <c r="M1944">
        <f t="shared" si="30"/>
        <v>113</v>
      </c>
      <c r="N1944" t="b">
        <v>0</v>
      </c>
      <c r="O1944">
        <v>1</v>
      </c>
      <c r="P1944" t="s">
        <v>5005</v>
      </c>
      <c r="Q1944">
        <v>6</v>
      </c>
      <c r="R1944" t="b">
        <v>1</v>
      </c>
    </row>
    <row r="1945" spans="1:18">
      <c r="A1945" t="s">
        <v>192</v>
      </c>
      <c r="B1945" t="s">
        <v>5006</v>
      </c>
      <c r="C1945" t="s">
        <v>5007</v>
      </c>
      <c r="E1945">
        <v>5</v>
      </c>
      <c r="F1945">
        <v>0</v>
      </c>
      <c r="G1945">
        <v>0</v>
      </c>
      <c r="H1945">
        <v>0</v>
      </c>
      <c r="J1945" t="s">
        <v>22</v>
      </c>
      <c r="K1945" t="b">
        <v>1</v>
      </c>
      <c r="L1945">
        <f t="shared" si="30"/>
        <v>5</v>
      </c>
      <c r="M1945">
        <f t="shared" si="30"/>
        <v>0</v>
      </c>
      <c r="N1945" t="b">
        <v>0</v>
      </c>
      <c r="O1945">
        <v>1</v>
      </c>
      <c r="P1945" t="s">
        <v>5008</v>
      </c>
      <c r="Q1945">
        <v>2</v>
      </c>
      <c r="R1945" t="b">
        <v>1</v>
      </c>
    </row>
    <row r="1946" spans="1:18" hidden="1">
      <c r="A1946" t="s">
        <v>87</v>
      </c>
      <c r="B1946" t="s">
        <v>5009</v>
      </c>
      <c r="C1946" t="s">
        <v>5010</v>
      </c>
      <c r="E1946">
        <v>3</v>
      </c>
      <c r="F1946">
        <v>7</v>
      </c>
      <c r="G1946">
        <v>2</v>
      </c>
      <c r="H1946">
        <v>2</v>
      </c>
      <c r="J1946" t="s">
        <v>93</v>
      </c>
      <c r="K1946" t="b">
        <v>1</v>
      </c>
      <c r="L1946">
        <f t="shared" si="30"/>
        <v>5</v>
      </c>
      <c r="M1946">
        <f t="shared" si="30"/>
        <v>9</v>
      </c>
      <c r="N1946" t="b">
        <v>0</v>
      </c>
      <c r="O1946">
        <v>0</v>
      </c>
      <c r="Q1946">
        <v>0</v>
      </c>
      <c r="R1946" t="b">
        <v>0</v>
      </c>
    </row>
    <row r="1947" spans="1:18" hidden="1">
      <c r="A1947" t="s">
        <v>19</v>
      </c>
      <c r="B1947" t="s">
        <v>5011</v>
      </c>
      <c r="C1947" t="s">
        <v>5012</v>
      </c>
      <c r="E1947">
        <v>3</v>
      </c>
      <c r="F1947">
        <v>16</v>
      </c>
      <c r="G1947">
        <v>2</v>
      </c>
      <c r="H1947">
        <v>9</v>
      </c>
      <c r="J1947" t="s">
        <v>93</v>
      </c>
      <c r="K1947" t="b">
        <v>1</v>
      </c>
      <c r="L1947">
        <f t="shared" si="30"/>
        <v>5</v>
      </c>
      <c r="M1947">
        <f t="shared" si="30"/>
        <v>25</v>
      </c>
      <c r="N1947" t="b">
        <v>0</v>
      </c>
      <c r="O1947">
        <v>0</v>
      </c>
      <c r="Q1947">
        <v>0</v>
      </c>
      <c r="R1947" t="b">
        <v>0</v>
      </c>
    </row>
    <row r="1948" spans="1:18">
      <c r="A1948" t="s">
        <v>678</v>
      </c>
      <c r="B1948" t="s">
        <v>5013</v>
      </c>
      <c r="C1948" t="s">
        <v>5014</v>
      </c>
      <c r="E1948">
        <v>3</v>
      </c>
      <c r="F1948">
        <v>9</v>
      </c>
      <c r="G1948">
        <v>2</v>
      </c>
      <c r="H1948">
        <v>4</v>
      </c>
      <c r="J1948" t="s">
        <v>22</v>
      </c>
      <c r="K1948" t="b">
        <v>1</v>
      </c>
      <c r="L1948">
        <f t="shared" si="30"/>
        <v>5</v>
      </c>
      <c r="M1948">
        <f t="shared" si="30"/>
        <v>13</v>
      </c>
      <c r="N1948" t="b">
        <v>0</v>
      </c>
      <c r="O1948">
        <v>1</v>
      </c>
      <c r="P1948" t="s">
        <v>5015</v>
      </c>
      <c r="Q1948">
        <v>2</v>
      </c>
      <c r="R1948" t="b">
        <v>1</v>
      </c>
    </row>
    <row r="1949" spans="1:18">
      <c r="A1949" t="s">
        <v>438</v>
      </c>
      <c r="B1949" t="s">
        <v>5016</v>
      </c>
      <c r="C1949" t="s">
        <v>5017</v>
      </c>
      <c r="E1949">
        <v>4</v>
      </c>
      <c r="F1949">
        <v>3</v>
      </c>
      <c r="G1949">
        <v>0</v>
      </c>
      <c r="H1949">
        <v>0</v>
      </c>
      <c r="J1949" t="s">
        <v>22</v>
      </c>
      <c r="K1949" t="b">
        <v>1</v>
      </c>
      <c r="L1949">
        <f t="shared" si="30"/>
        <v>4</v>
      </c>
      <c r="M1949">
        <f t="shared" si="30"/>
        <v>3</v>
      </c>
      <c r="N1949" t="b">
        <v>0</v>
      </c>
      <c r="O1949">
        <v>1</v>
      </c>
      <c r="P1949" t="s">
        <v>5018</v>
      </c>
      <c r="Q1949">
        <v>2</v>
      </c>
      <c r="R1949" t="b">
        <v>1</v>
      </c>
    </row>
    <row r="1950" spans="1:18" hidden="1">
      <c r="A1950" t="s">
        <v>1191</v>
      </c>
      <c r="B1950" t="s">
        <v>5019</v>
      </c>
      <c r="C1950" t="s">
        <v>5020</v>
      </c>
      <c r="E1950">
        <v>4</v>
      </c>
      <c r="F1950">
        <v>4</v>
      </c>
      <c r="G1950">
        <v>0</v>
      </c>
      <c r="H1950">
        <v>0</v>
      </c>
      <c r="J1950" t="s">
        <v>93</v>
      </c>
      <c r="K1950" t="b">
        <v>1</v>
      </c>
      <c r="L1950">
        <f t="shared" si="30"/>
        <v>4</v>
      </c>
      <c r="M1950">
        <f t="shared" si="30"/>
        <v>4</v>
      </c>
      <c r="N1950" t="b">
        <v>0</v>
      </c>
      <c r="O1950">
        <v>0</v>
      </c>
      <c r="Q1950">
        <v>0</v>
      </c>
      <c r="R1950" t="b">
        <v>0</v>
      </c>
    </row>
    <row r="1951" spans="1:18">
      <c r="A1951" t="s">
        <v>1191</v>
      </c>
      <c r="B1951" t="s">
        <v>5021</v>
      </c>
      <c r="C1951" t="s">
        <v>5022</v>
      </c>
      <c r="E1951">
        <v>4</v>
      </c>
      <c r="F1951">
        <v>7</v>
      </c>
      <c r="G1951">
        <v>0</v>
      </c>
      <c r="H1951">
        <v>0</v>
      </c>
      <c r="J1951" t="s">
        <v>22</v>
      </c>
      <c r="K1951" t="b">
        <v>1</v>
      </c>
      <c r="L1951">
        <f t="shared" si="30"/>
        <v>4</v>
      </c>
      <c r="M1951">
        <f t="shared" si="30"/>
        <v>7</v>
      </c>
      <c r="N1951" t="b">
        <v>0</v>
      </c>
      <c r="O1951">
        <v>1</v>
      </c>
      <c r="P1951" t="s">
        <v>5023</v>
      </c>
      <c r="Q1951">
        <v>2</v>
      </c>
      <c r="R1951" t="b">
        <v>1</v>
      </c>
    </row>
    <row r="1952" spans="1:18" hidden="1">
      <c r="A1952" t="s">
        <v>1191</v>
      </c>
      <c r="B1952" t="s">
        <v>5024</v>
      </c>
      <c r="C1952" t="s">
        <v>5025</v>
      </c>
      <c r="E1952">
        <v>4</v>
      </c>
      <c r="F1952">
        <v>8</v>
      </c>
      <c r="G1952">
        <v>0</v>
      </c>
      <c r="H1952">
        <v>0</v>
      </c>
      <c r="J1952" t="s">
        <v>93</v>
      </c>
      <c r="K1952" t="b">
        <v>1</v>
      </c>
      <c r="L1952">
        <f t="shared" si="30"/>
        <v>4</v>
      </c>
      <c r="M1952">
        <f t="shared" si="30"/>
        <v>8</v>
      </c>
      <c r="N1952" t="b">
        <v>0</v>
      </c>
      <c r="O1952">
        <v>0</v>
      </c>
      <c r="Q1952">
        <v>0</v>
      </c>
      <c r="R1952" t="b">
        <v>0</v>
      </c>
    </row>
    <row r="1953" spans="1:18">
      <c r="A1953" t="s">
        <v>1191</v>
      </c>
      <c r="B1953" t="s">
        <v>5026</v>
      </c>
      <c r="C1953" t="s">
        <v>5027</v>
      </c>
      <c r="E1953">
        <v>2</v>
      </c>
      <c r="F1953">
        <v>4</v>
      </c>
      <c r="G1953">
        <v>2</v>
      </c>
      <c r="H1953">
        <v>3</v>
      </c>
      <c r="J1953" t="s">
        <v>22</v>
      </c>
      <c r="K1953" t="b">
        <v>1</v>
      </c>
      <c r="L1953">
        <f t="shared" si="30"/>
        <v>4</v>
      </c>
      <c r="M1953">
        <f t="shared" si="30"/>
        <v>7</v>
      </c>
      <c r="N1953" t="b">
        <v>0</v>
      </c>
      <c r="O1953">
        <v>1</v>
      </c>
      <c r="P1953" t="s">
        <v>5028</v>
      </c>
      <c r="Q1953">
        <v>2</v>
      </c>
      <c r="R1953" t="b">
        <v>1</v>
      </c>
    </row>
    <row r="1954" spans="1:18">
      <c r="A1954" t="s">
        <v>1191</v>
      </c>
      <c r="B1954" t="s">
        <v>5029</v>
      </c>
      <c r="C1954" t="s">
        <v>5030</v>
      </c>
      <c r="E1954">
        <v>3</v>
      </c>
      <c r="F1954">
        <v>2</v>
      </c>
      <c r="G1954">
        <v>1</v>
      </c>
      <c r="H1954">
        <v>2</v>
      </c>
      <c r="J1954" t="s">
        <v>22</v>
      </c>
      <c r="K1954" t="b">
        <v>1</v>
      </c>
      <c r="L1954">
        <f t="shared" si="30"/>
        <v>4</v>
      </c>
      <c r="M1954">
        <f t="shared" si="30"/>
        <v>4</v>
      </c>
      <c r="N1954" t="b">
        <v>0</v>
      </c>
      <c r="O1954">
        <v>1</v>
      </c>
      <c r="P1954" t="s">
        <v>5031</v>
      </c>
      <c r="Q1954">
        <v>2</v>
      </c>
      <c r="R1954" t="b">
        <v>1</v>
      </c>
    </row>
    <row r="1955" spans="1:18" hidden="1">
      <c r="A1955" t="s">
        <v>1191</v>
      </c>
      <c r="B1955" t="s">
        <v>5032</v>
      </c>
      <c r="C1955" t="s">
        <v>5033</v>
      </c>
      <c r="E1955">
        <v>1</v>
      </c>
      <c r="F1955">
        <v>4</v>
      </c>
      <c r="G1955">
        <v>3</v>
      </c>
      <c r="H1955">
        <v>20</v>
      </c>
      <c r="J1955" t="s">
        <v>93</v>
      </c>
      <c r="K1955" t="b">
        <v>1</v>
      </c>
      <c r="L1955">
        <f t="shared" si="30"/>
        <v>4</v>
      </c>
      <c r="M1955">
        <f t="shared" si="30"/>
        <v>24</v>
      </c>
      <c r="N1955" t="b">
        <v>0</v>
      </c>
      <c r="O1955">
        <v>0</v>
      </c>
      <c r="Q1955">
        <v>0</v>
      </c>
      <c r="R1955" t="b">
        <v>0</v>
      </c>
    </row>
    <row r="1956" spans="1:18">
      <c r="A1956" t="s">
        <v>1191</v>
      </c>
      <c r="B1956" t="s">
        <v>5034</v>
      </c>
      <c r="C1956" t="s">
        <v>5035</v>
      </c>
      <c r="E1956">
        <v>3</v>
      </c>
      <c r="F1956">
        <v>27</v>
      </c>
      <c r="G1956">
        <v>1</v>
      </c>
      <c r="H1956">
        <v>4</v>
      </c>
      <c r="J1956" t="s">
        <v>22</v>
      </c>
      <c r="K1956" t="b">
        <v>1</v>
      </c>
      <c r="L1956">
        <f t="shared" si="30"/>
        <v>4</v>
      </c>
      <c r="M1956">
        <f t="shared" si="30"/>
        <v>31</v>
      </c>
      <c r="N1956" t="b">
        <v>0</v>
      </c>
      <c r="O1956">
        <v>1</v>
      </c>
      <c r="P1956" t="s">
        <v>5036</v>
      </c>
      <c r="Q1956">
        <v>2</v>
      </c>
      <c r="R1956" t="b">
        <v>1</v>
      </c>
    </row>
    <row r="1957" spans="1:18" hidden="1">
      <c r="A1957" t="s">
        <v>857</v>
      </c>
      <c r="B1957" t="s">
        <v>5037</v>
      </c>
      <c r="C1957" t="s">
        <v>5038</v>
      </c>
      <c r="E1957">
        <v>2</v>
      </c>
      <c r="F1957">
        <v>6</v>
      </c>
      <c r="G1957">
        <v>2</v>
      </c>
      <c r="H1957">
        <v>2</v>
      </c>
      <c r="J1957" t="s">
        <v>93</v>
      </c>
      <c r="K1957" t="b">
        <v>1</v>
      </c>
      <c r="L1957">
        <f t="shared" si="30"/>
        <v>4</v>
      </c>
      <c r="M1957">
        <f t="shared" si="30"/>
        <v>8</v>
      </c>
      <c r="N1957" t="b">
        <v>0</v>
      </c>
      <c r="O1957">
        <v>0</v>
      </c>
      <c r="Q1957">
        <v>0</v>
      </c>
      <c r="R1957" t="b">
        <v>0</v>
      </c>
    </row>
    <row r="1958" spans="1:18">
      <c r="A1958" t="s">
        <v>1418</v>
      </c>
      <c r="B1958" t="s">
        <v>5039</v>
      </c>
      <c r="C1958" t="s">
        <v>5040</v>
      </c>
      <c r="E1958">
        <v>3</v>
      </c>
      <c r="F1958">
        <v>2</v>
      </c>
      <c r="G1958">
        <v>1</v>
      </c>
      <c r="H1958">
        <v>1</v>
      </c>
      <c r="J1958" t="s">
        <v>22</v>
      </c>
      <c r="K1958" t="b">
        <v>1</v>
      </c>
      <c r="L1958">
        <f t="shared" si="30"/>
        <v>4</v>
      </c>
      <c r="M1958">
        <f t="shared" si="30"/>
        <v>3</v>
      </c>
      <c r="N1958" t="b">
        <v>0</v>
      </c>
      <c r="O1958">
        <v>1</v>
      </c>
      <c r="P1958" t="s">
        <v>5041</v>
      </c>
      <c r="Q1958">
        <v>2</v>
      </c>
      <c r="R1958" t="b">
        <v>1</v>
      </c>
    </row>
    <row r="1959" spans="1:18" hidden="1">
      <c r="A1959" t="s">
        <v>2300</v>
      </c>
      <c r="B1959" t="s">
        <v>5042</v>
      </c>
      <c r="C1959" t="s">
        <v>5043</v>
      </c>
      <c r="E1959">
        <v>3</v>
      </c>
      <c r="F1959">
        <v>0</v>
      </c>
      <c r="G1959">
        <v>1</v>
      </c>
      <c r="H1959">
        <v>1</v>
      </c>
      <c r="J1959" t="s">
        <v>93</v>
      </c>
      <c r="K1959" t="b">
        <v>0</v>
      </c>
      <c r="L1959">
        <f t="shared" si="30"/>
        <v>4</v>
      </c>
      <c r="M1959">
        <f t="shared" si="30"/>
        <v>1</v>
      </c>
      <c r="N1959" t="b">
        <v>1</v>
      </c>
      <c r="O1959">
        <v>0</v>
      </c>
      <c r="Q1959">
        <v>0</v>
      </c>
      <c r="R1959" t="b">
        <v>0</v>
      </c>
    </row>
    <row r="1960" spans="1:18">
      <c r="A1960" t="s">
        <v>3627</v>
      </c>
      <c r="B1960" t="s">
        <v>5044</v>
      </c>
      <c r="C1960" t="s">
        <v>5045</v>
      </c>
      <c r="E1960">
        <v>3</v>
      </c>
      <c r="F1960">
        <v>1011</v>
      </c>
      <c r="G1960">
        <v>1</v>
      </c>
      <c r="H1960">
        <v>3</v>
      </c>
      <c r="J1960" t="s">
        <v>22</v>
      </c>
      <c r="K1960" t="b">
        <v>1</v>
      </c>
      <c r="L1960">
        <f t="shared" si="30"/>
        <v>4</v>
      </c>
      <c r="M1960">
        <f t="shared" si="30"/>
        <v>1014</v>
      </c>
      <c r="N1960" t="b">
        <v>0</v>
      </c>
      <c r="O1960">
        <v>1</v>
      </c>
      <c r="P1960" t="s">
        <v>5046</v>
      </c>
      <c r="Q1960">
        <v>2</v>
      </c>
      <c r="R1960" t="b">
        <v>1</v>
      </c>
    </row>
    <row r="1961" spans="1:18">
      <c r="A1961" t="s">
        <v>24</v>
      </c>
      <c r="B1961" t="s">
        <v>5047</v>
      </c>
      <c r="C1961" t="s">
        <v>5048</v>
      </c>
      <c r="E1961">
        <v>4</v>
      </c>
      <c r="F1961">
        <v>4</v>
      </c>
      <c r="G1961">
        <v>0</v>
      </c>
      <c r="H1961">
        <v>0</v>
      </c>
      <c r="J1961" t="s">
        <v>22</v>
      </c>
      <c r="K1961" t="b">
        <v>1</v>
      </c>
      <c r="L1961">
        <f t="shared" si="30"/>
        <v>4</v>
      </c>
      <c r="M1961">
        <f t="shared" si="30"/>
        <v>4</v>
      </c>
      <c r="N1961" t="b">
        <v>0</v>
      </c>
      <c r="O1961">
        <v>0</v>
      </c>
      <c r="Q1961">
        <v>0</v>
      </c>
      <c r="R1961" t="b">
        <v>0</v>
      </c>
    </row>
    <row r="1962" spans="1:18" hidden="1">
      <c r="A1962" t="s">
        <v>24</v>
      </c>
      <c r="B1962" t="s">
        <v>5049</v>
      </c>
      <c r="C1962" t="s">
        <v>5050</v>
      </c>
      <c r="E1962">
        <v>3</v>
      </c>
      <c r="F1962">
        <v>4</v>
      </c>
      <c r="G1962">
        <v>1</v>
      </c>
      <c r="H1962">
        <v>1</v>
      </c>
      <c r="J1962" t="s">
        <v>93</v>
      </c>
      <c r="K1962" t="b">
        <v>1</v>
      </c>
      <c r="L1962">
        <f t="shared" si="30"/>
        <v>4</v>
      </c>
      <c r="M1962">
        <f t="shared" si="30"/>
        <v>5</v>
      </c>
      <c r="N1962" t="b">
        <v>0</v>
      </c>
      <c r="O1962">
        <v>0</v>
      </c>
      <c r="Q1962">
        <v>0</v>
      </c>
      <c r="R1962" t="b">
        <v>0</v>
      </c>
    </row>
    <row r="1963" spans="1:18">
      <c r="A1963" t="s">
        <v>24</v>
      </c>
      <c r="B1963" t="s">
        <v>5051</v>
      </c>
      <c r="C1963" t="s">
        <v>5052</v>
      </c>
      <c r="E1963">
        <v>4</v>
      </c>
      <c r="F1963">
        <v>4</v>
      </c>
      <c r="G1963">
        <v>0</v>
      </c>
      <c r="H1963">
        <v>0</v>
      </c>
      <c r="J1963" t="s">
        <v>22</v>
      </c>
      <c r="K1963" t="b">
        <v>1</v>
      </c>
      <c r="L1963">
        <f t="shared" si="30"/>
        <v>4</v>
      </c>
      <c r="M1963">
        <f t="shared" si="30"/>
        <v>4</v>
      </c>
      <c r="N1963" t="b">
        <v>0</v>
      </c>
      <c r="O1963">
        <v>1</v>
      </c>
      <c r="P1963" t="s">
        <v>3246</v>
      </c>
      <c r="Q1963">
        <v>2</v>
      </c>
      <c r="R1963" t="b">
        <v>1</v>
      </c>
    </row>
    <row r="1964" spans="1:18" hidden="1">
      <c r="A1964" t="s">
        <v>24</v>
      </c>
      <c r="B1964" t="s">
        <v>5053</v>
      </c>
      <c r="C1964" t="s">
        <v>5054</v>
      </c>
      <c r="E1964">
        <v>4</v>
      </c>
      <c r="F1964">
        <v>7</v>
      </c>
      <c r="G1964">
        <v>0</v>
      </c>
      <c r="H1964">
        <v>0</v>
      </c>
      <c r="J1964" t="s">
        <v>93</v>
      </c>
      <c r="K1964" t="b">
        <v>1</v>
      </c>
      <c r="L1964">
        <f t="shared" si="30"/>
        <v>4</v>
      </c>
      <c r="M1964">
        <f t="shared" si="30"/>
        <v>7</v>
      </c>
      <c r="N1964" t="b">
        <v>0</v>
      </c>
      <c r="O1964">
        <v>0</v>
      </c>
      <c r="Q1964">
        <v>0</v>
      </c>
      <c r="R1964" t="b">
        <v>0</v>
      </c>
    </row>
    <row r="1965" spans="1:18">
      <c r="A1965" t="s">
        <v>24</v>
      </c>
      <c r="B1965" t="s">
        <v>5055</v>
      </c>
      <c r="C1965" t="s">
        <v>5056</v>
      </c>
      <c r="E1965">
        <v>3</v>
      </c>
      <c r="F1965">
        <v>46</v>
      </c>
      <c r="G1965">
        <v>1</v>
      </c>
      <c r="H1965">
        <v>2</v>
      </c>
      <c r="J1965" t="s">
        <v>22</v>
      </c>
      <c r="K1965" t="b">
        <v>1</v>
      </c>
      <c r="L1965">
        <f t="shared" si="30"/>
        <v>4</v>
      </c>
      <c r="M1965">
        <f t="shared" si="30"/>
        <v>48</v>
      </c>
      <c r="N1965" t="b">
        <v>0</v>
      </c>
      <c r="O1965">
        <v>1</v>
      </c>
      <c r="P1965" t="s">
        <v>2609</v>
      </c>
      <c r="Q1965">
        <v>2</v>
      </c>
      <c r="R1965" t="b">
        <v>1</v>
      </c>
    </row>
    <row r="1966" spans="1:18" hidden="1">
      <c r="A1966" t="s">
        <v>24</v>
      </c>
      <c r="B1966" t="s">
        <v>5057</v>
      </c>
      <c r="C1966" t="s">
        <v>5058</v>
      </c>
      <c r="E1966">
        <v>2</v>
      </c>
      <c r="F1966">
        <v>2</v>
      </c>
      <c r="G1966">
        <v>2</v>
      </c>
      <c r="H1966">
        <v>3</v>
      </c>
      <c r="J1966" t="s">
        <v>93</v>
      </c>
      <c r="K1966" t="b">
        <v>1</v>
      </c>
      <c r="L1966">
        <f t="shared" si="30"/>
        <v>4</v>
      </c>
      <c r="M1966">
        <f t="shared" si="30"/>
        <v>5</v>
      </c>
      <c r="N1966" t="b">
        <v>0</v>
      </c>
      <c r="O1966">
        <v>0</v>
      </c>
      <c r="Q1966">
        <v>0</v>
      </c>
      <c r="R1966" t="b">
        <v>0</v>
      </c>
    </row>
    <row r="1967" spans="1:18" hidden="1">
      <c r="A1967" t="s">
        <v>24</v>
      </c>
      <c r="B1967" t="s">
        <v>5059</v>
      </c>
      <c r="C1967" t="s">
        <v>5060</v>
      </c>
      <c r="E1967">
        <v>4</v>
      </c>
      <c r="F1967">
        <v>83</v>
      </c>
      <c r="G1967">
        <v>0</v>
      </c>
      <c r="H1967">
        <v>0</v>
      </c>
      <c r="J1967" t="s">
        <v>93</v>
      </c>
      <c r="K1967" t="b">
        <v>1</v>
      </c>
      <c r="L1967">
        <f t="shared" si="30"/>
        <v>4</v>
      </c>
      <c r="M1967">
        <f t="shared" si="30"/>
        <v>83</v>
      </c>
      <c r="N1967" t="b">
        <v>0</v>
      </c>
      <c r="O1967">
        <v>0</v>
      </c>
      <c r="Q1967">
        <v>0</v>
      </c>
      <c r="R1967" t="b">
        <v>0</v>
      </c>
    </row>
    <row r="1968" spans="1:18" hidden="1">
      <c r="A1968" t="s">
        <v>24</v>
      </c>
      <c r="B1968" t="s">
        <v>5061</v>
      </c>
      <c r="C1968" t="s">
        <v>5062</v>
      </c>
      <c r="E1968">
        <v>2</v>
      </c>
      <c r="F1968">
        <v>1</v>
      </c>
      <c r="G1968">
        <v>2</v>
      </c>
      <c r="H1968">
        <v>3</v>
      </c>
      <c r="J1968" t="s">
        <v>999</v>
      </c>
      <c r="K1968" t="b">
        <v>1</v>
      </c>
      <c r="L1968">
        <f t="shared" si="30"/>
        <v>4</v>
      </c>
      <c r="M1968">
        <f t="shared" si="30"/>
        <v>4</v>
      </c>
      <c r="N1968" t="b">
        <v>0</v>
      </c>
      <c r="O1968">
        <v>0.33329999999999999</v>
      </c>
      <c r="P1968" t="s">
        <v>2754</v>
      </c>
      <c r="Q1968">
        <v>2</v>
      </c>
      <c r="R1968" t="b">
        <v>1</v>
      </c>
    </row>
    <row r="1969" spans="1:18" hidden="1">
      <c r="A1969" t="s">
        <v>1304</v>
      </c>
      <c r="B1969" t="s">
        <v>5063</v>
      </c>
      <c r="C1969" t="s">
        <v>5064</v>
      </c>
      <c r="E1969">
        <v>3</v>
      </c>
      <c r="F1969">
        <v>831</v>
      </c>
      <c r="G1969">
        <v>1</v>
      </c>
      <c r="H1969">
        <v>2</v>
      </c>
      <c r="J1969" t="s">
        <v>93</v>
      </c>
      <c r="K1969" t="b">
        <v>0</v>
      </c>
      <c r="L1969">
        <f t="shared" si="30"/>
        <v>4</v>
      </c>
      <c r="M1969">
        <f t="shared" si="30"/>
        <v>833</v>
      </c>
      <c r="N1969" t="b">
        <v>0</v>
      </c>
      <c r="O1969">
        <v>0</v>
      </c>
      <c r="Q1969">
        <v>0</v>
      </c>
      <c r="R1969" t="b">
        <v>0</v>
      </c>
    </row>
    <row r="1970" spans="1:18">
      <c r="A1970" t="s">
        <v>205</v>
      </c>
      <c r="B1970" t="s">
        <v>5065</v>
      </c>
      <c r="C1970" t="s">
        <v>5066</v>
      </c>
      <c r="E1970">
        <v>3</v>
      </c>
      <c r="F1970">
        <v>6</v>
      </c>
      <c r="G1970">
        <v>1</v>
      </c>
      <c r="H1970">
        <v>1</v>
      </c>
      <c r="J1970" t="s">
        <v>22</v>
      </c>
      <c r="K1970" t="b">
        <v>1</v>
      </c>
      <c r="L1970">
        <f t="shared" si="30"/>
        <v>4</v>
      </c>
      <c r="M1970">
        <f t="shared" si="30"/>
        <v>7</v>
      </c>
      <c r="N1970" t="b">
        <v>0</v>
      </c>
      <c r="O1970">
        <v>1</v>
      </c>
      <c r="P1970" t="s">
        <v>971</v>
      </c>
      <c r="Q1970">
        <v>2</v>
      </c>
      <c r="R1970" t="b">
        <v>1</v>
      </c>
    </row>
    <row r="1971" spans="1:18" hidden="1">
      <c r="A1971" t="s">
        <v>205</v>
      </c>
      <c r="B1971" t="s">
        <v>5067</v>
      </c>
      <c r="C1971" t="s">
        <v>5068</v>
      </c>
      <c r="E1971">
        <v>4</v>
      </c>
      <c r="F1971">
        <v>15</v>
      </c>
      <c r="G1971">
        <v>0</v>
      </c>
      <c r="H1971">
        <v>0</v>
      </c>
      <c r="J1971" t="s">
        <v>93</v>
      </c>
      <c r="K1971" t="b">
        <v>1</v>
      </c>
      <c r="L1971">
        <f t="shared" si="30"/>
        <v>4</v>
      </c>
      <c r="M1971">
        <f t="shared" si="30"/>
        <v>15</v>
      </c>
      <c r="N1971" t="b">
        <v>0</v>
      </c>
      <c r="O1971">
        <v>0</v>
      </c>
      <c r="Q1971">
        <v>0</v>
      </c>
      <c r="R1971" t="b">
        <v>0</v>
      </c>
    </row>
    <row r="1972" spans="1:18" hidden="1">
      <c r="A1972" t="s">
        <v>205</v>
      </c>
      <c r="B1972" t="s">
        <v>5069</v>
      </c>
      <c r="C1972" t="s">
        <v>5070</v>
      </c>
      <c r="E1972">
        <v>3</v>
      </c>
      <c r="F1972">
        <v>29</v>
      </c>
      <c r="G1972">
        <v>1</v>
      </c>
      <c r="H1972">
        <v>1</v>
      </c>
      <c r="J1972" t="s">
        <v>999</v>
      </c>
      <c r="K1972" t="b">
        <v>1</v>
      </c>
      <c r="L1972">
        <f t="shared" si="30"/>
        <v>4</v>
      </c>
      <c r="M1972">
        <f t="shared" si="30"/>
        <v>30</v>
      </c>
      <c r="N1972" t="b">
        <v>0</v>
      </c>
      <c r="O1972">
        <v>0</v>
      </c>
      <c r="Q1972">
        <v>0</v>
      </c>
      <c r="R1972" t="b">
        <v>0</v>
      </c>
    </row>
    <row r="1973" spans="1:18" hidden="1">
      <c r="A1973" t="s">
        <v>205</v>
      </c>
      <c r="B1973" t="s">
        <v>5071</v>
      </c>
      <c r="C1973" t="s">
        <v>5072</v>
      </c>
      <c r="E1973">
        <v>3</v>
      </c>
      <c r="F1973">
        <v>29</v>
      </c>
      <c r="G1973">
        <v>1</v>
      </c>
      <c r="H1973">
        <v>1</v>
      </c>
      <c r="J1973" t="s">
        <v>999</v>
      </c>
      <c r="K1973" t="b">
        <v>1</v>
      </c>
      <c r="L1973">
        <f t="shared" si="30"/>
        <v>4</v>
      </c>
      <c r="M1973">
        <f t="shared" si="30"/>
        <v>30</v>
      </c>
      <c r="N1973" t="b">
        <v>0</v>
      </c>
      <c r="O1973">
        <v>0</v>
      </c>
      <c r="Q1973">
        <v>0</v>
      </c>
      <c r="R1973" t="b">
        <v>0</v>
      </c>
    </row>
    <row r="1974" spans="1:18" hidden="1">
      <c r="A1974" t="s">
        <v>59</v>
      </c>
      <c r="B1974" t="s">
        <v>5073</v>
      </c>
      <c r="C1974" t="s">
        <v>5074</v>
      </c>
      <c r="E1974">
        <v>1</v>
      </c>
      <c r="F1974">
        <v>2</v>
      </c>
      <c r="G1974">
        <v>3</v>
      </c>
      <c r="H1974">
        <v>3</v>
      </c>
      <c r="J1974" t="s">
        <v>93</v>
      </c>
      <c r="K1974" t="b">
        <v>1</v>
      </c>
      <c r="L1974">
        <f t="shared" si="30"/>
        <v>4</v>
      </c>
      <c r="M1974">
        <f t="shared" si="30"/>
        <v>5</v>
      </c>
      <c r="N1974" t="b">
        <v>0</v>
      </c>
      <c r="O1974">
        <v>0</v>
      </c>
      <c r="Q1974">
        <v>0</v>
      </c>
      <c r="R1974" t="b">
        <v>0</v>
      </c>
    </row>
    <row r="1975" spans="1:18" hidden="1">
      <c r="A1975" t="s">
        <v>59</v>
      </c>
      <c r="B1975" t="s">
        <v>5075</v>
      </c>
      <c r="C1975" t="s">
        <v>5076</v>
      </c>
      <c r="E1975">
        <v>3</v>
      </c>
      <c r="F1975">
        <v>2</v>
      </c>
      <c r="G1975">
        <v>1</v>
      </c>
      <c r="H1975">
        <v>22</v>
      </c>
      <c r="J1975" t="s">
        <v>93</v>
      </c>
      <c r="K1975" t="b">
        <v>1</v>
      </c>
      <c r="L1975">
        <f t="shared" si="30"/>
        <v>4</v>
      </c>
      <c r="M1975">
        <f t="shared" si="30"/>
        <v>24</v>
      </c>
      <c r="N1975" t="b">
        <v>0</v>
      </c>
      <c r="O1975">
        <v>0</v>
      </c>
      <c r="Q1975">
        <v>0</v>
      </c>
      <c r="R1975" t="b">
        <v>0</v>
      </c>
    </row>
    <row r="1976" spans="1:18">
      <c r="A1976" t="s">
        <v>59</v>
      </c>
      <c r="B1976" t="s">
        <v>5077</v>
      </c>
      <c r="C1976" t="s">
        <v>5078</v>
      </c>
      <c r="E1976">
        <v>4</v>
      </c>
      <c r="F1976">
        <v>4</v>
      </c>
      <c r="G1976">
        <v>0</v>
      </c>
      <c r="H1976">
        <v>0</v>
      </c>
      <c r="J1976" t="s">
        <v>22</v>
      </c>
      <c r="K1976" t="b">
        <v>1</v>
      </c>
      <c r="L1976">
        <f t="shared" si="30"/>
        <v>4</v>
      </c>
      <c r="M1976">
        <f t="shared" si="30"/>
        <v>4</v>
      </c>
      <c r="N1976" t="b">
        <v>0</v>
      </c>
      <c r="O1976">
        <v>1</v>
      </c>
      <c r="P1976" t="s">
        <v>5079</v>
      </c>
      <c r="Q1976">
        <v>2</v>
      </c>
      <c r="R1976" t="b">
        <v>1</v>
      </c>
    </row>
    <row r="1977" spans="1:18">
      <c r="A1977" t="s">
        <v>59</v>
      </c>
      <c r="B1977" t="s">
        <v>5080</v>
      </c>
      <c r="C1977" t="s">
        <v>5081</v>
      </c>
      <c r="E1977">
        <v>2</v>
      </c>
      <c r="F1977">
        <v>2</v>
      </c>
      <c r="G1977">
        <v>2</v>
      </c>
      <c r="H1977">
        <v>4</v>
      </c>
      <c r="J1977" t="s">
        <v>22</v>
      </c>
      <c r="K1977" t="b">
        <v>1</v>
      </c>
      <c r="L1977">
        <f t="shared" si="30"/>
        <v>4</v>
      </c>
      <c r="M1977">
        <f t="shared" si="30"/>
        <v>6</v>
      </c>
      <c r="N1977" t="b">
        <v>0</v>
      </c>
      <c r="O1977">
        <v>1</v>
      </c>
      <c r="P1977" t="s">
        <v>4746</v>
      </c>
      <c r="Q1977">
        <v>2</v>
      </c>
      <c r="R1977" t="b">
        <v>1</v>
      </c>
    </row>
    <row r="1978" spans="1:18" hidden="1">
      <c r="A1978" t="s">
        <v>4021</v>
      </c>
      <c r="B1978" t="s">
        <v>5082</v>
      </c>
      <c r="C1978" t="s">
        <v>5083</v>
      </c>
      <c r="E1978">
        <v>0</v>
      </c>
      <c r="F1978">
        <v>0</v>
      </c>
      <c r="G1978">
        <v>4</v>
      </c>
      <c r="H1978">
        <v>225</v>
      </c>
      <c r="J1978" t="s">
        <v>93</v>
      </c>
      <c r="K1978" t="b">
        <v>0</v>
      </c>
      <c r="L1978">
        <f t="shared" si="30"/>
        <v>4</v>
      </c>
      <c r="M1978">
        <f t="shared" si="30"/>
        <v>225</v>
      </c>
      <c r="N1978" t="b">
        <v>0</v>
      </c>
      <c r="O1978">
        <v>0</v>
      </c>
      <c r="Q1978">
        <v>0</v>
      </c>
      <c r="R1978" t="b">
        <v>0</v>
      </c>
    </row>
    <row r="1979" spans="1:18" hidden="1">
      <c r="A1979" t="s">
        <v>2477</v>
      </c>
      <c r="B1979" t="s">
        <v>5084</v>
      </c>
      <c r="C1979" t="s">
        <v>5085</v>
      </c>
      <c r="E1979">
        <v>2</v>
      </c>
      <c r="F1979">
        <v>1</v>
      </c>
      <c r="G1979">
        <v>2</v>
      </c>
      <c r="H1979">
        <v>2</v>
      </c>
      <c r="J1979" t="s">
        <v>93</v>
      </c>
      <c r="K1979" t="b">
        <v>0</v>
      </c>
      <c r="L1979">
        <f t="shared" si="30"/>
        <v>4</v>
      </c>
      <c r="M1979">
        <f t="shared" si="30"/>
        <v>3</v>
      </c>
      <c r="N1979" t="b">
        <v>1</v>
      </c>
      <c r="O1979">
        <v>0</v>
      </c>
      <c r="Q1979">
        <v>0</v>
      </c>
      <c r="R1979" t="b">
        <v>0</v>
      </c>
    </row>
    <row r="1980" spans="1:18" hidden="1">
      <c r="A1980" t="s">
        <v>24</v>
      </c>
      <c r="B1980" t="s">
        <v>5086</v>
      </c>
      <c r="C1980" t="s">
        <v>5087</v>
      </c>
      <c r="E1980">
        <v>0</v>
      </c>
      <c r="F1980">
        <v>0</v>
      </c>
      <c r="G1980">
        <v>4</v>
      </c>
      <c r="H1980">
        <v>137</v>
      </c>
      <c r="J1980" t="s">
        <v>93</v>
      </c>
      <c r="K1980" t="b">
        <v>1</v>
      </c>
      <c r="L1980">
        <f t="shared" si="30"/>
        <v>4</v>
      </c>
      <c r="M1980">
        <f t="shared" si="30"/>
        <v>137</v>
      </c>
      <c r="N1980" t="b">
        <v>0</v>
      </c>
      <c r="O1980">
        <v>0.25</v>
      </c>
      <c r="P1980" t="s">
        <v>77</v>
      </c>
      <c r="Q1980">
        <v>30</v>
      </c>
      <c r="R1980" t="b">
        <v>1</v>
      </c>
    </row>
    <row r="1981" spans="1:18" hidden="1">
      <c r="A1981" t="s">
        <v>3157</v>
      </c>
      <c r="B1981" t="s">
        <v>5088</v>
      </c>
      <c r="C1981" t="s">
        <v>5089</v>
      </c>
      <c r="E1981">
        <v>4</v>
      </c>
      <c r="F1981">
        <v>49</v>
      </c>
      <c r="G1981">
        <v>0</v>
      </c>
      <c r="H1981">
        <v>0</v>
      </c>
      <c r="J1981" t="s">
        <v>93</v>
      </c>
      <c r="K1981" t="b">
        <v>0</v>
      </c>
      <c r="L1981">
        <f t="shared" si="30"/>
        <v>4</v>
      </c>
      <c r="M1981">
        <f t="shared" si="30"/>
        <v>49</v>
      </c>
      <c r="N1981" t="b">
        <v>0</v>
      </c>
      <c r="O1981">
        <v>0</v>
      </c>
      <c r="Q1981">
        <v>0</v>
      </c>
      <c r="R1981" t="b">
        <v>0</v>
      </c>
    </row>
    <row r="1982" spans="1:18" hidden="1">
      <c r="A1982" t="s">
        <v>4370</v>
      </c>
      <c r="B1982" t="s">
        <v>5090</v>
      </c>
      <c r="C1982" t="s">
        <v>5091</v>
      </c>
      <c r="E1982">
        <v>3</v>
      </c>
      <c r="F1982">
        <v>40</v>
      </c>
      <c r="G1982">
        <v>1</v>
      </c>
      <c r="H1982">
        <v>5</v>
      </c>
      <c r="J1982" t="s">
        <v>93</v>
      </c>
      <c r="K1982" t="b">
        <v>0</v>
      </c>
      <c r="L1982">
        <f t="shared" si="30"/>
        <v>4</v>
      </c>
      <c r="M1982">
        <f t="shared" si="30"/>
        <v>45</v>
      </c>
      <c r="N1982" t="b">
        <v>0</v>
      </c>
      <c r="O1982">
        <v>0</v>
      </c>
      <c r="Q1982">
        <v>0</v>
      </c>
      <c r="R1982" t="b">
        <v>0</v>
      </c>
    </row>
    <row r="1983" spans="1:18" hidden="1">
      <c r="A1983" t="s">
        <v>5092</v>
      </c>
      <c r="B1983" t="s">
        <v>5093</v>
      </c>
      <c r="C1983" t="s">
        <v>5094</v>
      </c>
      <c r="E1983">
        <v>3</v>
      </c>
      <c r="F1983">
        <v>39</v>
      </c>
      <c r="G1983">
        <v>1</v>
      </c>
      <c r="H1983">
        <v>5</v>
      </c>
      <c r="J1983" t="s">
        <v>93</v>
      </c>
      <c r="K1983" t="b">
        <v>0</v>
      </c>
      <c r="L1983">
        <f t="shared" si="30"/>
        <v>4</v>
      </c>
      <c r="M1983">
        <f t="shared" si="30"/>
        <v>44</v>
      </c>
      <c r="N1983" t="b">
        <v>0</v>
      </c>
      <c r="O1983">
        <v>0</v>
      </c>
      <c r="Q1983">
        <v>0</v>
      </c>
      <c r="R1983" t="b">
        <v>0</v>
      </c>
    </row>
    <row r="1984" spans="1:18" hidden="1">
      <c r="A1984" t="s">
        <v>5092</v>
      </c>
      <c r="B1984" t="s">
        <v>5095</v>
      </c>
      <c r="C1984" t="s">
        <v>5096</v>
      </c>
      <c r="E1984">
        <v>3</v>
      </c>
      <c r="F1984">
        <v>39</v>
      </c>
      <c r="G1984">
        <v>1</v>
      </c>
      <c r="H1984">
        <v>5</v>
      </c>
      <c r="J1984" t="s">
        <v>93</v>
      </c>
      <c r="K1984" t="b">
        <v>0</v>
      </c>
      <c r="L1984">
        <f t="shared" si="30"/>
        <v>4</v>
      </c>
      <c r="M1984">
        <f t="shared" si="30"/>
        <v>44</v>
      </c>
      <c r="N1984" t="b">
        <v>0</v>
      </c>
      <c r="O1984">
        <v>0</v>
      </c>
      <c r="Q1984">
        <v>0</v>
      </c>
      <c r="R1984" t="b">
        <v>0</v>
      </c>
    </row>
    <row r="1985" spans="1:18" hidden="1">
      <c r="A1985" t="s">
        <v>5092</v>
      </c>
      <c r="B1985" t="s">
        <v>5097</v>
      </c>
      <c r="C1985" t="s">
        <v>5098</v>
      </c>
      <c r="E1985">
        <v>3</v>
      </c>
      <c r="F1985">
        <v>39</v>
      </c>
      <c r="G1985">
        <v>1</v>
      </c>
      <c r="H1985">
        <v>5</v>
      </c>
      <c r="J1985" t="s">
        <v>93</v>
      </c>
      <c r="K1985" t="b">
        <v>0</v>
      </c>
      <c r="L1985">
        <f t="shared" si="30"/>
        <v>4</v>
      </c>
      <c r="M1985">
        <f t="shared" si="30"/>
        <v>44</v>
      </c>
      <c r="N1985" t="b">
        <v>0</v>
      </c>
      <c r="O1985">
        <v>0</v>
      </c>
      <c r="Q1985">
        <v>0</v>
      </c>
      <c r="R1985" t="b">
        <v>0</v>
      </c>
    </row>
    <row r="1986" spans="1:18" hidden="1">
      <c r="A1986" t="s">
        <v>5092</v>
      </c>
      <c r="B1986" t="s">
        <v>5099</v>
      </c>
      <c r="C1986" t="s">
        <v>5100</v>
      </c>
      <c r="E1986">
        <v>3</v>
      </c>
      <c r="F1986">
        <v>39</v>
      </c>
      <c r="G1986">
        <v>1</v>
      </c>
      <c r="H1986">
        <v>5</v>
      </c>
      <c r="J1986" t="s">
        <v>93</v>
      </c>
      <c r="K1986" t="b">
        <v>0</v>
      </c>
      <c r="L1986">
        <f t="shared" si="30"/>
        <v>4</v>
      </c>
      <c r="M1986">
        <f t="shared" si="30"/>
        <v>44</v>
      </c>
      <c r="N1986" t="b">
        <v>0</v>
      </c>
      <c r="O1986">
        <v>0</v>
      </c>
      <c r="Q1986">
        <v>0</v>
      </c>
      <c r="R1986" t="b">
        <v>0</v>
      </c>
    </row>
    <row r="1987" spans="1:18" hidden="1">
      <c r="A1987" t="s">
        <v>5092</v>
      </c>
      <c r="B1987" t="s">
        <v>5101</v>
      </c>
      <c r="C1987" t="s">
        <v>5102</v>
      </c>
      <c r="E1987">
        <v>3</v>
      </c>
      <c r="F1987">
        <v>39</v>
      </c>
      <c r="G1987">
        <v>1</v>
      </c>
      <c r="H1987">
        <v>5</v>
      </c>
      <c r="J1987" t="s">
        <v>93</v>
      </c>
      <c r="K1987" t="b">
        <v>0</v>
      </c>
      <c r="L1987">
        <f t="shared" ref="L1987:M2050" si="31">E1987+G1987</f>
        <v>4</v>
      </c>
      <c r="M1987">
        <f t="shared" si="31"/>
        <v>44</v>
      </c>
      <c r="N1987" t="b">
        <v>0</v>
      </c>
      <c r="O1987">
        <v>0</v>
      </c>
      <c r="Q1987">
        <v>0</v>
      </c>
      <c r="R1987" t="b">
        <v>0</v>
      </c>
    </row>
    <row r="1988" spans="1:18" hidden="1">
      <c r="A1988" t="s">
        <v>4370</v>
      </c>
      <c r="B1988" t="s">
        <v>5103</v>
      </c>
      <c r="C1988" t="s">
        <v>5104</v>
      </c>
      <c r="E1988">
        <v>3</v>
      </c>
      <c r="F1988">
        <v>37</v>
      </c>
      <c r="G1988">
        <v>1</v>
      </c>
      <c r="H1988">
        <v>5</v>
      </c>
      <c r="J1988" t="s">
        <v>93</v>
      </c>
      <c r="K1988" t="b">
        <v>0</v>
      </c>
      <c r="L1988">
        <f t="shared" si="31"/>
        <v>4</v>
      </c>
      <c r="M1988">
        <f t="shared" si="31"/>
        <v>42</v>
      </c>
      <c r="N1988" t="b">
        <v>0</v>
      </c>
      <c r="O1988">
        <v>0</v>
      </c>
      <c r="Q1988">
        <v>0</v>
      </c>
      <c r="R1988" t="b">
        <v>0</v>
      </c>
    </row>
    <row r="1989" spans="1:18" hidden="1">
      <c r="A1989" t="s">
        <v>1984</v>
      </c>
      <c r="B1989" t="s">
        <v>5105</v>
      </c>
      <c r="C1989" t="s">
        <v>5106</v>
      </c>
      <c r="E1989">
        <v>1</v>
      </c>
      <c r="F1989">
        <v>2</v>
      </c>
      <c r="G1989">
        <v>3</v>
      </c>
      <c r="H1989">
        <v>4</v>
      </c>
      <c r="J1989" t="s">
        <v>93</v>
      </c>
      <c r="K1989" t="b">
        <v>1</v>
      </c>
      <c r="L1989">
        <f t="shared" si="31"/>
        <v>4</v>
      </c>
      <c r="M1989">
        <f t="shared" si="31"/>
        <v>6</v>
      </c>
      <c r="N1989" t="b">
        <v>0</v>
      </c>
      <c r="O1989">
        <v>0</v>
      </c>
      <c r="Q1989">
        <v>0</v>
      </c>
      <c r="R1989" t="b">
        <v>0</v>
      </c>
    </row>
    <row r="1990" spans="1:18" hidden="1">
      <c r="A1990" t="s">
        <v>1984</v>
      </c>
      <c r="B1990" t="s">
        <v>5107</v>
      </c>
      <c r="C1990" t="s">
        <v>5108</v>
      </c>
      <c r="E1990">
        <v>1</v>
      </c>
      <c r="F1990">
        <v>2</v>
      </c>
      <c r="G1990">
        <v>3</v>
      </c>
      <c r="H1990">
        <v>4</v>
      </c>
      <c r="J1990" t="s">
        <v>93</v>
      </c>
      <c r="K1990" t="b">
        <v>1</v>
      </c>
      <c r="L1990">
        <f t="shared" si="31"/>
        <v>4</v>
      </c>
      <c r="M1990">
        <f t="shared" si="31"/>
        <v>6</v>
      </c>
      <c r="N1990" t="b">
        <v>0</v>
      </c>
      <c r="O1990">
        <v>0</v>
      </c>
      <c r="Q1990">
        <v>0</v>
      </c>
      <c r="R1990" t="b">
        <v>0</v>
      </c>
    </row>
    <row r="1991" spans="1:18">
      <c r="A1991" t="s">
        <v>3478</v>
      </c>
      <c r="B1991" t="s">
        <v>5109</v>
      </c>
      <c r="C1991" t="s">
        <v>5110</v>
      </c>
      <c r="E1991">
        <v>1</v>
      </c>
      <c r="F1991">
        <v>3</v>
      </c>
      <c r="G1991">
        <v>3</v>
      </c>
      <c r="H1991">
        <v>7</v>
      </c>
      <c r="J1991" t="s">
        <v>22</v>
      </c>
      <c r="K1991" t="b">
        <v>1</v>
      </c>
      <c r="L1991">
        <f t="shared" si="31"/>
        <v>4</v>
      </c>
      <c r="M1991">
        <f t="shared" si="31"/>
        <v>10</v>
      </c>
      <c r="N1991" t="b">
        <v>0</v>
      </c>
      <c r="O1991">
        <v>1</v>
      </c>
      <c r="P1991" t="s">
        <v>5111</v>
      </c>
      <c r="Q1991">
        <v>2</v>
      </c>
      <c r="R1991" t="b">
        <v>1</v>
      </c>
    </row>
    <row r="1992" spans="1:18" hidden="1">
      <c r="A1992" t="s">
        <v>4370</v>
      </c>
      <c r="B1992" t="s">
        <v>5112</v>
      </c>
      <c r="C1992" t="s">
        <v>5113</v>
      </c>
      <c r="E1992">
        <v>2</v>
      </c>
      <c r="F1992">
        <v>12</v>
      </c>
      <c r="G1992">
        <v>2</v>
      </c>
      <c r="H1992">
        <v>8</v>
      </c>
      <c r="J1992" t="s">
        <v>93</v>
      </c>
      <c r="K1992" t="b">
        <v>0</v>
      </c>
      <c r="L1992">
        <f t="shared" si="31"/>
        <v>4</v>
      </c>
      <c r="M1992">
        <f t="shared" si="31"/>
        <v>20</v>
      </c>
      <c r="N1992" t="b">
        <v>0</v>
      </c>
      <c r="O1992">
        <v>0</v>
      </c>
      <c r="Q1992">
        <v>0</v>
      </c>
      <c r="R1992" t="b">
        <v>0</v>
      </c>
    </row>
    <row r="1993" spans="1:18">
      <c r="A1993" t="s">
        <v>2805</v>
      </c>
      <c r="B1993" t="s">
        <v>5114</v>
      </c>
      <c r="C1993" t="s">
        <v>5115</v>
      </c>
      <c r="E1993">
        <v>0</v>
      </c>
      <c r="F1993">
        <v>0</v>
      </c>
      <c r="G1993">
        <v>4</v>
      </c>
      <c r="H1993">
        <v>18</v>
      </c>
      <c r="J1993" t="s">
        <v>22</v>
      </c>
      <c r="K1993" t="b">
        <v>1</v>
      </c>
      <c r="L1993">
        <f t="shared" si="31"/>
        <v>4</v>
      </c>
      <c r="M1993">
        <f t="shared" si="31"/>
        <v>18</v>
      </c>
      <c r="N1993" t="b">
        <v>0</v>
      </c>
      <c r="O1993">
        <v>1</v>
      </c>
      <c r="P1993" t="s">
        <v>5116</v>
      </c>
      <c r="Q1993">
        <v>2</v>
      </c>
      <c r="R1993" t="b">
        <v>1</v>
      </c>
    </row>
    <row r="1994" spans="1:18" hidden="1">
      <c r="A1994" t="s">
        <v>3015</v>
      </c>
      <c r="B1994" t="s">
        <v>5117</v>
      </c>
      <c r="C1994" t="s">
        <v>5118</v>
      </c>
      <c r="E1994">
        <v>3</v>
      </c>
      <c r="F1994">
        <v>1</v>
      </c>
      <c r="G1994">
        <v>1</v>
      </c>
      <c r="H1994">
        <v>1</v>
      </c>
      <c r="J1994" t="s">
        <v>93</v>
      </c>
      <c r="K1994" t="b">
        <v>0</v>
      </c>
      <c r="L1994">
        <f t="shared" si="31"/>
        <v>4</v>
      </c>
      <c r="M1994">
        <f t="shared" si="31"/>
        <v>2</v>
      </c>
      <c r="N1994" t="b">
        <v>1</v>
      </c>
      <c r="O1994">
        <v>0</v>
      </c>
      <c r="Q1994">
        <v>0</v>
      </c>
      <c r="R1994" t="b">
        <v>0</v>
      </c>
    </row>
    <row r="1995" spans="1:18" hidden="1">
      <c r="A1995" t="s">
        <v>3015</v>
      </c>
      <c r="B1995" t="s">
        <v>5119</v>
      </c>
      <c r="C1995" t="s">
        <v>5120</v>
      </c>
      <c r="E1995">
        <v>3</v>
      </c>
      <c r="F1995">
        <v>2</v>
      </c>
      <c r="G1995">
        <v>1</v>
      </c>
      <c r="H1995">
        <v>1</v>
      </c>
      <c r="J1995" t="s">
        <v>93</v>
      </c>
      <c r="K1995" t="b">
        <v>0</v>
      </c>
      <c r="L1995">
        <f t="shared" si="31"/>
        <v>4</v>
      </c>
      <c r="M1995">
        <f t="shared" si="31"/>
        <v>3</v>
      </c>
      <c r="N1995" t="b">
        <v>1</v>
      </c>
      <c r="O1995">
        <v>0</v>
      </c>
      <c r="Q1995">
        <v>0</v>
      </c>
      <c r="R1995" t="b">
        <v>0</v>
      </c>
    </row>
    <row r="1996" spans="1:18" hidden="1">
      <c r="A1996" t="s">
        <v>2211</v>
      </c>
      <c r="B1996" t="s">
        <v>5121</v>
      </c>
      <c r="C1996" t="s">
        <v>5122</v>
      </c>
      <c r="E1996">
        <v>2</v>
      </c>
      <c r="F1996">
        <v>4</v>
      </c>
      <c r="G1996">
        <v>2</v>
      </c>
      <c r="H1996">
        <v>10</v>
      </c>
      <c r="J1996" t="s">
        <v>93</v>
      </c>
      <c r="K1996" t="b">
        <v>0</v>
      </c>
      <c r="L1996">
        <f t="shared" si="31"/>
        <v>4</v>
      </c>
      <c r="M1996">
        <f t="shared" si="31"/>
        <v>14</v>
      </c>
      <c r="N1996" t="b">
        <v>0</v>
      </c>
      <c r="O1996">
        <v>0</v>
      </c>
      <c r="Q1996">
        <v>0</v>
      </c>
      <c r="R1996" t="b">
        <v>0</v>
      </c>
    </row>
    <row r="1997" spans="1:18" hidden="1">
      <c r="A1997" t="s">
        <v>361</v>
      </c>
      <c r="B1997" t="s">
        <v>5123</v>
      </c>
      <c r="C1997" t="s">
        <v>5124</v>
      </c>
      <c r="D1997" t="s">
        <v>519</v>
      </c>
      <c r="E1997">
        <v>4</v>
      </c>
      <c r="F1997">
        <v>13</v>
      </c>
      <c r="G1997">
        <v>0</v>
      </c>
      <c r="H1997">
        <v>0</v>
      </c>
      <c r="I1997" t="s">
        <v>520</v>
      </c>
      <c r="J1997" t="s">
        <v>93</v>
      </c>
      <c r="K1997" t="b">
        <v>0</v>
      </c>
      <c r="L1997">
        <f t="shared" si="31"/>
        <v>4</v>
      </c>
      <c r="M1997">
        <f t="shared" si="31"/>
        <v>13</v>
      </c>
      <c r="N1997" t="b">
        <v>0</v>
      </c>
      <c r="O1997">
        <v>0</v>
      </c>
      <c r="Q1997">
        <v>0</v>
      </c>
      <c r="R1997" t="b">
        <v>0</v>
      </c>
    </row>
    <row r="1998" spans="1:18">
      <c r="A1998" t="s">
        <v>1143</v>
      </c>
      <c r="B1998" t="s">
        <v>5125</v>
      </c>
      <c r="C1998" t="s">
        <v>5126</v>
      </c>
      <c r="E1998">
        <v>0</v>
      </c>
      <c r="F1998">
        <v>0</v>
      </c>
      <c r="G1998">
        <v>4</v>
      </c>
      <c r="H1998">
        <v>9</v>
      </c>
      <c r="J1998" t="s">
        <v>22</v>
      </c>
      <c r="K1998" t="b">
        <v>1</v>
      </c>
      <c r="L1998">
        <f t="shared" si="31"/>
        <v>4</v>
      </c>
      <c r="M1998">
        <f t="shared" si="31"/>
        <v>9</v>
      </c>
      <c r="N1998" t="b">
        <v>0</v>
      </c>
      <c r="O1998">
        <v>1</v>
      </c>
      <c r="P1998" t="s">
        <v>5127</v>
      </c>
      <c r="Q1998">
        <v>2</v>
      </c>
      <c r="R1998" t="b">
        <v>1</v>
      </c>
    </row>
    <row r="1999" spans="1:18" hidden="1">
      <c r="A1999" t="s">
        <v>4404</v>
      </c>
      <c r="B1999" t="s">
        <v>5128</v>
      </c>
      <c r="C1999" t="s">
        <v>5129</v>
      </c>
      <c r="E1999">
        <v>4</v>
      </c>
      <c r="F1999">
        <v>11</v>
      </c>
      <c r="G1999">
        <v>0</v>
      </c>
      <c r="H1999">
        <v>0</v>
      </c>
      <c r="J1999" t="s">
        <v>93</v>
      </c>
      <c r="K1999" t="b">
        <v>0</v>
      </c>
      <c r="L1999">
        <f t="shared" si="31"/>
        <v>4</v>
      </c>
      <c r="M1999">
        <f t="shared" si="31"/>
        <v>11</v>
      </c>
      <c r="N1999" t="b">
        <v>0</v>
      </c>
      <c r="O1999">
        <v>0</v>
      </c>
      <c r="Q1999">
        <v>0</v>
      </c>
      <c r="R1999" t="b">
        <v>0</v>
      </c>
    </row>
    <row r="2000" spans="1:18">
      <c r="A2000" t="s">
        <v>1334</v>
      </c>
      <c r="B2000" t="s">
        <v>5130</v>
      </c>
      <c r="C2000" t="s">
        <v>5131</v>
      </c>
      <c r="E2000">
        <v>1</v>
      </c>
      <c r="F2000">
        <v>1</v>
      </c>
      <c r="G2000">
        <v>3</v>
      </c>
      <c r="H2000">
        <v>7</v>
      </c>
      <c r="J2000" t="s">
        <v>22</v>
      </c>
      <c r="K2000" t="b">
        <v>1</v>
      </c>
      <c r="L2000">
        <f t="shared" si="31"/>
        <v>4</v>
      </c>
      <c r="M2000">
        <f t="shared" si="31"/>
        <v>8</v>
      </c>
      <c r="N2000" t="b">
        <v>0</v>
      </c>
      <c r="O2000">
        <v>1</v>
      </c>
      <c r="P2000" t="s">
        <v>5132</v>
      </c>
      <c r="Q2000">
        <v>1</v>
      </c>
      <c r="R2000" t="b">
        <v>1</v>
      </c>
    </row>
    <row r="2001" spans="1:18">
      <c r="A2001" t="s">
        <v>1334</v>
      </c>
      <c r="B2001" t="s">
        <v>5133</v>
      </c>
      <c r="C2001" t="s">
        <v>5134</v>
      </c>
      <c r="E2001">
        <v>3</v>
      </c>
      <c r="F2001">
        <v>29</v>
      </c>
      <c r="G2001">
        <v>1</v>
      </c>
      <c r="H2001">
        <v>1</v>
      </c>
      <c r="J2001" t="s">
        <v>22</v>
      </c>
      <c r="K2001" t="b">
        <v>1</v>
      </c>
      <c r="L2001">
        <f t="shared" si="31"/>
        <v>4</v>
      </c>
      <c r="M2001">
        <f t="shared" si="31"/>
        <v>30</v>
      </c>
      <c r="N2001" t="b">
        <v>0</v>
      </c>
      <c r="O2001">
        <v>1</v>
      </c>
      <c r="P2001" t="s">
        <v>5135</v>
      </c>
      <c r="Q2001">
        <v>1</v>
      </c>
      <c r="R2001" t="b">
        <v>1</v>
      </c>
    </row>
    <row r="2002" spans="1:18">
      <c r="A2002" t="s">
        <v>1334</v>
      </c>
      <c r="B2002" t="s">
        <v>5136</v>
      </c>
      <c r="C2002" t="s">
        <v>5137</v>
      </c>
      <c r="E2002">
        <v>3</v>
      </c>
      <c r="F2002">
        <v>29</v>
      </c>
      <c r="G2002">
        <v>1</v>
      </c>
      <c r="H2002">
        <v>1</v>
      </c>
      <c r="J2002" t="s">
        <v>22</v>
      </c>
      <c r="K2002" t="b">
        <v>1</v>
      </c>
      <c r="L2002">
        <f t="shared" si="31"/>
        <v>4</v>
      </c>
      <c r="M2002">
        <f t="shared" si="31"/>
        <v>30</v>
      </c>
      <c r="N2002" t="b">
        <v>0</v>
      </c>
      <c r="O2002">
        <v>1</v>
      </c>
      <c r="P2002" t="s">
        <v>5138</v>
      </c>
      <c r="Q2002">
        <v>1</v>
      </c>
      <c r="R2002" t="b">
        <v>1</v>
      </c>
    </row>
    <row r="2003" spans="1:18" hidden="1">
      <c r="A2003" t="s">
        <v>361</v>
      </c>
      <c r="B2003" t="s">
        <v>5139</v>
      </c>
      <c r="C2003" t="s">
        <v>5140</v>
      </c>
      <c r="D2003" t="s">
        <v>519</v>
      </c>
      <c r="E2003">
        <v>0</v>
      </c>
      <c r="F2003">
        <v>0</v>
      </c>
      <c r="G2003">
        <v>4</v>
      </c>
      <c r="H2003">
        <v>10</v>
      </c>
      <c r="I2003" t="s">
        <v>520</v>
      </c>
      <c r="J2003" t="s">
        <v>93</v>
      </c>
      <c r="K2003" t="b">
        <v>0</v>
      </c>
      <c r="L2003">
        <f t="shared" si="31"/>
        <v>4</v>
      </c>
      <c r="M2003">
        <f t="shared" si="31"/>
        <v>10</v>
      </c>
      <c r="N2003" t="b">
        <v>0</v>
      </c>
      <c r="O2003">
        <v>0</v>
      </c>
      <c r="Q2003">
        <v>0</v>
      </c>
      <c r="R2003" t="b">
        <v>0</v>
      </c>
    </row>
    <row r="2004" spans="1:18" hidden="1">
      <c r="A2004" t="s">
        <v>19</v>
      </c>
      <c r="B2004" t="s">
        <v>5141</v>
      </c>
      <c r="C2004" t="s">
        <v>5142</v>
      </c>
      <c r="E2004">
        <v>0</v>
      </c>
      <c r="F2004">
        <v>0</v>
      </c>
      <c r="G2004">
        <v>4</v>
      </c>
      <c r="H2004">
        <v>10</v>
      </c>
      <c r="J2004" t="s">
        <v>93</v>
      </c>
      <c r="K2004" t="b">
        <v>1</v>
      </c>
      <c r="L2004">
        <f t="shared" si="31"/>
        <v>4</v>
      </c>
      <c r="M2004">
        <f t="shared" si="31"/>
        <v>10</v>
      </c>
      <c r="N2004" t="b">
        <v>0</v>
      </c>
      <c r="O2004">
        <v>0</v>
      </c>
      <c r="Q2004">
        <v>0</v>
      </c>
      <c r="R2004" t="b">
        <v>0</v>
      </c>
    </row>
    <row r="2005" spans="1:18" hidden="1">
      <c r="A2005" t="s">
        <v>4193</v>
      </c>
      <c r="B2005" t="s">
        <v>5143</v>
      </c>
      <c r="C2005" t="s">
        <v>5144</v>
      </c>
      <c r="E2005">
        <v>4</v>
      </c>
      <c r="F2005">
        <v>2</v>
      </c>
      <c r="G2005">
        <v>0</v>
      </c>
      <c r="H2005">
        <v>0</v>
      </c>
      <c r="J2005" t="s">
        <v>93</v>
      </c>
      <c r="K2005" t="b">
        <v>0</v>
      </c>
      <c r="L2005">
        <f t="shared" si="31"/>
        <v>4</v>
      </c>
      <c r="M2005">
        <f t="shared" si="31"/>
        <v>2</v>
      </c>
      <c r="N2005" t="b">
        <v>1</v>
      </c>
      <c r="O2005">
        <v>0</v>
      </c>
      <c r="Q2005">
        <v>0</v>
      </c>
      <c r="R2005" t="b">
        <v>0</v>
      </c>
    </row>
    <row r="2006" spans="1:18" hidden="1">
      <c r="A2006" t="s">
        <v>372</v>
      </c>
      <c r="B2006" t="s">
        <v>5145</v>
      </c>
      <c r="C2006" t="s">
        <v>5146</v>
      </c>
      <c r="E2006">
        <v>0</v>
      </c>
      <c r="F2006">
        <v>0</v>
      </c>
      <c r="G2006">
        <v>4</v>
      </c>
      <c r="H2006">
        <v>8</v>
      </c>
      <c r="J2006" t="s">
        <v>93</v>
      </c>
      <c r="K2006" t="b">
        <v>1</v>
      </c>
      <c r="L2006">
        <f t="shared" si="31"/>
        <v>4</v>
      </c>
      <c r="M2006">
        <f t="shared" si="31"/>
        <v>8</v>
      </c>
      <c r="N2006" t="b">
        <v>0</v>
      </c>
      <c r="O2006">
        <v>0</v>
      </c>
      <c r="Q2006">
        <v>0</v>
      </c>
      <c r="R2006" t="b">
        <v>0</v>
      </c>
    </row>
    <row r="2007" spans="1:18" hidden="1">
      <c r="A2007" t="s">
        <v>672</v>
      </c>
      <c r="B2007" t="s">
        <v>5147</v>
      </c>
      <c r="C2007" t="s">
        <v>5148</v>
      </c>
      <c r="E2007">
        <v>4</v>
      </c>
      <c r="F2007">
        <v>8</v>
      </c>
      <c r="G2007">
        <v>0</v>
      </c>
      <c r="H2007">
        <v>0</v>
      </c>
      <c r="J2007" t="s">
        <v>93</v>
      </c>
      <c r="K2007" t="b">
        <v>0</v>
      </c>
      <c r="L2007">
        <f t="shared" si="31"/>
        <v>4</v>
      </c>
      <c r="M2007">
        <f t="shared" si="31"/>
        <v>8</v>
      </c>
      <c r="N2007" t="b">
        <v>0</v>
      </c>
      <c r="O2007">
        <v>0</v>
      </c>
      <c r="Q2007">
        <v>0</v>
      </c>
      <c r="R2007" t="b">
        <v>0</v>
      </c>
    </row>
    <row r="2008" spans="1:18" hidden="1">
      <c r="A2008" t="s">
        <v>192</v>
      </c>
      <c r="B2008" t="s">
        <v>5149</v>
      </c>
      <c r="C2008" t="s">
        <v>5150</v>
      </c>
      <c r="E2008">
        <v>0</v>
      </c>
      <c r="F2008">
        <v>0</v>
      </c>
      <c r="G2008">
        <v>4</v>
      </c>
      <c r="H2008">
        <v>7</v>
      </c>
      <c r="J2008" t="s">
        <v>93</v>
      </c>
      <c r="K2008" t="b">
        <v>1</v>
      </c>
      <c r="L2008">
        <f t="shared" si="31"/>
        <v>4</v>
      </c>
      <c r="M2008">
        <f t="shared" si="31"/>
        <v>7</v>
      </c>
      <c r="N2008" t="b">
        <v>0</v>
      </c>
      <c r="O2008">
        <v>0.5</v>
      </c>
      <c r="P2008" t="s">
        <v>3371</v>
      </c>
      <c r="Q2008">
        <v>2</v>
      </c>
      <c r="R2008" t="b">
        <v>1</v>
      </c>
    </row>
    <row r="2009" spans="1:18" hidden="1">
      <c r="A2009" t="s">
        <v>3015</v>
      </c>
      <c r="B2009" t="s">
        <v>5151</v>
      </c>
      <c r="C2009" t="s">
        <v>5152</v>
      </c>
      <c r="E2009">
        <v>1</v>
      </c>
      <c r="F2009">
        <v>1</v>
      </c>
      <c r="G2009">
        <v>3</v>
      </c>
      <c r="H2009">
        <v>5</v>
      </c>
      <c r="J2009" t="s">
        <v>93</v>
      </c>
      <c r="K2009" t="b">
        <v>0</v>
      </c>
      <c r="L2009">
        <f t="shared" si="31"/>
        <v>4</v>
      </c>
      <c r="M2009">
        <f t="shared" si="31"/>
        <v>6</v>
      </c>
      <c r="N2009" t="b">
        <v>0</v>
      </c>
      <c r="O2009">
        <v>0</v>
      </c>
      <c r="Q2009">
        <v>0</v>
      </c>
      <c r="R2009" t="b">
        <v>0</v>
      </c>
    </row>
    <row r="2010" spans="1:18" hidden="1">
      <c r="A2010" t="s">
        <v>3015</v>
      </c>
      <c r="B2010" t="s">
        <v>5153</v>
      </c>
      <c r="C2010" t="s">
        <v>5154</v>
      </c>
      <c r="E2010">
        <v>1</v>
      </c>
      <c r="F2010">
        <v>1</v>
      </c>
      <c r="G2010">
        <v>3</v>
      </c>
      <c r="H2010">
        <v>5</v>
      </c>
      <c r="J2010" t="s">
        <v>93</v>
      </c>
      <c r="K2010" t="b">
        <v>0</v>
      </c>
      <c r="L2010">
        <f t="shared" si="31"/>
        <v>4</v>
      </c>
      <c r="M2010">
        <f t="shared" si="31"/>
        <v>6</v>
      </c>
      <c r="N2010" t="b">
        <v>0</v>
      </c>
      <c r="O2010">
        <v>0</v>
      </c>
      <c r="Q2010">
        <v>0</v>
      </c>
      <c r="R2010" t="b">
        <v>0</v>
      </c>
    </row>
    <row r="2011" spans="1:18" hidden="1">
      <c r="A2011" t="s">
        <v>816</v>
      </c>
      <c r="B2011" t="s">
        <v>5155</v>
      </c>
      <c r="C2011" t="s">
        <v>5156</v>
      </c>
      <c r="D2011" t="s">
        <v>519</v>
      </c>
      <c r="E2011">
        <v>4</v>
      </c>
      <c r="F2011">
        <v>5</v>
      </c>
      <c r="G2011">
        <v>0</v>
      </c>
      <c r="H2011">
        <v>0</v>
      </c>
      <c r="I2011" t="s">
        <v>819</v>
      </c>
      <c r="J2011" t="s">
        <v>93</v>
      </c>
      <c r="K2011" t="b">
        <v>0</v>
      </c>
      <c r="L2011">
        <f t="shared" si="31"/>
        <v>4</v>
      </c>
      <c r="M2011">
        <f t="shared" si="31"/>
        <v>5</v>
      </c>
      <c r="N2011" t="b">
        <v>0</v>
      </c>
      <c r="O2011">
        <v>0</v>
      </c>
      <c r="Q2011">
        <v>0</v>
      </c>
      <c r="R2011" t="b">
        <v>0</v>
      </c>
    </row>
    <row r="2012" spans="1:18" hidden="1">
      <c r="A2012" t="s">
        <v>2851</v>
      </c>
      <c r="B2012" t="s">
        <v>5157</v>
      </c>
      <c r="C2012" t="s">
        <v>5158</v>
      </c>
      <c r="E2012">
        <v>3</v>
      </c>
      <c r="F2012">
        <v>3</v>
      </c>
      <c r="G2012">
        <v>1</v>
      </c>
      <c r="H2012">
        <v>1</v>
      </c>
      <c r="J2012" t="s">
        <v>93</v>
      </c>
      <c r="K2012" t="b">
        <v>0</v>
      </c>
      <c r="L2012">
        <f t="shared" si="31"/>
        <v>4</v>
      </c>
      <c r="M2012">
        <f t="shared" si="31"/>
        <v>4</v>
      </c>
      <c r="N2012" t="b">
        <v>0</v>
      </c>
      <c r="O2012">
        <v>0</v>
      </c>
      <c r="Q2012">
        <v>0</v>
      </c>
      <c r="R2012" t="b">
        <v>0</v>
      </c>
    </row>
    <row r="2013" spans="1:18" hidden="1">
      <c r="A2013" t="s">
        <v>2851</v>
      </c>
      <c r="B2013" t="s">
        <v>5159</v>
      </c>
      <c r="C2013" t="s">
        <v>5160</v>
      </c>
      <c r="E2013">
        <v>2</v>
      </c>
      <c r="F2013">
        <v>2</v>
      </c>
      <c r="G2013">
        <v>2</v>
      </c>
      <c r="H2013">
        <v>2</v>
      </c>
      <c r="J2013" t="s">
        <v>93</v>
      </c>
      <c r="K2013" t="b">
        <v>0</v>
      </c>
      <c r="L2013">
        <f t="shared" si="31"/>
        <v>4</v>
      </c>
      <c r="M2013">
        <f t="shared" si="31"/>
        <v>4</v>
      </c>
      <c r="N2013" t="b">
        <v>0</v>
      </c>
      <c r="O2013">
        <v>0</v>
      </c>
      <c r="Q2013">
        <v>0</v>
      </c>
      <c r="R2013" t="b">
        <v>0</v>
      </c>
    </row>
    <row r="2014" spans="1:18" hidden="1">
      <c r="A2014" t="s">
        <v>706</v>
      </c>
      <c r="B2014" t="s">
        <v>5161</v>
      </c>
      <c r="C2014" t="s">
        <v>5162</v>
      </c>
      <c r="E2014">
        <v>2</v>
      </c>
      <c r="F2014">
        <v>2</v>
      </c>
      <c r="G2014">
        <v>2</v>
      </c>
      <c r="H2014">
        <v>2</v>
      </c>
      <c r="J2014" t="s">
        <v>93</v>
      </c>
      <c r="K2014" t="b">
        <v>0</v>
      </c>
      <c r="L2014">
        <f t="shared" si="31"/>
        <v>4</v>
      </c>
      <c r="M2014">
        <f t="shared" si="31"/>
        <v>4</v>
      </c>
      <c r="N2014" t="b">
        <v>0</v>
      </c>
      <c r="O2014">
        <v>0</v>
      </c>
      <c r="Q2014">
        <v>0</v>
      </c>
      <c r="R2014" t="b">
        <v>0</v>
      </c>
    </row>
    <row r="2015" spans="1:18" hidden="1">
      <c r="A2015" t="s">
        <v>5163</v>
      </c>
      <c r="B2015" t="s">
        <v>5164</v>
      </c>
      <c r="C2015" t="s">
        <v>5165</v>
      </c>
      <c r="E2015">
        <v>1</v>
      </c>
      <c r="F2015">
        <v>1</v>
      </c>
      <c r="G2015">
        <v>3</v>
      </c>
      <c r="H2015">
        <v>3</v>
      </c>
      <c r="J2015" t="s">
        <v>93</v>
      </c>
      <c r="K2015" t="b">
        <v>0</v>
      </c>
      <c r="L2015">
        <f t="shared" si="31"/>
        <v>4</v>
      </c>
      <c r="M2015">
        <f t="shared" si="31"/>
        <v>4</v>
      </c>
      <c r="N2015" t="b">
        <v>0</v>
      </c>
      <c r="O2015">
        <v>0</v>
      </c>
      <c r="Q2015">
        <v>0</v>
      </c>
      <c r="R2015" t="b">
        <v>0</v>
      </c>
    </row>
    <row r="2016" spans="1:18" hidden="1">
      <c r="A2016" t="s">
        <v>5163</v>
      </c>
      <c r="B2016" t="s">
        <v>5166</v>
      </c>
      <c r="C2016" t="s">
        <v>5167</v>
      </c>
      <c r="E2016">
        <v>1</v>
      </c>
      <c r="F2016">
        <v>1</v>
      </c>
      <c r="G2016">
        <v>3</v>
      </c>
      <c r="H2016">
        <v>3</v>
      </c>
      <c r="J2016" t="s">
        <v>93</v>
      </c>
      <c r="K2016" t="b">
        <v>0</v>
      </c>
      <c r="L2016">
        <f t="shared" si="31"/>
        <v>4</v>
      </c>
      <c r="M2016">
        <f t="shared" si="31"/>
        <v>4</v>
      </c>
      <c r="N2016" t="b">
        <v>0</v>
      </c>
      <c r="O2016">
        <v>0</v>
      </c>
      <c r="Q2016">
        <v>0</v>
      </c>
      <c r="R2016" t="b">
        <v>0</v>
      </c>
    </row>
    <row r="2017" spans="1:18" hidden="1">
      <c r="A2017" t="s">
        <v>5163</v>
      </c>
      <c r="B2017" t="s">
        <v>5168</v>
      </c>
      <c r="C2017" t="s">
        <v>5169</v>
      </c>
      <c r="E2017">
        <v>1</v>
      </c>
      <c r="F2017">
        <v>1</v>
      </c>
      <c r="G2017">
        <v>3</v>
      </c>
      <c r="H2017">
        <v>3</v>
      </c>
      <c r="J2017" t="s">
        <v>93</v>
      </c>
      <c r="K2017" t="b">
        <v>0</v>
      </c>
      <c r="L2017">
        <f t="shared" si="31"/>
        <v>4</v>
      </c>
      <c r="M2017">
        <f t="shared" si="31"/>
        <v>4</v>
      </c>
      <c r="N2017" t="b">
        <v>0</v>
      </c>
      <c r="O2017">
        <v>0</v>
      </c>
      <c r="Q2017">
        <v>0</v>
      </c>
      <c r="R2017" t="b">
        <v>0</v>
      </c>
    </row>
    <row r="2018" spans="1:18" hidden="1">
      <c r="A2018" t="s">
        <v>1384</v>
      </c>
      <c r="B2018" t="s">
        <v>5170</v>
      </c>
      <c r="C2018" t="s">
        <v>5171</v>
      </c>
      <c r="E2018">
        <v>2</v>
      </c>
      <c r="F2018">
        <v>4</v>
      </c>
      <c r="G2018">
        <v>2</v>
      </c>
      <c r="H2018">
        <v>4</v>
      </c>
      <c r="J2018" t="s">
        <v>93</v>
      </c>
      <c r="K2018" t="b">
        <v>1</v>
      </c>
      <c r="L2018">
        <f t="shared" si="31"/>
        <v>4</v>
      </c>
      <c r="M2018">
        <f t="shared" si="31"/>
        <v>8</v>
      </c>
      <c r="N2018" t="b">
        <v>0</v>
      </c>
      <c r="O2018">
        <v>0</v>
      </c>
      <c r="Q2018">
        <v>0</v>
      </c>
      <c r="R2018" t="b">
        <v>0</v>
      </c>
    </row>
    <row r="2019" spans="1:18" hidden="1">
      <c r="A2019" t="s">
        <v>1207</v>
      </c>
      <c r="B2019" t="s">
        <v>5172</v>
      </c>
      <c r="C2019" t="s">
        <v>5173</v>
      </c>
      <c r="E2019">
        <v>3</v>
      </c>
      <c r="F2019">
        <v>2</v>
      </c>
      <c r="G2019">
        <v>1</v>
      </c>
      <c r="H2019">
        <v>1</v>
      </c>
      <c r="J2019" t="s">
        <v>93</v>
      </c>
      <c r="K2019" t="b">
        <v>0</v>
      </c>
      <c r="L2019">
        <f t="shared" si="31"/>
        <v>4</v>
      </c>
      <c r="M2019">
        <f t="shared" si="31"/>
        <v>3</v>
      </c>
      <c r="N2019" t="b">
        <v>1</v>
      </c>
      <c r="O2019">
        <v>0</v>
      </c>
      <c r="Q2019">
        <v>0</v>
      </c>
      <c r="R2019" t="b">
        <v>0</v>
      </c>
    </row>
    <row r="2020" spans="1:18" hidden="1">
      <c r="A2020" t="s">
        <v>133</v>
      </c>
      <c r="B2020" t="s">
        <v>5174</v>
      </c>
      <c r="C2020" t="s">
        <v>5175</v>
      </c>
      <c r="E2020">
        <v>1</v>
      </c>
      <c r="F2020">
        <v>4</v>
      </c>
      <c r="G2020">
        <v>3</v>
      </c>
      <c r="H2020">
        <v>13</v>
      </c>
      <c r="J2020" t="s">
        <v>93</v>
      </c>
      <c r="K2020" t="b">
        <v>1</v>
      </c>
      <c r="L2020">
        <f t="shared" si="31"/>
        <v>4</v>
      </c>
      <c r="M2020">
        <f t="shared" si="31"/>
        <v>17</v>
      </c>
      <c r="N2020" t="b">
        <v>0</v>
      </c>
      <c r="O2020">
        <v>0</v>
      </c>
      <c r="Q2020">
        <v>0</v>
      </c>
      <c r="R2020" t="b">
        <v>0</v>
      </c>
    </row>
    <row r="2021" spans="1:18">
      <c r="A2021" t="s">
        <v>115</v>
      </c>
      <c r="B2021" t="s">
        <v>5176</v>
      </c>
      <c r="C2021" t="s">
        <v>5177</v>
      </c>
      <c r="E2021">
        <v>2</v>
      </c>
      <c r="F2021">
        <v>1</v>
      </c>
      <c r="G2021">
        <v>2</v>
      </c>
      <c r="H2021">
        <v>3</v>
      </c>
      <c r="J2021" t="s">
        <v>22</v>
      </c>
      <c r="K2021" t="b">
        <v>1</v>
      </c>
      <c r="L2021">
        <f t="shared" si="31"/>
        <v>4</v>
      </c>
      <c r="M2021">
        <f t="shared" si="31"/>
        <v>4</v>
      </c>
      <c r="N2021" t="b">
        <v>0</v>
      </c>
      <c r="O2021">
        <v>1</v>
      </c>
      <c r="P2021" t="s">
        <v>5178</v>
      </c>
      <c r="Q2021">
        <v>2</v>
      </c>
      <c r="R2021" t="b">
        <v>1</v>
      </c>
    </row>
    <row r="2022" spans="1:18" hidden="1">
      <c r="A2022" t="s">
        <v>115</v>
      </c>
      <c r="B2022" t="s">
        <v>5179</v>
      </c>
      <c r="C2022" t="s">
        <v>5180</v>
      </c>
      <c r="E2022">
        <v>4</v>
      </c>
      <c r="F2022">
        <v>7</v>
      </c>
      <c r="G2022">
        <v>0</v>
      </c>
      <c r="H2022">
        <v>0</v>
      </c>
      <c r="J2022" t="s">
        <v>93</v>
      </c>
      <c r="K2022" t="b">
        <v>1</v>
      </c>
      <c r="L2022">
        <f t="shared" si="31"/>
        <v>4</v>
      </c>
      <c r="M2022">
        <f t="shared" si="31"/>
        <v>7</v>
      </c>
      <c r="N2022" t="b">
        <v>0</v>
      </c>
      <c r="O2022">
        <v>0</v>
      </c>
      <c r="Q2022">
        <v>0</v>
      </c>
      <c r="R2022" t="b">
        <v>0</v>
      </c>
    </row>
    <row r="2023" spans="1:18" hidden="1">
      <c r="A2023" t="s">
        <v>192</v>
      </c>
      <c r="B2023" t="s">
        <v>5181</v>
      </c>
      <c r="C2023" t="s">
        <v>5182</v>
      </c>
      <c r="E2023">
        <v>4</v>
      </c>
      <c r="F2023">
        <v>0</v>
      </c>
      <c r="G2023">
        <v>0</v>
      </c>
      <c r="H2023">
        <v>0</v>
      </c>
      <c r="J2023" t="s">
        <v>93</v>
      </c>
      <c r="K2023" t="b">
        <v>1</v>
      </c>
      <c r="L2023">
        <f t="shared" si="31"/>
        <v>4</v>
      </c>
      <c r="M2023">
        <f t="shared" si="31"/>
        <v>0</v>
      </c>
      <c r="N2023" t="b">
        <v>0</v>
      </c>
      <c r="O2023">
        <v>0</v>
      </c>
      <c r="Q2023">
        <v>0</v>
      </c>
      <c r="R2023" t="b">
        <v>0</v>
      </c>
    </row>
    <row r="2024" spans="1:18" hidden="1">
      <c r="A2024" t="s">
        <v>192</v>
      </c>
      <c r="B2024" t="s">
        <v>5183</v>
      </c>
      <c r="C2024" t="s">
        <v>5184</v>
      </c>
      <c r="E2024">
        <v>3</v>
      </c>
      <c r="F2024">
        <v>0</v>
      </c>
      <c r="G2024">
        <v>1</v>
      </c>
      <c r="H2024">
        <v>5</v>
      </c>
      <c r="J2024" t="s">
        <v>93</v>
      </c>
      <c r="K2024" t="b">
        <v>1</v>
      </c>
      <c r="L2024">
        <f t="shared" si="31"/>
        <v>4</v>
      </c>
      <c r="M2024">
        <f t="shared" si="31"/>
        <v>5</v>
      </c>
      <c r="N2024" t="b">
        <v>0</v>
      </c>
      <c r="O2024">
        <v>0</v>
      </c>
      <c r="Q2024">
        <v>0</v>
      </c>
      <c r="R2024" t="b">
        <v>0</v>
      </c>
    </row>
    <row r="2025" spans="1:18" hidden="1">
      <c r="A2025" t="s">
        <v>19</v>
      </c>
      <c r="B2025" t="s">
        <v>5185</v>
      </c>
      <c r="C2025" t="s">
        <v>5186</v>
      </c>
      <c r="E2025">
        <v>4</v>
      </c>
      <c r="F2025">
        <v>13</v>
      </c>
      <c r="G2025">
        <v>0</v>
      </c>
      <c r="H2025">
        <v>0</v>
      </c>
      <c r="J2025" t="s">
        <v>93</v>
      </c>
      <c r="K2025" t="b">
        <v>1</v>
      </c>
      <c r="L2025">
        <f t="shared" si="31"/>
        <v>4</v>
      </c>
      <c r="M2025">
        <f t="shared" si="31"/>
        <v>13</v>
      </c>
      <c r="N2025" t="b">
        <v>0</v>
      </c>
      <c r="O2025">
        <v>0</v>
      </c>
      <c r="Q2025">
        <v>0</v>
      </c>
      <c r="R2025" t="b">
        <v>0</v>
      </c>
    </row>
    <row r="2026" spans="1:18" hidden="1">
      <c r="A2026" t="s">
        <v>19</v>
      </c>
      <c r="B2026" t="s">
        <v>5187</v>
      </c>
      <c r="C2026" t="s">
        <v>5188</v>
      </c>
      <c r="E2026">
        <v>4</v>
      </c>
      <c r="F2026">
        <v>27</v>
      </c>
      <c r="G2026">
        <v>0</v>
      </c>
      <c r="H2026">
        <v>0</v>
      </c>
      <c r="J2026" t="s">
        <v>93</v>
      </c>
      <c r="K2026" t="b">
        <v>1</v>
      </c>
      <c r="L2026">
        <f t="shared" si="31"/>
        <v>4</v>
      </c>
      <c r="M2026">
        <f t="shared" si="31"/>
        <v>27</v>
      </c>
      <c r="N2026" t="b">
        <v>0</v>
      </c>
      <c r="O2026">
        <v>0</v>
      </c>
      <c r="Q2026">
        <v>0</v>
      </c>
      <c r="R2026" t="b">
        <v>0</v>
      </c>
    </row>
    <row r="2027" spans="1:18" hidden="1">
      <c r="A2027" t="s">
        <v>19</v>
      </c>
      <c r="B2027" t="s">
        <v>5189</v>
      </c>
      <c r="C2027" t="s">
        <v>5190</v>
      </c>
      <c r="E2027">
        <v>4</v>
      </c>
      <c r="F2027">
        <v>3</v>
      </c>
      <c r="G2027">
        <v>0</v>
      </c>
      <c r="H2027">
        <v>0</v>
      </c>
      <c r="J2027" t="s">
        <v>93</v>
      </c>
      <c r="K2027" t="b">
        <v>1</v>
      </c>
      <c r="L2027">
        <f t="shared" si="31"/>
        <v>4</v>
      </c>
      <c r="M2027">
        <f t="shared" si="31"/>
        <v>3</v>
      </c>
      <c r="N2027" t="b">
        <v>0</v>
      </c>
      <c r="O2027">
        <v>0</v>
      </c>
      <c r="Q2027">
        <v>0</v>
      </c>
      <c r="R2027" t="b">
        <v>0</v>
      </c>
    </row>
    <row r="2028" spans="1:18">
      <c r="A2028" t="s">
        <v>1782</v>
      </c>
      <c r="B2028" t="s">
        <v>5191</v>
      </c>
      <c r="C2028" t="s">
        <v>5192</v>
      </c>
      <c r="E2028">
        <v>2</v>
      </c>
      <c r="F2028">
        <v>3</v>
      </c>
      <c r="G2028">
        <v>2</v>
      </c>
      <c r="H2028">
        <v>5</v>
      </c>
      <c r="J2028" t="s">
        <v>22</v>
      </c>
      <c r="K2028" t="b">
        <v>1</v>
      </c>
      <c r="L2028">
        <f t="shared" si="31"/>
        <v>4</v>
      </c>
      <c r="M2028">
        <f t="shared" si="31"/>
        <v>8</v>
      </c>
      <c r="N2028" t="b">
        <v>0</v>
      </c>
      <c r="O2028">
        <v>1</v>
      </c>
      <c r="P2028" t="s">
        <v>5193</v>
      </c>
      <c r="Q2028">
        <v>2</v>
      </c>
      <c r="R2028" t="b">
        <v>1</v>
      </c>
    </row>
    <row r="2029" spans="1:18">
      <c r="A2029" t="s">
        <v>1782</v>
      </c>
      <c r="B2029" t="s">
        <v>5194</v>
      </c>
      <c r="C2029" t="s">
        <v>5195</v>
      </c>
      <c r="E2029">
        <v>3</v>
      </c>
      <c r="F2029">
        <v>4</v>
      </c>
      <c r="G2029">
        <v>1</v>
      </c>
      <c r="H2029">
        <v>6</v>
      </c>
      <c r="J2029" t="s">
        <v>22</v>
      </c>
      <c r="K2029" t="b">
        <v>1</v>
      </c>
      <c r="L2029">
        <f t="shared" si="31"/>
        <v>4</v>
      </c>
      <c r="M2029">
        <f t="shared" si="31"/>
        <v>10</v>
      </c>
      <c r="N2029" t="b">
        <v>0</v>
      </c>
      <c r="O2029">
        <v>1</v>
      </c>
      <c r="P2029" t="s">
        <v>5196</v>
      </c>
      <c r="Q2029">
        <v>2</v>
      </c>
      <c r="R2029" t="b">
        <v>1</v>
      </c>
    </row>
    <row r="2030" spans="1:18">
      <c r="A2030" t="s">
        <v>678</v>
      </c>
      <c r="B2030" t="s">
        <v>5197</v>
      </c>
      <c r="C2030" t="s">
        <v>5198</v>
      </c>
      <c r="E2030">
        <v>4</v>
      </c>
      <c r="F2030">
        <v>8</v>
      </c>
      <c r="G2030">
        <v>0</v>
      </c>
      <c r="H2030">
        <v>0</v>
      </c>
      <c r="J2030" t="s">
        <v>22</v>
      </c>
      <c r="K2030" t="b">
        <v>1</v>
      </c>
      <c r="L2030">
        <f t="shared" si="31"/>
        <v>4</v>
      </c>
      <c r="M2030">
        <f t="shared" si="31"/>
        <v>8</v>
      </c>
      <c r="N2030" t="b">
        <v>0</v>
      </c>
      <c r="O2030">
        <v>1</v>
      </c>
      <c r="P2030" t="s">
        <v>5199</v>
      </c>
      <c r="Q2030">
        <v>2</v>
      </c>
      <c r="R2030" t="b">
        <v>1</v>
      </c>
    </row>
    <row r="2031" spans="1:18">
      <c r="A2031" t="s">
        <v>2346</v>
      </c>
      <c r="B2031" t="s">
        <v>5200</v>
      </c>
      <c r="C2031" t="s">
        <v>5201</v>
      </c>
      <c r="E2031">
        <v>1</v>
      </c>
      <c r="F2031">
        <v>1</v>
      </c>
      <c r="G2031">
        <v>2</v>
      </c>
      <c r="H2031">
        <v>3</v>
      </c>
      <c r="J2031" t="s">
        <v>22</v>
      </c>
      <c r="K2031" t="b">
        <v>1</v>
      </c>
      <c r="L2031">
        <f t="shared" si="31"/>
        <v>3</v>
      </c>
      <c r="M2031">
        <f t="shared" si="31"/>
        <v>4</v>
      </c>
      <c r="N2031" t="b">
        <v>0</v>
      </c>
      <c r="O2031">
        <v>1</v>
      </c>
      <c r="P2031" t="s">
        <v>5202</v>
      </c>
      <c r="Q2031">
        <v>2</v>
      </c>
      <c r="R2031" t="b">
        <v>1</v>
      </c>
    </row>
    <row r="2032" spans="1:18">
      <c r="A2032" t="s">
        <v>3259</v>
      </c>
      <c r="B2032" t="s">
        <v>5203</v>
      </c>
      <c r="C2032" t="s">
        <v>5204</v>
      </c>
      <c r="E2032">
        <v>2</v>
      </c>
      <c r="F2032">
        <v>3</v>
      </c>
      <c r="G2032">
        <v>1</v>
      </c>
      <c r="H2032">
        <v>2</v>
      </c>
      <c r="J2032" t="s">
        <v>22</v>
      </c>
      <c r="K2032" t="b">
        <v>1</v>
      </c>
      <c r="L2032">
        <f t="shared" si="31"/>
        <v>3</v>
      </c>
      <c r="M2032">
        <f t="shared" si="31"/>
        <v>5</v>
      </c>
      <c r="N2032" t="b">
        <v>0</v>
      </c>
      <c r="O2032">
        <v>1</v>
      </c>
      <c r="P2032" t="s">
        <v>5205</v>
      </c>
      <c r="Q2032">
        <v>2</v>
      </c>
      <c r="R2032" t="b">
        <v>1</v>
      </c>
    </row>
    <row r="2033" spans="1:18">
      <c r="A2033" t="s">
        <v>334</v>
      </c>
      <c r="B2033" t="s">
        <v>5206</v>
      </c>
      <c r="C2033" t="s">
        <v>5207</v>
      </c>
      <c r="E2033">
        <v>2</v>
      </c>
      <c r="F2033">
        <v>1</v>
      </c>
      <c r="G2033">
        <v>1</v>
      </c>
      <c r="H2033">
        <v>1</v>
      </c>
      <c r="J2033" t="s">
        <v>22</v>
      </c>
      <c r="K2033" t="b">
        <v>1</v>
      </c>
      <c r="L2033">
        <f t="shared" si="31"/>
        <v>3</v>
      </c>
      <c r="M2033">
        <f t="shared" si="31"/>
        <v>2</v>
      </c>
      <c r="N2033" t="b">
        <v>0</v>
      </c>
      <c r="O2033">
        <v>1</v>
      </c>
      <c r="P2033" t="s">
        <v>5208</v>
      </c>
      <c r="Q2033">
        <v>2</v>
      </c>
      <c r="R2033" t="b">
        <v>1</v>
      </c>
    </row>
    <row r="2034" spans="1:18" hidden="1">
      <c r="A2034" t="s">
        <v>1191</v>
      </c>
      <c r="B2034" t="s">
        <v>5209</v>
      </c>
      <c r="C2034" t="s">
        <v>5210</v>
      </c>
      <c r="E2034">
        <v>2</v>
      </c>
      <c r="F2034">
        <v>9</v>
      </c>
      <c r="G2034">
        <v>1</v>
      </c>
      <c r="H2034">
        <v>2</v>
      </c>
      <c r="J2034" t="s">
        <v>93</v>
      </c>
      <c r="K2034" t="b">
        <v>1</v>
      </c>
      <c r="L2034">
        <f t="shared" si="31"/>
        <v>3</v>
      </c>
      <c r="M2034">
        <f t="shared" si="31"/>
        <v>11</v>
      </c>
      <c r="N2034" t="b">
        <v>0</v>
      </c>
      <c r="O2034">
        <v>0</v>
      </c>
      <c r="Q2034">
        <v>0</v>
      </c>
      <c r="R2034" t="b">
        <v>0</v>
      </c>
    </row>
    <row r="2035" spans="1:18">
      <c r="A2035" t="s">
        <v>1191</v>
      </c>
      <c r="B2035" t="s">
        <v>5211</v>
      </c>
      <c r="C2035" t="s">
        <v>5212</v>
      </c>
      <c r="E2035">
        <v>3</v>
      </c>
      <c r="F2035">
        <v>4</v>
      </c>
      <c r="G2035">
        <v>0</v>
      </c>
      <c r="H2035">
        <v>0</v>
      </c>
      <c r="J2035" t="s">
        <v>22</v>
      </c>
      <c r="K2035" t="b">
        <v>1</v>
      </c>
      <c r="L2035">
        <f t="shared" si="31"/>
        <v>3</v>
      </c>
      <c r="M2035">
        <f t="shared" si="31"/>
        <v>4</v>
      </c>
      <c r="N2035" t="b">
        <v>0</v>
      </c>
      <c r="O2035">
        <v>1</v>
      </c>
      <c r="P2035" t="s">
        <v>5213</v>
      </c>
      <c r="Q2035">
        <v>2</v>
      </c>
      <c r="R2035" t="b">
        <v>1</v>
      </c>
    </row>
    <row r="2036" spans="1:18">
      <c r="A2036" t="s">
        <v>1191</v>
      </c>
      <c r="B2036" t="s">
        <v>5214</v>
      </c>
      <c r="C2036" t="s">
        <v>5215</v>
      </c>
      <c r="E2036">
        <v>3</v>
      </c>
      <c r="F2036">
        <v>0</v>
      </c>
      <c r="G2036">
        <v>0</v>
      </c>
      <c r="H2036">
        <v>0</v>
      </c>
      <c r="J2036" t="s">
        <v>22</v>
      </c>
      <c r="K2036" t="b">
        <v>1</v>
      </c>
      <c r="L2036">
        <f t="shared" si="31"/>
        <v>3</v>
      </c>
      <c r="M2036">
        <f t="shared" si="31"/>
        <v>0</v>
      </c>
      <c r="N2036" t="b">
        <v>0</v>
      </c>
      <c r="O2036">
        <v>1</v>
      </c>
      <c r="P2036" t="s">
        <v>5216</v>
      </c>
      <c r="Q2036">
        <v>2</v>
      </c>
      <c r="R2036" t="b">
        <v>1</v>
      </c>
    </row>
    <row r="2037" spans="1:18">
      <c r="A2037" t="s">
        <v>1191</v>
      </c>
      <c r="B2037" t="s">
        <v>5217</v>
      </c>
      <c r="C2037" t="s">
        <v>5218</v>
      </c>
      <c r="E2037">
        <v>1</v>
      </c>
      <c r="F2037">
        <v>3</v>
      </c>
      <c r="G2037">
        <v>2</v>
      </c>
      <c r="H2037">
        <v>8</v>
      </c>
      <c r="J2037" t="s">
        <v>22</v>
      </c>
      <c r="K2037" t="b">
        <v>1</v>
      </c>
      <c r="L2037">
        <f t="shared" si="31"/>
        <v>3</v>
      </c>
      <c r="M2037">
        <f t="shared" si="31"/>
        <v>11</v>
      </c>
      <c r="N2037" t="b">
        <v>0</v>
      </c>
      <c r="O2037">
        <v>1</v>
      </c>
      <c r="P2037" t="s">
        <v>5219</v>
      </c>
      <c r="Q2037">
        <v>2</v>
      </c>
      <c r="R2037" t="b">
        <v>1</v>
      </c>
    </row>
    <row r="2038" spans="1:18">
      <c r="A2038" t="s">
        <v>1191</v>
      </c>
      <c r="B2038" t="s">
        <v>5220</v>
      </c>
      <c r="C2038" t="s">
        <v>5221</v>
      </c>
      <c r="E2038">
        <v>2</v>
      </c>
      <c r="F2038">
        <v>4</v>
      </c>
      <c r="G2038">
        <v>1</v>
      </c>
      <c r="H2038">
        <v>2</v>
      </c>
      <c r="J2038" t="s">
        <v>22</v>
      </c>
      <c r="K2038" t="b">
        <v>1</v>
      </c>
      <c r="L2038">
        <f t="shared" si="31"/>
        <v>3</v>
      </c>
      <c r="M2038">
        <f t="shared" si="31"/>
        <v>6</v>
      </c>
      <c r="N2038" t="b">
        <v>0</v>
      </c>
      <c r="O2038">
        <v>1</v>
      </c>
      <c r="P2038" t="s">
        <v>5222</v>
      </c>
      <c r="Q2038">
        <v>2</v>
      </c>
      <c r="R2038" t="b">
        <v>1</v>
      </c>
    </row>
    <row r="2039" spans="1:18">
      <c r="A2039" t="s">
        <v>1191</v>
      </c>
      <c r="B2039" t="s">
        <v>5223</v>
      </c>
      <c r="C2039" t="s">
        <v>5224</v>
      </c>
      <c r="E2039">
        <v>2</v>
      </c>
      <c r="F2039">
        <v>4</v>
      </c>
      <c r="G2039">
        <v>1</v>
      </c>
      <c r="H2039">
        <v>2</v>
      </c>
      <c r="J2039" t="s">
        <v>22</v>
      </c>
      <c r="K2039" t="b">
        <v>1</v>
      </c>
      <c r="L2039">
        <f t="shared" si="31"/>
        <v>3</v>
      </c>
      <c r="M2039">
        <f t="shared" si="31"/>
        <v>6</v>
      </c>
      <c r="N2039" t="b">
        <v>0</v>
      </c>
      <c r="O2039">
        <v>1</v>
      </c>
      <c r="P2039" t="s">
        <v>5225</v>
      </c>
      <c r="Q2039">
        <v>2</v>
      </c>
      <c r="R2039" t="b">
        <v>1</v>
      </c>
    </row>
    <row r="2040" spans="1:18">
      <c r="A2040" t="s">
        <v>1191</v>
      </c>
      <c r="B2040" t="s">
        <v>5226</v>
      </c>
      <c r="C2040" t="s">
        <v>5227</v>
      </c>
      <c r="E2040">
        <v>2</v>
      </c>
      <c r="F2040">
        <v>6</v>
      </c>
      <c r="G2040">
        <v>1</v>
      </c>
      <c r="H2040">
        <v>3</v>
      </c>
      <c r="J2040" t="s">
        <v>22</v>
      </c>
      <c r="K2040" t="b">
        <v>1</v>
      </c>
      <c r="L2040">
        <f t="shared" si="31"/>
        <v>3</v>
      </c>
      <c r="M2040">
        <f t="shared" si="31"/>
        <v>9</v>
      </c>
      <c r="N2040" t="b">
        <v>0</v>
      </c>
      <c r="O2040">
        <v>1</v>
      </c>
      <c r="P2040" t="s">
        <v>5228</v>
      </c>
      <c r="Q2040">
        <v>2</v>
      </c>
      <c r="R2040" t="b">
        <v>1</v>
      </c>
    </row>
    <row r="2041" spans="1:18">
      <c r="A2041" t="s">
        <v>1191</v>
      </c>
      <c r="B2041" t="s">
        <v>5229</v>
      </c>
      <c r="C2041" t="s">
        <v>5230</v>
      </c>
      <c r="E2041">
        <v>2</v>
      </c>
      <c r="F2041">
        <v>6</v>
      </c>
      <c r="G2041">
        <v>1</v>
      </c>
      <c r="H2041">
        <v>3</v>
      </c>
      <c r="J2041" t="s">
        <v>22</v>
      </c>
      <c r="K2041" t="b">
        <v>1</v>
      </c>
      <c r="L2041">
        <f t="shared" si="31"/>
        <v>3</v>
      </c>
      <c r="M2041">
        <f t="shared" si="31"/>
        <v>9</v>
      </c>
      <c r="N2041" t="b">
        <v>0</v>
      </c>
      <c r="O2041">
        <v>1</v>
      </c>
      <c r="P2041" t="s">
        <v>5231</v>
      </c>
      <c r="Q2041">
        <v>2</v>
      </c>
      <c r="R2041" t="b">
        <v>1</v>
      </c>
    </row>
    <row r="2042" spans="1:18">
      <c r="A2042" t="s">
        <v>1191</v>
      </c>
      <c r="B2042" t="s">
        <v>5232</v>
      </c>
      <c r="C2042" t="s">
        <v>5233</v>
      </c>
      <c r="E2042">
        <v>2</v>
      </c>
      <c r="F2042">
        <v>1</v>
      </c>
      <c r="G2042">
        <v>1</v>
      </c>
      <c r="H2042">
        <v>4</v>
      </c>
      <c r="J2042" t="s">
        <v>22</v>
      </c>
      <c r="K2042" t="b">
        <v>1</v>
      </c>
      <c r="L2042">
        <f t="shared" si="31"/>
        <v>3</v>
      </c>
      <c r="M2042">
        <f t="shared" si="31"/>
        <v>5</v>
      </c>
      <c r="N2042" t="b">
        <v>0</v>
      </c>
      <c r="O2042">
        <v>1</v>
      </c>
      <c r="P2042" t="s">
        <v>5234</v>
      </c>
      <c r="Q2042">
        <v>2</v>
      </c>
      <c r="R2042" t="b">
        <v>1</v>
      </c>
    </row>
    <row r="2043" spans="1:18">
      <c r="A2043" t="s">
        <v>857</v>
      </c>
      <c r="B2043" t="s">
        <v>5235</v>
      </c>
      <c r="C2043" t="s">
        <v>5236</v>
      </c>
      <c r="E2043">
        <v>2</v>
      </c>
      <c r="F2043">
        <v>3</v>
      </c>
      <c r="G2043">
        <v>1</v>
      </c>
      <c r="H2043">
        <v>1</v>
      </c>
      <c r="J2043" t="s">
        <v>22</v>
      </c>
      <c r="K2043" t="b">
        <v>1</v>
      </c>
      <c r="L2043">
        <f t="shared" si="31"/>
        <v>3</v>
      </c>
      <c r="M2043">
        <f t="shared" si="31"/>
        <v>4</v>
      </c>
      <c r="N2043" t="b">
        <v>0</v>
      </c>
      <c r="O2043">
        <v>1</v>
      </c>
      <c r="P2043" t="s">
        <v>5237</v>
      </c>
      <c r="Q2043">
        <v>2</v>
      </c>
      <c r="R2043" t="b">
        <v>1</v>
      </c>
    </row>
    <row r="2044" spans="1:18">
      <c r="A2044" t="s">
        <v>857</v>
      </c>
      <c r="B2044" t="s">
        <v>5238</v>
      </c>
      <c r="C2044" t="s">
        <v>5239</v>
      </c>
      <c r="E2044">
        <v>1</v>
      </c>
      <c r="F2044">
        <v>1</v>
      </c>
      <c r="G2044">
        <v>2</v>
      </c>
      <c r="H2044">
        <v>2</v>
      </c>
      <c r="J2044" t="s">
        <v>22</v>
      </c>
      <c r="K2044" t="b">
        <v>1</v>
      </c>
      <c r="L2044">
        <f t="shared" si="31"/>
        <v>3</v>
      </c>
      <c r="M2044">
        <f t="shared" si="31"/>
        <v>3</v>
      </c>
      <c r="N2044" t="b">
        <v>0</v>
      </c>
      <c r="O2044">
        <v>1</v>
      </c>
      <c r="P2044" t="s">
        <v>5240</v>
      </c>
      <c r="Q2044">
        <v>2</v>
      </c>
      <c r="R2044" t="b">
        <v>1</v>
      </c>
    </row>
    <row r="2045" spans="1:18" hidden="1">
      <c r="A2045" t="s">
        <v>857</v>
      </c>
      <c r="B2045" t="s">
        <v>5241</v>
      </c>
      <c r="C2045" t="s">
        <v>5242</v>
      </c>
      <c r="E2045">
        <v>1</v>
      </c>
      <c r="F2045">
        <v>1</v>
      </c>
      <c r="G2045">
        <v>2</v>
      </c>
      <c r="H2045">
        <v>2</v>
      </c>
      <c r="J2045" t="s">
        <v>93</v>
      </c>
      <c r="K2045" t="b">
        <v>1</v>
      </c>
      <c r="L2045">
        <f t="shared" si="31"/>
        <v>3</v>
      </c>
      <c r="M2045">
        <f t="shared" si="31"/>
        <v>3</v>
      </c>
      <c r="N2045" t="b">
        <v>0</v>
      </c>
      <c r="O2045">
        <v>0.5</v>
      </c>
      <c r="P2045" t="s">
        <v>988</v>
      </c>
      <c r="Q2045">
        <v>2</v>
      </c>
      <c r="R2045" t="b">
        <v>1</v>
      </c>
    </row>
    <row r="2046" spans="1:18">
      <c r="A2046" t="s">
        <v>857</v>
      </c>
      <c r="B2046" t="s">
        <v>5243</v>
      </c>
      <c r="C2046" t="s">
        <v>5244</v>
      </c>
      <c r="E2046">
        <v>1</v>
      </c>
      <c r="F2046">
        <v>1</v>
      </c>
      <c r="G2046">
        <v>2</v>
      </c>
      <c r="H2046">
        <v>2</v>
      </c>
      <c r="J2046" t="s">
        <v>22</v>
      </c>
      <c r="K2046" t="b">
        <v>1</v>
      </c>
      <c r="L2046">
        <f t="shared" si="31"/>
        <v>3</v>
      </c>
      <c r="M2046">
        <f t="shared" si="31"/>
        <v>3</v>
      </c>
      <c r="N2046" t="b">
        <v>0</v>
      </c>
      <c r="O2046">
        <v>1</v>
      </c>
      <c r="P2046" t="s">
        <v>5245</v>
      </c>
      <c r="Q2046">
        <v>2</v>
      </c>
      <c r="R2046" t="b">
        <v>1</v>
      </c>
    </row>
    <row r="2047" spans="1:18">
      <c r="A2047" t="s">
        <v>857</v>
      </c>
      <c r="B2047" t="s">
        <v>5246</v>
      </c>
      <c r="C2047" t="s">
        <v>5247</v>
      </c>
      <c r="E2047">
        <v>1</v>
      </c>
      <c r="F2047">
        <v>1</v>
      </c>
      <c r="G2047">
        <v>2</v>
      </c>
      <c r="H2047">
        <v>2</v>
      </c>
      <c r="J2047" t="s">
        <v>22</v>
      </c>
      <c r="K2047" t="b">
        <v>1</v>
      </c>
      <c r="L2047">
        <f t="shared" si="31"/>
        <v>3</v>
      </c>
      <c r="M2047">
        <f t="shared" si="31"/>
        <v>3</v>
      </c>
      <c r="N2047" t="b">
        <v>0</v>
      </c>
      <c r="O2047">
        <v>0</v>
      </c>
      <c r="Q2047">
        <v>0</v>
      </c>
      <c r="R2047" t="b">
        <v>0</v>
      </c>
    </row>
    <row r="2048" spans="1:18">
      <c r="A2048" t="s">
        <v>857</v>
      </c>
      <c r="B2048" t="s">
        <v>5248</v>
      </c>
      <c r="C2048" t="s">
        <v>5249</v>
      </c>
      <c r="E2048">
        <v>1</v>
      </c>
      <c r="F2048">
        <v>1</v>
      </c>
      <c r="G2048">
        <v>2</v>
      </c>
      <c r="H2048">
        <v>2</v>
      </c>
      <c r="J2048" t="s">
        <v>22</v>
      </c>
      <c r="K2048" t="b">
        <v>1</v>
      </c>
      <c r="L2048">
        <f t="shared" si="31"/>
        <v>3</v>
      </c>
      <c r="M2048">
        <f t="shared" si="31"/>
        <v>3</v>
      </c>
      <c r="N2048" t="b">
        <v>0</v>
      </c>
      <c r="O2048">
        <v>0</v>
      </c>
      <c r="Q2048">
        <v>0</v>
      </c>
      <c r="R2048" t="b">
        <v>0</v>
      </c>
    </row>
    <row r="2049" spans="1:18">
      <c r="A2049" t="s">
        <v>857</v>
      </c>
      <c r="B2049" t="s">
        <v>5250</v>
      </c>
      <c r="C2049" t="s">
        <v>5251</v>
      </c>
      <c r="E2049">
        <v>1</v>
      </c>
      <c r="F2049">
        <v>1</v>
      </c>
      <c r="G2049">
        <v>2</v>
      </c>
      <c r="H2049">
        <v>2</v>
      </c>
      <c r="J2049" t="s">
        <v>22</v>
      </c>
      <c r="K2049" t="b">
        <v>1</v>
      </c>
      <c r="L2049">
        <f t="shared" si="31"/>
        <v>3</v>
      </c>
      <c r="M2049">
        <f t="shared" si="31"/>
        <v>3</v>
      </c>
      <c r="N2049" t="b">
        <v>0</v>
      </c>
      <c r="O2049">
        <v>1</v>
      </c>
      <c r="P2049" t="s">
        <v>5252</v>
      </c>
      <c r="Q2049">
        <v>2</v>
      </c>
      <c r="R2049" t="b">
        <v>1</v>
      </c>
    </row>
    <row r="2050" spans="1:18" hidden="1">
      <c r="A2050" t="s">
        <v>857</v>
      </c>
      <c r="B2050" t="s">
        <v>5253</v>
      </c>
      <c r="C2050" t="s">
        <v>5254</v>
      </c>
      <c r="E2050">
        <v>1</v>
      </c>
      <c r="F2050">
        <v>1</v>
      </c>
      <c r="G2050">
        <v>2</v>
      </c>
      <c r="H2050">
        <v>2</v>
      </c>
      <c r="J2050" t="s">
        <v>93</v>
      </c>
      <c r="K2050" t="b">
        <v>1</v>
      </c>
      <c r="L2050">
        <f t="shared" si="31"/>
        <v>3</v>
      </c>
      <c r="M2050">
        <f t="shared" si="31"/>
        <v>3</v>
      </c>
      <c r="N2050" t="b">
        <v>0</v>
      </c>
      <c r="O2050">
        <v>0</v>
      </c>
      <c r="Q2050">
        <v>0</v>
      </c>
      <c r="R2050" t="b">
        <v>0</v>
      </c>
    </row>
    <row r="2051" spans="1:18" hidden="1">
      <c r="A2051" t="s">
        <v>836</v>
      </c>
      <c r="B2051" t="s">
        <v>5255</v>
      </c>
      <c r="C2051" t="s">
        <v>5256</v>
      </c>
      <c r="E2051">
        <v>1</v>
      </c>
      <c r="F2051">
        <v>1</v>
      </c>
      <c r="G2051">
        <v>2</v>
      </c>
      <c r="H2051">
        <v>2</v>
      </c>
      <c r="J2051" t="s">
        <v>93</v>
      </c>
      <c r="K2051" t="b">
        <v>1</v>
      </c>
      <c r="L2051">
        <f t="shared" ref="L2051:M2114" si="32">E2051+G2051</f>
        <v>3</v>
      </c>
      <c r="M2051">
        <f t="shared" si="32"/>
        <v>3</v>
      </c>
      <c r="N2051" t="b">
        <v>0</v>
      </c>
      <c r="O2051">
        <v>0</v>
      </c>
      <c r="Q2051">
        <v>0</v>
      </c>
      <c r="R2051" t="b">
        <v>0</v>
      </c>
    </row>
    <row r="2052" spans="1:18" hidden="1">
      <c r="A2052" t="s">
        <v>836</v>
      </c>
      <c r="B2052" t="s">
        <v>5257</v>
      </c>
      <c r="C2052" t="s">
        <v>5258</v>
      </c>
      <c r="E2052">
        <v>1</v>
      </c>
      <c r="F2052">
        <v>1</v>
      </c>
      <c r="G2052">
        <v>2</v>
      </c>
      <c r="H2052">
        <v>2</v>
      </c>
      <c r="J2052" t="s">
        <v>93</v>
      </c>
      <c r="K2052" t="b">
        <v>1</v>
      </c>
      <c r="L2052">
        <f t="shared" si="32"/>
        <v>3</v>
      </c>
      <c r="M2052">
        <f t="shared" si="32"/>
        <v>3</v>
      </c>
      <c r="N2052" t="b">
        <v>0</v>
      </c>
      <c r="O2052">
        <v>0</v>
      </c>
      <c r="Q2052">
        <v>0</v>
      </c>
      <c r="R2052" t="b">
        <v>0</v>
      </c>
    </row>
    <row r="2053" spans="1:18" hidden="1">
      <c r="A2053" t="s">
        <v>836</v>
      </c>
      <c r="B2053" t="s">
        <v>5259</v>
      </c>
      <c r="C2053" t="s">
        <v>5260</v>
      </c>
      <c r="E2053">
        <v>1</v>
      </c>
      <c r="F2053">
        <v>1</v>
      </c>
      <c r="G2053">
        <v>2</v>
      </c>
      <c r="H2053">
        <v>2</v>
      </c>
      <c r="J2053" t="s">
        <v>93</v>
      </c>
      <c r="K2053" t="b">
        <v>1</v>
      </c>
      <c r="L2053">
        <f t="shared" si="32"/>
        <v>3</v>
      </c>
      <c r="M2053">
        <f t="shared" si="32"/>
        <v>3</v>
      </c>
      <c r="N2053" t="b">
        <v>0</v>
      </c>
      <c r="O2053">
        <v>0</v>
      </c>
      <c r="Q2053">
        <v>0</v>
      </c>
      <c r="R2053" t="b">
        <v>0</v>
      </c>
    </row>
    <row r="2054" spans="1:18" hidden="1">
      <c r="A2054" t="s">
        <v>836</v>
      </c>
      <c r="B2054" t="s">
        <v>5261</v>
      </c>
      <c r="C2054" t="s">
        <v>5262</v>
      </c>
      <c r="E2054">
        <v>1</v>
      </c>
      <c r="F2054">
        <v>1</v>
      </c>
      <c r="G2054">
        <v>2</v>
      </c>
      <c r="H2054">
        <v>2</v>
      </c>
      <c r="J2054" t="s">
        <v>93</v>
      </c>
      <c r="K2054" t="b">
        <v>1</v>
      </c>
      <c r="L2054">
        <f t="shared" si="32"/>
        <v>3</v>
      </c>
      <c r="M2054">
        <f t="shared" si="32"/>
        <v>3</v>
      </c>
      <c r="N2054" t="b">
        <v>0</v>
      </c>
      <c r="O2054">
        <v>0</v>
      </c>
      <c r="Q2054">
        <v>0</v>
      </c>
      <c r="R2054" t="b">
        <v>0</v>
      </c>
    </row>
    <row r="2055" spans="1:18" hidden="1">
      <c r="A2055" t="s">
        <v>836</v>
      </c>
      <c r="B2055" t="s">
        <v>5263</v>
      </c>
      <c r="C2055" t="s">
        <v>5264</v>
      </c>
      <c r="E2055">
        <v>1</v>
      </c>
      <c r="F2055">
        <v>1</v>
      </c>
      <c r="G2055">
        <v>2</v>
      </c>
      <c r="H2055">
        <v>2</v>
      </c>
      <c r="J2055" t="s">
        <v>93</v>
      </c>
      <c r="K2055" t="b">
        <v>1</v>
      </c>
      <c r="L2055">
        <f t="shared" si="32"/>
        <v>3</v>
      </c>
      <c r="M2055">
        <f t="shared" si="32"/>
        <v>3</v>
      </c>
      <c r="N2055" t="b">
        <v>0</v>
      </c>
      <c r="O2055">
        <v>0</v>
      </c>
      <c r="Q2055">
        <v>0</v>
      </c>
      <c r="R2055" t="b">
        <v>0</v>
      </c>
    </row>
    <row r="2056" spans="1:18" hidden="1">
      <c r="A2056" t="s">
        <v>2300</v>
      </c>
      <c r="B2056" t="s">
        <v>5265</v>
      </c>
      <c r="C2056" t="s">
        <v>5266</v>
      </c>
      <c r="E2056">
        <v>2</v>
      </c>
      <c r="F2056">
        <v>0</v>
      </c>
      <c r="G2056">
        <v>1</v>
      </c>
      <c r="H2056">
        <v>1</v>
      </c>
      <c r="J2056" t="s">
        <v>93</v>
      </c>
      <c r="K2056" t="b">
        <v>0</v>
      </c>
      <c r="L2056">
        <f t="shared" si="32"/>
        <v>3</v>
      </c>
      <c r="M2056">
        <f t="shared" si="32"/>
        <v>1</v>
      </c>
      <c r="N2056" t="b">
        <v>1</v>
      </c>
      <c r="O2056">
        <v>0</v>
      </c>
      <c r="Q2056">
        <v>0</v>
      </c>
      <c r="R2056" t="b">
        <v>0</v>
      </c>
    </row>
    <row r="2057" spans="1:18">
      <c r="A2057" t="s">
        <v>3627</v>
      </c>
      <c r="B2057" t="s">
        <v>5267</v>
      </c>
      <c r="C2057" t="s">
        <v>5268</v>
      </c>
      <c r="E2057">
        <v>2</v>
      </c>
      <c r="F2057">
        <v>1005</v>
      </c>
      <c r="G2057">
        <v>1</v>
      </c>
      <c r="H2057">
        <v>23</v>
      </c>
      <c r="J2057" t="s">
        <v>22</v>
      </c>
      <c r="K2057" t="b">
        <v>1</v>
      </c>
      <c r="L2057">
        <f t="shared" si="32"/>
        <v>3</v>
      </c>
      <c r="M2057">
        <f t="shared" si="32"/>
        <v>1028</v>
      </c>
      <c r="N2057" t="b">
        <v>0</v>
      </c>
      <c r="O2057">
        <v>1</v>
      </c>
      <c r="P2057" t="s">
        <v>5269</v>
      </c>
      <c r="Q2057">
        <v>2</v>
      </c>
      <c r="R2057" t="b">
        <v>1</v>
      </c>
    </row>
    <row r="2058" spans="1:18">
      <c r="A2058" t="s">
        <v>3627</v>
      </c>
      <c r="B2058" t="s">
        <v>5270</v>
      </c>
      <c r="C2058" t="s">
        <v>5271</v>
      </c>
      <c r="E2058">
        <v>3</v>
      </c>
      <c r="F2058">
        <v>3</v>
      </c>
      <c r="G2058">
        <v>0</v>
      </c>
      <c r="H2058">
        <v>0</v>
      </c>
      <c r="J2058" t="s">
        <v>22</v>
      </c>
      <c r="K2058" t="b">
        <v>1</v>
      </c>
      <c r="L2058">
        <f t="shared" si="32"/>
        <v>3</v>
      </c>
      <c r="M2058">
        <f t="shared" si="32"/>
        <v>3</v>
      </c>
      <c r="N2058" t="b">
        <v>0</v>
      </c>
      <c r="O2058">
        <v>1</v>
      </c>
      <c r="P2058" t="s">
        <v>5272</v>
      </c>
      <c r="Q2058">
        <v>2</v>
      </c>
      <c r="R2058" t="b">
        <v>1</v>
      </c>
    </row>
    <row r="2059" spans="1:18">
      <c r="A2059" t="s">
        <v>3627</v>
      </c>
      <c r="B2059" t="s">
        <v>5273</v>
      </c>
      <c r="C2059" t="s">
        <v>5274</v>
      </c>
      <c r="E2059">
        <v>2</v>
      </c>
      <c r="F2059">
        <v>39</v>
      </c>
      <c r="G2059">
        <v>1</v>
      </c>
      <c r="H2059">
        <v>3</v>
      </c>
      <c r="J2059" t="s">
        <v>22</v>
      </c>
      <c r="K2059" t="b">
        <v>1</v>
      </c>
      <c r="L2059">
        <f t="shared" si="32"/>
        <v>3</v>
      </c>
      <c r="M2059">
        <f t="shared" si="32"/>
        <v>42</v>
      </c>
      <c r="N2059" t="b">
        <v>0</v>
      </c>
      <c r="O2059">
        <v>1</v>
      </c>
      <c r="P2059" t="s">
        <v>5275</v>
      </c>
      <c r="Q2059">
        <v>2</v>
      </c>
      <c r="R2059" t="b">
        <v>1</v>
      </c>
    </row>
    <row r="2060" spans="1:18">
      <c r="A2060" t="s">
        <v>1224</v>
      </c>
      <c r="B2060" t="s">
        <v>5276</v>
      </c>
      <c r="C2060" t="s">
        <v>5277</v>
      </c>
      <c r="E2060">
        <v>1</v>
      </c>
      <c r="F2060">
        <v>2</v>
      </c>
      <c r="G2060">
        <v>2</v>
      </c>
      <c r="H2060">
        <v>9</v>
      </c>
      <c r="J2060" t="s">
        <v>22</v>
      </c>
      <c r="K2060" t="b">
        <v>1</v>
      </c>
      <c r="L2060">
        <f t="shared" si="32"/>
        <v>3</v>
      </c>
      <c r="M2060">
        <f t="shared" si="32"/>
        <v>11</v>
      </c>
      <c r="N2060" t="b">
        <v>0</v>
      </c>
      <c r="O2060">
        <v>1</v>
      </c>
      <c r="P2060" t="s">
        <v>5278</v>
      </c>
      <c r="Q2060">
        <v>2</v>
      </c>
      <c r="R2060" t="b">
        <v>1</v>
      </c>
    </row>
    <row r="2061" spans="1:18">
      <c r="A2061" t="s">
        <v>24</v>
      </c>
      <c r="B2061" t="s">
        <v>5279</v>
      </c>
      <c r="C2061" t="s">
        <v>5280</v>
      </c>
      <c r="E2061">
        <v>1</v>
      </c>
      <c r="F2061">
        <v>351</v>
      </c>
      <c r="G2061">
        <v>2</v>
      </c>
      <c r="H2061">
        <v>14</v>
      </c>
      <c r="J2061" t="s">
        <v>22</v>
      </c>
      <c r="K2061" t="b">
        <v>1</v>
      </c>
      <c r="L2061">
        <f t="shared" si="32"/>
        <v>3</v>
      </c>
      <c r="M2061">
        <f t="shared" si="32"/>
        <v>365</v>
      </c>
      <c r="N2061" t="b">
        <v>0</v>
      </c>
      <c r="O2061">
        <v>1</v>
      </c>
      <c r="P2061" t="s">
        <v>5281</v>
      </c>
      <c r="Q2061">
        <v>2</v>
      </c>
      <c r="R2061" t="b">
        <v>1</v>
      </c>
    </row>
    <row r="2062" spans="1:18">
      <c r="A2062" t="s">
        <v>24</v>
      </c>
      <c r="B2062" t="s">
        <v>5282</v>
      </c>
      <c r="C2062" t="s">
        <v>5283</v>
      </c>
      <c r="E2062">
        <v>3</v>
      </c>
      <c r="F2062">
        <v>9</v>
      </c>
      <c r="G2062">
        <v>0</v>
      </c>
      <c r="H2062">
        <v>0</v>
      </c>
      <c r="J2062" t="s">
        <v>22</v>
      </c>
      <c r="K2062" t="b">
        <v>1</v>
      </c>
      <c r="L2062">
        <f t="shared" si="32"/>
        <v>3</v>
      </c>
      <c r="M2062">
        <f t="shared" si="32"/>
        <v>9</v>
      </c>
      <c r="N2062" t="b">
        <v>0</v>
      </c>
      <c r="O2062">
        <v>1</v>
      </c>
      <c r="P2062" t="s">
        <v>4905</v>
      </c>
      <c r="Q2062">
        <v>2</v>
      </c>
      <c r="R2062" t="b">
        <v>1</v>
      </c>
    </row>
    <row r="2063" spans="1:18">
      <c r="A2063" t="s">
        <v>24</v>
      </c>
      <c r="B2063" t="s">
        <v>5284</v>
      </c>
      <c r="C2063" t="s">
        <v>5285</v>
      </c>
      <c r="E2063">
        <v>3</v>
      </c>
      <c r="F2063">
        <v>0</v>
      </c>
      <c r="G2063">
        <v>0</v>
      </c>
      <c r="H2063">
        <v>0</v>
      </c>
      <c r="J2063" t="s">
        <v>22</v>
      </c>
      <c r="K2063" t="b">
        <v>1</v>
      </c>
      <c r="L2063">
        <f t="shared" si="32"/>
        <v>3</v>
      </c>
      <c r="M2063">
        <f t="shared" si="32"/>
        <v>0</v>
      </c>
      <c r="N2063" t="b">
        <v>0</v>
      </c>
      <c r="O2063">
        <v>0</v>
      </c>
      <c r="Q2063">
        <v>0</v>
      </c>
      <c r="R2063" t="b">
        <v>0</v>
      </c>
    </row>
    <row r="2064" spans="1:18" hidden="1">
      <c r="A2064" t="s">
        <v>1304</v>
      </c>
      <c r="B2064" t="s">
        <v>5286</v>
      </c>
      <c r="C2064" t="s">
        <v>5287</v>
      </c>
      <c r="E2064">
        <v>2</v>
      </c>
      <c r="F2064">
        <v>941</v>
      </c>
      <c r="G2064">
        <v>1</v>
      </c>
      <c r="H2064">
        <v>2</v>
      </c>
      <c r="J2064" t="s">
        <v>93</v>
      </c>
      <c r="K2064" t="b">
        <v>0</v>
      </c>
      <c r="L2064">
        <f t="shared" si="32"/>
        <v>3</v>
      </c>
      <c r="M2064">
        <f t="shared" si="32"/>
        <v>943</v>
      </c>
      <c r="N2064" t="b">
        <v>0</v>
      </c>
      <c r="O2064">
        <v>0</v>
      </c>
      <c r="Q2064">
        <v>0</v>
      </c>
      <c r="R2064" t="b">
        <v>0</v>
      </c>
    </row>
    <row r="2065" spans="1:18" hidden="1">
      <c r="A2065" t="s">
        <v>24</v>
      </c>
      <c r="B2065" t="s">
        <v>5288</v>
      </c>
      <c r="C2065" t="s">
        <v>5289</v>
      </c>
      <c r="E2065">
        <v>1</v>
      </c>
      <c r="F2065">
        <v>1</v>
      </c>
      <c r="G2065">
        <v>2</v>
      </c>
      <c r="H2065">
        <v>2</v>
      </c>
      <c r="J2065" t="s">
        <v>93</v>
      </c>
      <c r="K2065" t="b">
        <v>1</v>
      </c>
      <c r="L2065">
        <f t="shared" si="32"/>
        <v>3</v>
      </c>
      <c r="M2065">
        <f t="shared" si="32"/>
        <v>3</v>
      </c>
      <c r="N2065" t="b">
        <v>0</v>
      </c>
      <c r="O2065">
        <v>0</v>
      </c>
      <c r="Q2065">
        <v>0</v>
      </c>
      <c r="R2065" t="b">
        <v>0</v>
      </c>
    </row>
    <row r="2066" spans="1:18" hidden="1">
      <c r="A2066" t="s">
        <v>1304</v>
      </c>
      <c r="B2066" t="s">
        <v>5290</v>
      </c>
      <c r="C2066" t="s">
        <v>5291</v>
      </c>
      <c r="E2066">
        <v>2</v>
      </c>
      <c r="F2066">
        <v>923</v>
      </c>
      <c r="G2066">
        <v>1</v>
      </c>
      <c r="H2066">
        <v>2</v>
      </c>
      <c r="J2066" t="s">
        <v>93</v>
      </c>
      <c r="K2066" t="b">
        <v>0</v>
      </c>
      <c r="L2066">
        <f t="shared" si="32"/>
        <v>3</v>
      </c>
      <c r="M2066">
        <f t="shared" si="32"/>
        <v>925</v>
      </c>
      <c r="N2066" t="b">
        <v>0</v>
      </c>
      <c r="O2066">
        <v>0</v>
      </c>
      <c r="Q2066">
        <v>0</v>
      </c>
      <c r="R2066" t="b">
        <v>0</v>
      </c>
    </row>
    <row r="2067" spans="1:18">
      <c r="A2067" t="s">
        <v>139</v>
      </c>
      <c r="B2067" t="s">
        <v>5292</v>
      </c>
      <c r="C2067" t="s">
        <v>5293</v>
      </c>
      <c r="E2067">
        <v>2</v>
      </c>
      <c r="F2067">
        <v>0</v>
      </c>
      <c r="G2067">
        <v>1</v>
      </c>
      <c r="H2067">
        <v>1</v>
      </c>
      <c r="J2067" t="s">
        <v>22</v>
      </c>
      <c r="K2067" t="b">
        <v>1</v>
      </c>
      <c r="L2067">
        <f t="shared" si="32"/>
        <v>3</v>
      </c>
      <c r="M2067">
        <f t="shared" si="32"/>
        <v>1</v>
      </c>
      <c r="N2067" t="b">
        <v>1</v>
      </c>
      <c r="O2067">
        <v>1</v>
      </c>
      <c r="P2067" t="s">
        <v>5294</v>
      </c>
      <c r="Q2067">
        <v>2</v>
      </c>
      <c r="R2067" t="b">
        <v>1</v>
      </c>
    </row>
    <row r="2068" spans="1:18">
      <c r="A2068" t="s">
        <v>205</v>
      </c>
      <c r="B2068" t="s">
        <v>5295</v>
      </c>
      <c r="C2068" t="s">
        <v>5296</v>
      </c>
      <c r="E2068">
        <v>3</v>
      </c>
      <c r="F2068">
        <v>3</v>
      </c>
      <c r="G2068">
        <v>0</v>
      </c>
      <c r="H2068">
        <v>0</v>
      </c>
      <c r="J2068" t="s">
        <v>22</v>
      </c>
      <c r="K2068" t="b">
        <v>1</v>
      </c>
      <c r="L2068">
        <f t="shared" si="32"/>
        <v>3</v>
      </c>
      <c r="M2068">
        <f t="shared" si="32"/>
        <v>3</v>
      </c>
      <c r="N2068" t="b">
        <v>0</v>
      </c>
      <c r="O2068">
        <v>1</v>
      </c>
      <c r="P2068" t="s">
        <v>5297</v>
      </c>
      <c r="Q2068">
        <v>2</v>
      </c>
      <c r="R2068" t="b">
        <v>1</v>
      </c>
    </row>
    <row r="2069" spans="1:18">
      <c r="A2069" t="s">
        <v>205</v>
      </c>
      <c r="B2069" t="s">
        <v>5298</v>
      </c>
      <c r="C2069" t="s">
        <v>5299</v>
      </c>
      <c r="E2069">
        <v>3</v>
      </c>
      <c r="F2069">
        <v>0</v>
      </c>
      <c r="G2069">
        <v>0</v>
      </c>
      <c r="H2069">
        <v>0</v>
      </c>
      <c r="J2069" t="s">
        <v>22</v>
      </c>
      <c r="K2069" t="b">
        <v>1</v>
      </c>
      <c r="L2069">
        <f t="shared" si="32"/>
        <v>3</v>
      </c>
      <c r="M2069">
        <f t="shared" si="32"/>
        <v>0</v>
      </c>
      <c r="N2069" t="b">
        <v>0</v>
      </c>
      <c r="O2069">
        <v>1</v>
      </c>
      <c r="P2069" t="s">
        <v>5300</v>
      </c>
      <c r="Q2069">
        <v>2</v>
      </c>
      <c r="R2069" t="b">
        <v>1</v>
      </c>
    </row>
    <row r="2070" spans="1:18">
      <c r="A2070" t="s">
        <v>205</v>
      </c>
      <c r="B2070" t="s">
        <v>5301</v>
      </c>
      <c r="C2070" t="s">
        <v>5302</v>
      </c>
      <c r="E2070">
        <v>3</v>
      </c>
      <c r="F2070">
        <v>0</v>
      </c>
      <c r="G2070">
        <v>0</v>
      </c>
      <c r="H2070">
        <v>0</v>
      </c>
      <c r="J2070" t="s">
        <v>22</v>
      </c>
      <c r="K2070" t="b">
        <v>1</v>
      </c>
      <c r="L2070">
        <f t="shared" si="32"/>
        <v>3</v>
      </c>
      <c r="M2070">
        <f t="shared" si="32"/>
        <v>0</v>
      </c>
      <c r="N2070" t="b">
        <v>0</v>
      </c>
      <c r="O2070">
        <v>1</v>
      </c>
      <c r="P2070" t="s">
        <v>5303</v>
      </c>
      <c r="Q2070">
        <v>2</v>
      </c>
      <c r="R2070" t="b">
        <v>1</v>
      </c>
    </row>
    <row r="2071" spans="1:18">
      <c r="A2071" t="s">
        <v>205</v>
      </c>
      <c r="B2071" t="s">
        <v>5304</v>
      </c>
      <c r="C2071" t="s">
        <v>5305</v>
      </c>
      <c r="E2071">
        <v>3</v>
      </c>
      <c r="F2071">
        <v>0</v>
      </c>
      <c r="G2071">
        <v>0</v>
      </c>
      <c r="H2071">
        <v>0</v>
      </c>
      <c r="J2071" t="s">
        <v>22</v>
      </c>
      <c r="K2071" t="b">
        <v>1</v>
      </c>
      <c r="L2071">
        <f t="shared" si="32"/>
        <v>3</v>
      </c>
      <c r="M2071">
        <f t="shared" si="32"/>
        <v>0</v>
      </c>
      <c r="N2071" t="b">
        <v>0</v>
      </c>
      <c r="O2071">
        <v>1</v>
      </c>
      <c r="P2071" t="s">
        <v>5306</v>
      </c>
      <c r="Q2071">
        <v>2</v>
      </c>
      <c r="R2071" t="b">
        <v>1</v>
      </c>
    </row>
    <row r="2072" spans="1:18" hidden="1">
      <c r="A2072" t="s">
        <v>205</v>
      </c>
      <c r="B2072" t="s">
        <v>5307</v>
      </c>
      <c r="C2072" t="s">
        <v>5308</v>
      </c>
      <c r="E2072">
        <v>3</v>
      </c>
      <c r="F2072">
        <v>5</v>
      </c>
      <c r="G2072">
        <v>0</v>
      </c>
      <c r="H2072">
        <v>0</v>
      </c>
      <c r="J2072" t="s">
        <v>93</v>
      </c>
      <c r="K2072" t="b">
        <v>1</v>
      </c>
      <c r="L2072">
        <f t="shared" si="32"/>
        <v>3</v>
      </c>
      <c r="M2072">
        <f t="shared" si="32"/>
        <v>5</v>
      </c>
      <c r="N2072" t="b">
        <v>0</v>
      </c>
      <c r="O2072">
        <v>0</v>
      </c>
      <c r="Q2072">
        <v>0</v>
      </c>
      <c r="R2072" t="b">
        <v>0</v>
      </c>
    </row>
    <row r="2073" spans="1:18" hidden="1">
      <c r="A2073" t="s">
        <v>205</v>
      </c>
      <c r="B2073" t="s">
        <v>5309</v>
      </c>
      <c r="C2073" t="s">
        <v>5310</v>
      </c>
      <c r="E2073">
        <v>2</v>
      </c>
      <c r="F2073">
        <v>2</v>
      </c>
      <c r="G2073">
        <v>1</v>
      </c>
      <c r="H2073">
        <v>1</v>
      </c>
      <c r="J2073" t="s">
        <v>93</v>
      </c>
      <c r="K2073" t="b">
        <v>1</v>
      </c>
      <c r="L2073">
        <f t="shared" si="32"/>
        <v>3</v>
      </c>
      <c r="M2073">
        <f t="shared" si="32"/>
        <v>3</v>
      </c>
      <c r="N2073" t="b">
        <v>0</v>
      </c>
      <c r="O2073">
        <v>0</v>
      </c>
      <c r="Q2073">
        <v>0</v>
      </c>
      <c r="R2073" t="b">
        <v>0</v>
      </c>
    </row>
    <row r="2074" spans="1:18">
      <c r="A2074" t="s">
        <v>205</v>
      </c>
      <c r="B2074" t="s">
        <v>5311</v>
      </c>
      <c r="C2074" t="s">
        <v>5312</v>
      </c>
      <c r="E2074">
        <v>2</v>
      </c>
      <c r="F2074">
        <v>1</v>
      </c>
      <c r="G2074">
        <v>1</v>
      </c>
      <c r="H2074">
        <v>3</v>
      </c>
      <c r="J2074" t="s">
        <v>22</v>
      </c>
      <c r="K2074" t="b">
        <v>1</v>
      </c>
      <c r="L2074">
        <f t="shared" si="32"/>
        <v>3</v>
      </c>
      <c r="M2074">
        <f t="shared" si="32"/>
        <v>4</v>
      </c>
      <c r="N2074" t="b">
        <v>0</v>
      </c>
      <c r="O2074">
        <v>1</v>
      </c>
      <c r="P2074" t="s">
        <v>4617</v>
      </c>
      <c r="Q2074">
        <v>2</v>
      </c>
      <c r="R2074" t="b">
        <v>1</v>
      </c>
    </row>
    <row r="2075" spans="1:18">
      <c r="A2075" t="s">
        <v>205</v>
      </c>
      <c r="B2075" t="s">
        <v>5313</v>
      </c>
      <c r="C2075" t="s">
        <v>5314</v>
      </c>
      <c r="E2075">
        <v>3</v>
      </c>
      <c r="F2075">
        <v>3</v>
      </c>
      <c r="G2075">
        <v>0</v>
      </c>
      <c r="H2075">
        <v>0</v>
      </c>
      <c r="J2075" t="s">
        <v>22</v>
      </c>
      <c r="K2075" t="b">
        <v>1</v>
      </c>
      <c r="L2075">
        <f t="shared" si="32"/>
        <v>3</v>
      </c>
      <c r="M2075">
        <f t="shared" si="32"/>
        <v>3</v>
      </c>
      <c r="N2075" t="b">
        <v>0</v>
      </c>
      <c r="O2075">
        <v>0</v>
      </c>
      <c r="Q2075">
        <v>0</v>
      </c>
      <c r="R2075" t="b">
        <v>0</v>
      </c>
    </row>
    <row r="2076" spans="1:18" hidden="1">
      <c r="A2076" t="s">
        <v>3105</v>
      </c>
      <c r="B2076" t="s">
        <v>5315</v>
      </c>
      <c r="C2076" t="s">
        <v>5316</v>
      </c>
      <c r="E2076">
        <v>2</v>
      </c>
      <c r="F2076">
        <v>3</v>
      </c>
      <c r="G2076">
        <v>1</v>
      </c>
      <c r="H2076">
        <v>2</v>
      </c>
      <c r="J2076" t="s">
        <v>93</v>
      </c>
      <c r="K2076" t="b">
        <v>1</v>
      </c>
      <c r="L2076">
        <f t="shared" si="32"/>
        <v>3</v>
      </c>
      <c r="M2076">
        <f t="shared" si="32"/>
        <v>5</v>
      </c>
      <c r="N2076" t="b">
        <v>0</v>
      </c>
      <c r="O2076">
        <v>0</v>
      </c>
      <c r="Q2076">
        <v>0</v>
      </c>
      <c r="R2076" t="b">
        <v>0</v>
      </c>
    </row>
    <row r="2077" spans="1:18" hidden="1">
      <c r="A2077" t="s">
        <v>3105</v>
      </c>
      <c r="B2077" t="s">
        <v>5317</v>
      </c>
      <c r="C2077" t="s">
        <v>5318</v>
      </c>
      <c r="E2077">
        <v>1</v>
      </c>
      <c r="F2077">
        <v>1</v>
      </c>
      <c r="G2077">
        <v>2</v>
      </c>
      <c r="H2077">
        <v>3</v>
      </c>
      <c r="J2077" t="s">
        <v>93</v>
      </c>
      <c r="K2077" t="b">
        <v>1</v>
      </c>
      <c r="L2077">
        <f t="shared" si="32"/>
        <v>3</v>
      </c>
      <c r="M2077">
        <f t="shared" si="32"/>
        <v>4</v>
      </c>
      <c r="N2077" t="b">
        <v>0</v>
      </c>
      <c r="O2077">
        <v>0</v>
      </c>
      <c r="Q2077">
        <v>0</v>
      </c>
      <c r="R2077" t="b">
        <v>0</v>
      </c>
    </row>
    <row r="2078" spans="1:18" hidden="1">
      <c r="A2078" t="s">
        <v>3105</v>
      </c>
      <c r="B2078" t="s">
        <v>5319</v>
      </c>
      <c r="C2078" t="s">
        <v>5320</v>
      </c>
      <c r="E2078">
        <v>1</v>
      </c>
      <c r="F2078">
        <v>1</v>
      </c>
      <c r="G2078">
        <v>2</v>
      </c>
      <c r="H2078">
        <v>3</v>
      </c>
      <c r="J2078" t="s">
        <v>93</v>
      </c>
      <c r="K2078" t="b">
        <v>1</v>
      </c>
      <c r="L2078">
        <f t="shared" si="32"/>
        <v>3</v>
      </c>
      <c r="M2078">
        <f t="shared" si="32"/>
        <v>4</v>
      </c>
      <c r="N2078" t="b">
        <v>0</v>
      </c>
      <c r="O2078">
        <v>0</v>
      </c>
      <c r="Q2078">
        <v>0</v>
      </c>
      <c r="R2078" t="b">
        <v>0</v>
      </c>
    </row>
    <row r="2079" spans="1:18" hidden="1">
      <c r="A2079" t="s">
        <v>3105</v>
      </c>
      <c r="B2079" t="s">
        <v>5321</v>
      </c>
      <c r="C2079" t="s">
        <v>5322</v>
      </c>
      <c r="E2079">
        <v>1</v>
      </c>
      <c r="F2079">
        <v>1</v>
      </c>
      <c r="G2079">
        <v>2</v>
      </c>
      <c r="H2079">
        <v>3</v>
      </c>
      <c r="J2079" t="s">
        <v>93</v>
      </c>
      <c r="K2079" t="b">
        <v>1</v>
      </c>
      <c r="L2079">
        <f t="shared" si="32"/>
        <v>3</v>
      </c>
      <c r="M2079">
        <f t="shared" si="32"/>
        <v>4</v>
      </c>
      <c r="N2079" t="b">
        <v>0</v>
      </c>
      <c r="O2079">
        <v>0</v>
      </c>
      <c r="Q2079">
        <v>0</v>
      </c>
      <c r="R2079" t="b">
        <v>0</v>
      </c>
    </row>
    <row r="2080" spans="1:18" hidden="1">
      <c r="A2080" t="s">
        <v>59</v>
      </c>
      <c r="B2080" t="s">
        <v>5323</v>
      </c>
      <c r="C2080" t="s">
        <v>5324</v>
      </c>
      <c r="E2080">
        <v>1</v>
      </c>
      <c r="F2080">
        <v>2</v>
      </c>
      <c r="G2080">
        <v>2</v>
      </c>
      <c r="H2080">
        <v>4</v>
      </c>
      <c r="J2080" t="s">
        <v>93</v>
      </c>
      <c r="K2080" t="b">
        <v>1</v>
      </c>
      <c r="L2080">
        <f t="shared" si="32"/>
        <v>3</v>
      </c>
      <c r="M2080">
        <f t="shared" si="32"/>
        <v>6</v>
      </c>
      <c r="N2080" t="b">
        <v>0</v>
      </c>
      <c r="O2080">
        <v>0</v>
      </c>
      <c r="Q2080">
        <v>0</v>
      </c>
      <c r="R2080" t="b">
        <v>0</v>
      </c>
    </row>
    <row r="2081" spans="1:18" hidden="1">
      <c r="A2081" t="s">
        <v>59</v>
      </c>
      <c r="B2081" t="s">
        <v>5325</v>
      </c>
      <c r="C2081" t="s">
        <v>5326</v>
      </c>
      <c r="E2081">
        <v>2</v>
      </c>
      <c r="F2081">
        <v>2</v>
      </c>
      <c r="G2081">
        <v>1</v>
      </c>
      <c r="H2081">
        <v>4</v>
      </c>
      <c r="J2081" t="s">
        <v>93</v>
      </c>
      <c r="K2081" t="b">
        <v>1</v>
      </c>
      <c r="L2081">
        <f t="shared" si="32"/>
        <v>3</v>
      </c>
      <c r="M2081">
        <f t="shared" si="32"/>
        <v>6</v>
      </c>
      <c r="N2081" t="b">
        <v>0</v>
      </c>
      <c r="O2081">
        <v>0</v>
      </c>
      <c r="Q2081">
        <v>0</v>
      </c>
      <c r="R2081" t="b">
        <v>0</v>
      </c>
    </row>
    <row r="2082" spans="1:18" hidden="1">
      <c r="A2082" t="s">
        <v>59</v>
      </c>
      <c r="B2082" t="s">
        <v>5327</v>
      </c>
      <c r="C2082" t="s">
        <v>5328</v>
      </c>
      <c r="E2082">
        <v>1</v>
      </c>
      <c r="F2082">
        <v>0</v>
      </c>
      <c r="G2082">
        <v>2</v>
      </c>
      <c r="H2082">
        <v>25</v>
      </c>
      <c r="J2082" t="s">
        <v>93</v>
      </c>
      <c r="K2082" t="b">
        <v>1</v>
      </c>
      <c r="L2082">
        <f t="shared" si="32"/>
        <v>3</v>
      </c>
      <c r="M2082">
        <f t="shared" si="32"/>
        <v>25</v>
      </c>
      <c r="N2082" t="b">
        <v>0</v>
      </c>
      <c r="O2082">
        <v>0</v>
      </c>
      <c r="Q2082">
        <v>0</v>
      </c>
      <c r="R2082" t="b">
        <v>0</v>
      </c>
    </row>
    <row r="2083" spans="1:18" hidden="1">
      <c r="A2083" t="s">
        <v>59</v>
      </c>
      <c r="B2083" t="s">
        <v>5329</v>
      </c>
      <c r="C2083" t="s">
        <v>5330</v>
      </c>
      <c r="E2083">
        <v>2</v>
      </c>
      <c r="F2083">
        <v>2</v>
      </c>
      <c r="G2083">
        <v>1</v>
      </c>
      <c r="H2083">
        <v>1</v>
      </c>
      <c r="J2083" t="s">
        <v>93</v>
      </c>
      <c r="K2083" t="b">
        <v>1</v>
      </c>
      <c r="L2083">
        <f t="shared" si="32"/>
        <v>3</v>
      </c>
      <c r="M2083">
        <f t="shared" si="32"/>
        <v>3</v>
      </c>
      <c r="N2083" t="b">
        <v>0</v>
      </c>
      <c r="O2083">
        <v>0</v>
      </c>
      <c r="Q2083">
        <v>0</v>
      </c>
      <c r="R2083" t="b">
        <v>0</v>
      </c>
    </row>
    <row r="2084" spans="1:18">
      <c r="A2084" t="s">
        <v>394</v>
      </c>
      <c r="B2084" t="s">
        <v>5331</v>
      </c>
      <c r="C2084" t="s">
        <v>5332</v>
      </c>
      <c r="E2084">
        <v>1</v>
      </c>
      <c r="F2084">
        <v>0</v>
      </c>
      <c r="G2084">
        <v>2</v>
      </c>
      <c r="H2084">
        <v>9</v>
      </c>
      <c r="J2084" t="s">
        <v>22</v>
      </c>
      <c r="K2084" t="b">
        <v>1</v>
      </c>
      <c r="L2084">
        <f t="shared" si="32"/>
        <v>3</v>
      </c>
      <c r="M2084">
        <f t="shared" si="32"/>
        <v>9</v>
      </c>
      <c r="N2084" t="b">
        <v>0</v>
      </c>
      <c r="O2084">
        <v>1</v>
      </c>
      <c r="P2084" t="s">
        <v>5333</v>
      </c>
      <c r="Q2084">
        <v>2</v>
      </c>
      <c r="R2084" t="b">
        <v>1</v>
      </c>
    </row>
    <row r="2085" spans="1:18" hidden="1">
      <c r="A2085" t="s">
        <v>1304</v>
      </c>
      <c r="B2085" t="s">
        <v>5334</v>
      </c>
      <c r="C2085" t="s">
        <v>5335</v>
      </c>
      <c r="E2085">
        <v>2</v>
      </c>
      <c r="F2085">
        <v>0</v>
      </c>
      <c r="G2085">
        <v>1</v>
      </c>
      <c r="H2085">
        <v>2</v>
      </c>
      <c r="J2085" t="s">
        <v>93</v>
      </c>
      <c r="K2085" t="b">
        <v>0</v>
      </c>
      <c r="L2085">
        <f t="shared" si="32"/>
        <v>3</v>
      </c>
      <c r="M2085">
        <f t="shared" si="32"/>
        <v>2</v>
      </c>
      <c r="N2085" t="b">
        <v>1</v>
      </c>
      <c r="O2085">
        <v>0</v>
      </c>
      <c r="Q2085">
        <v>0</v>
      </c>
      <c r="R2085" t="b">
        <v>0</v>
      </c>
    </row>
    <row r="2086" spans="1:18">
      <c r="A2086" t="s">
        <v>854</v>
      </c>
      <c r="B2086" t="s">
        <v>5336</v>
      </c>
      <c r="C2086" t="s">
        <v>5337</v>
      </c>
      <c r="E2086">
        <v>0</v>
      </c>
      <c r="F2086">
        <v>0</v>
      </c>
      <c r="G2086">
        <v>3</v>
      </c>
      <c r="H2086">
        <v>35</v>
      </c>
      <c r="J2086" t="s">
        <v>22</v>
      </c>
      <c r="K2086" t="b">
        <v>1</v>
      </c>
      <c r="L2086">
        <f t="shared" si="32"/>
        <v>3</v>
      </c>
      <c r="M2086">
        <f t="shared" si="32"/>
        <v>35</v>
      </c>
      <c r="N2086" t="b">
        <v>0</v>
      </c>
      <c r="O2086">
        <v>1</v>
      </c>
      <c r="P2086" t="s">
        <v>5338</v>
      </c>
      <c r="Q2086">
        <v>2</v>
      </c>
      <c r="R2086" t="b">
        <v>1</v>
      </c>
    </row>
    <row r="2087" spans="1:18">
      <c r="A2087" t="s">
        <v>854</v>
      </c>
      <c r="B2087" t="s">
        <v>5339</v>
      </c>
      <c r="C2087" t="s">
        <v>5340</v>
      </c>
      <c r="E2087">
        <v>0</v>
      </c>
      <c r="F2087">
        <v>0</v>
      </c>
      <c r="G2087">
        <v>3</v>
      </c>
      <c r="H2087">
        <v>35</v>
      </c>
      <c r="J2087" t="s">
        <v>22</v>
      </c>
      <c r="K2087" t="b">
        <v>1</v>
      </c>
      <c r="L2087">
        <f t="shared" si="32"/>
        <v>3</v>
      </c>
      <c r="M2087">
        <f t="shared" si="32"/>
        <v>35</v>
      </c>
      <c r="N2087" t="b">
        <v>0</v>
      </c>
      <c r="O2087">
        <v>1</v>
      </c>
      <c r="P2087" t="s">
        <v>5341</v>
      </c>
      <c r="Q2087">
        <v>2</v>
      </c>
      <c r="R2087" t="b">
        <v>1</v>
      </c>
    </row>
    <row r="2088" spans="1:18" hidden="1">
      <c r="A2088" t="s">
        <v>4370</v>
      </c>
      <c r="B2088" t="s">
        <v>5342</v>
      </c>
      <c r="C2088" t="s">
        <v>5343</v>
      </c>
      <c r="E2088">
        <v>1</v>
      </c>
      <c r="F2088">
        <v>10</v>
      </c>
      <c r="G2088">
        <v>2</v>
      </c>
      <c r="H2088">
        <v>8</v>
      </c>
      <c r="J2088" t="s">
        <v>93</v>
      </c>
      <c r="K2088" t="b">
        <v>0</v>
      </c>
      <c r="L2088">
        <f t="shared" si="32"/>
        <v>3</v>
      </c>
      <c r="M2088">
        <f t="shared" si="32"/>
        <v>18</v>
      </c>
      <c r="N2088" t="b">
        <v>0</v>
      </c>
      <c r="O2088">
        <v>0</v>
      </c>
      <c r="Q2088">
        <v>0</v>
      </c>
      <c r="R2088" t="b">
        <v>0</v>
      </c>
    </row>
    <row r="2089" spans="1:18" hidden="1">
      <c r="A2089" t="s">
        <v>5344</v>
      </c>
      <c r="B2089" t="s">
        <v>5345</v>
      </c>
      <c r="C2089" t="s">
        <v>5346</v>
      </c>
      <c r="E2089">
        <v>2</v>
      </c>
      <c r="F2089">
        <v>6</v>
      </c>
      <c r="G2089">
        <v>1</v>
      </c>
      <c r="H2089">
        <v>11</v>
      </c>
      <c r="J2089" t="s">
        <v>93</v>
      </c>
      <c r="K2089" t="b">
        <v>0</v>
      </c>
      <c r="L2089">
        <f t="shared" si="32"/>
        <v>3</v>
      </c>
      <c r="M2089">
        <f t="shared" si="32"/>
        <v>17</v>
      </c>
      <c r="N2089" t="b">
        <v>0</v>
      </c>
      <c r="O2089">
        <v>0</v>
      </c>
      <c r="Q2089">
        <v>0</v>
      </c>
      <c r="R2089" t="b">
        <v>0</v>
      </c>
    </row>
    <row r="2090" spans="1:18" hidden="1">
      <c r="A2090" t="s">
        <v>43</v>
      </c>
      <c r="B2090" t="s">
        <v>5347</v>
      </c>
      <c r="C2090" t="s">
        <v>5348</v>
      </c>
      <c r="E2090">
        <v>2</v>
      </c>
      <c r="F2090">
        <v>0</v>
      </c>
      <c r="G2090">
        <v>1</v>
      </c>
      <c r="H2090">
        <v>1</v>
      </c>
      <c r="J2090" t="s">
        <v>93</v>
      </c>
      <c r="K2090" t="b">
        <v>1</v>
      </c>
      <c r="L2090">
        <f t="shared" si="32"/>
        <v>3</v>
      </c>
      <c r="M2090">
        <f t="shared" si="32"/>
        <v>1</v>
      </c>
      <c r="N2090" t="b">
        <v>0</v>
      </c>
      <c r="O2090">
        <v>0</v>
      </c>
      <c r="Q2090">
        <v>0</v>
      </c>
      <c r="R2090" t="b">
        <v>0</v>
      </c>
    </row>
    <row r="2091" spans="1:18" hidden="1">
      <c r="A2091" t="s">
        <v>768</v>
      </c>
      <c r="B2091" t="s">
        <v>5349</v>
      </c>
      <c r="C2091" t="s">
        <v>5350</v>
      </c>
      <c r="E2091">
        <v>2</v>
      </c>
      <c r="F2091">
        <v>12</v>
      </c>
      <c r="G2091">
        <v>1</v>
      </c>
      <c r="H2091">
        <v>1</v>
      </c>
      <c r="J2091" t="s">
        <v>93</v>
      </c>
      <c r="K2091" t="b">
        <v>0</v>
      </c>
      <c r="L2091">
        <f t="shared" si="32"/>
        <v>3</v>
      </c>
      <c r="M2091">
        <f t="shared" si="32"/>
        <v>13</v>
      </c>
      <c r="N2091" t="b">
        <v>0</v>
      </c>
      <c r="O2091">
        <v>0</v>
      </c>
      <c r="Q2091">
        <v>0</v>
      </c>
      <c r="R2091" t="b">
        <v>0</v>
      </c>
    </row>
    <row r="2092" spans="1:18">
      <c r="A2092" t="s">
        <v>1143</v>
      </c>
      <c r="B2092" t="s">
        <v>5351</v>
      </c>
      <c r="C2092" t="s">
        <v>5352</v>
      </c>
      <c r="E2092">
        <v>0</v>
      </c>
      <c r="F2092">
        <v>0</v>
      </c>
      <c r="G2092">
        <v>3</v>
      </c>
      <c r="H2092">
        <v>7</v>
      </c>
      <c r="J2092" t="s">
        <v>22</v>
      </c>
      <c r="K2092" t="b">
        <v>1</v>
      </c>
      <c r="L2092">
        <f t="shared" si="32"/>
        <v>3</v>
      </c>
      <c r="M2092">
        <f t="shared" si="32"/>
        <v>7</v>
      </c>
      <c r="N2092" t="b">
        <v>0</v>
      </c>
      <c r="O2092">
        <v>1</v>
      </c>
      <c r="P2092" t="s">
        <v>5353</v>
      </c>
      <c r="Q2092">
        <v>2</v>
      </c>
      <c r="R2092" t="b">
        <v>1</v>
      </c>
    </row>
    <row r="2093" spans="1:18" hidden="1">
      <c r="A2093" t="s">
        <v>1143</v>
      </c>
      <c r="B2093" t="s">
        <v>5354</v>
      </c>
      <c r="C2093" t="s">
        <v>5355</v>
      </c>
      <c r="E2093">
        <v>0</v>
      </c>
      <c r="F2093">
        <v>0</v>
      </c>
      <c r="G2093">
        <v>3</v>
      </c>
      <c r="H2093">
        <v>10</v>
      </c>
      <c r="J2093" t="s">
        <v>93</v>
      </c>
      <c r="K2093" t="b">
        <v>1</v>
      </c>
      <c r="L2093">
        <f t="shared" si="32"/>
        <v>3</v>
      </c>
      <c r="M2093">
        <f t="shared" si="32"/>
        <v>10</v>
      </c>
      <c r="N2093" t="b">
        <v>0</v>
      </c>
      <c r="O2093">
        <v>0.25</v>
      </c>
      <c r="P2093" t="s">
        <v>5356</v>
      </c>
      <c r="Q2093">
        <v>8</v>
      </c>
      <c r="R2093" t="b">
        <v>1</v>
      </c>
    </row>
    <row r="2094" spans="1:18" hidden="1">
      <c r="A2094" t="s">
        <v>1143</v>
      </c>
      <c r="B2094" t="s">
        <v>5357</v>
      </c>
      <c r="C2094" t="s">
        <v>5358</v>
      </c>
      <c r="E2094">
        <v>0</v>
      </c>
      <c r="F2094">
        <v>0</v>
      </c>
      <c r="G2094">
        <v>3</v>
      </c>
      <c r="H2094">
        <v>8</v>
      </c>
      <c r="J2094" t="s">
        <v>93</v>
      </c>
      <c r="K2094" t="b">
        <v>1</v>
      </c>
      <c r="L2094">
        <f t="shared" si="32"/>
        <v>3</v>
      </c>
      <c r="M2094">
        <f t="shared" si="32"/>
        <v>8</v>
      </c>
      <c r="N2094" t="b">
        <v>0</v>
      </c>
      <c r="O2094">
        <v>0</v>
      </c>
      <c r="Q2094">
        <v>0</v>
      </c>
      <c r="R2094" t="b">
        <v>0</v>
      </c>
    </row>
    <row r="2095" spans="1:18">
      <c r="A2095" t="s">
        <v>4383</v>
      </c>
      <c r="B2095" t="s">
        <v>5359</v>
      </c>
      <c r="C2095" t="s">
        <v>5360</v>
      </c>
      <c r="E2095">
        <v>0</v>
      </c>
      <c r="F2095">
        <v>0</v>
      </c>
      <c r="G2095">
        <v>3</v>
      </c>
      <c r="H2095">
        <v>29</v>
      </c>
      <c r="J2095" t="s">
        <v>22</v>
      </c>
      <c r="K2095" t="b">
        <v>1</v>
      </c>
      <c r="L2095">
        <f t="shared" si="32"/>
        <v>3</v>
      </c>
      <c r="M2095">
        <f t="shared" si="32"/>
        <v>29</v>
      </c>
      <c r="N2095" t="b">
        <v>0</v>
      </c>
      <c r="O2095">
        <v>1</v>
      </c>
      <c r="P2095" t="s">
        <v>1649</v>
      </c>
      <c r="Q2095">
        <v>2</v>
      </c>
      <c r="R2095" t="b">
        <v>1</v>
      </c>
    </row>
    <row r="2096" spans="1:18">
      <c r="A2096" t="s">
        <v>4383</v>
      </c>
      <c r="B2096" t="s">
        <v>5361</v>
      </c>
      <c r="C2096" t="s">
        <v>5362</v>
      </c>
      <c r="E2096">
        <v>0</v>
      </c>
      <c r="F2096">
        <v>0</v>
      </c>
      <c r="G2096">
        <v>3</v>
      </c>
      <c r="H2096">
        <v>33</v>
      </c>
      <c r="J2096" t="s">
        <v>22</v>
      </c>
      <c r="K2096" t="b">
        <v>1</v>
      </c>
      <c r="L2096">
        <f t="shared" si="32"/>
        <v>3</v>
      </c>
      <c r="M2096">
        <f t="shared" si="32"/>
        <v>33</v>
      </c>
      <c r="N2096" t="b">
        <v>0</v>
      </c>
      <c r="O2096">
        <v>1</v>
      </c>
      <c r="P2096" t="s">
        <v>1717</v>
      </c>
      <c r="Q2096">
        <v>2</v>
      </c>
      <c r="R2096" t="b">
        <v>1</v>
      </c>
    </row>
    <row r="2097" spans="1:18">
      <c r="A2097" t="s">
        <v>1334</v>
      </c>
      <c r="B2097" t="s">
        <v>5363</v>
      </c>
      <c r="C2097" t="s">
        <v>5364</v>
      </c>
      <c r="E2097">
        <v>3</v>
      </c>
      <c r="F2097">
        <v>3</v>
      </c>
      <c r="G2097">
        <v>0</v>
      </c>
      <c r="H2097">
        <v>0</v>
      </c>
      <c r="J2097" t="s">
        <v>22</v>
      </c>
      <c r="K2097" t="b">
        <v>1</v>
      </c>
      <c r="L2097">
        <f t="shared" si="32"/>
        <v>3</v>
      </c>
      <c r="M2097">
        <f t="shared" si="32"/>
        <v>3</v>
      </c>
      <c r="N2097" t="b">
        <v>0</v>
      </c>
      <c r="O2097">
        <v>1</v>
      </c>
      <c r="P2097" t="s">
        <v>5365</v>
      </c>
      <c r="Q2097">
        <v>1</v>
      </c>
      <c r="R2097" t="b">
        <v>1</v>
      </c>
    </row>
    <row r="2098" spans="1:18" hidden="1">
      <c r="A2098" t="s">
        <v>1334</v>
      </c>
      <c r="B2098" t="s">
        <v>5366</v>
      </c>
      <c r="C2098" t="s">
        <v>5367</v>
      </c>
      <c r="E2098">
        <v>2</v>
      </c>
      <c r="F2098">
        <v>3</v>
      </c>
      <c r="G2098">
        <v>1</v>
      </c>
      <c r="H2098">
        <v>2</v>
      </c>
      <c r="J2098" t="s">
        <v>999</v>
      </c>
      <c r="K2098" t="b">
        <v>1</v>
      </c>
      <c r="L2098">
        <f t="shared" si="32"/>
        <v>3</v>
      </c>
      <c r="M2098">
        <f t="shared" si="32"/>
        <v>5</v>
      </c>
      <c r="N2098" t="b">
        <v>0</v>
      </c>
      <c r="O2098">
        <v>0</v>
      </c>
      <c r="Q2098">
        <v>0</v>
      </c>
      <c r="R2098" t="b">
        <v>0</v>
      </c>
    </row>
    <row r="2099" spans="1:18" hidden="1">
      <c r="A2099" t="s">
        <v>1334</v>
      </c>
      <c r="B2099" t="s">
        <v>5368</v>
      </c>
      <c r="C2099" t="s">
        <v>5369</v>
      </c>
      <c r="E2099">
        <v>2</v>
      </c>
      <c r="F2099">
        <v>3</v>
      </c>
      <c r="G2099">
        <v>1</v>
      </c>
      <c r="H2099">
        <v>2</v>
      </c>
      <c r="J2099" t="s">
        <v>999</v>
      </c>
      <c r="K2099" t="b">
        <v>1</v>
      </c>
      <c r="L2099">
        <f t="shared" si="32"/>
        <v>3</v>
      </c>
      <c r="M2099">
        <f t="shared" si="32"/>
        <v>5</v>
      </c>
      <c r="N2099" t="b">
        <v>0</v>
      </c>
      <c r="O2099">
        <v>0</v>
      </c>
      <c r="Q2099">
        <v>0</v>
      </c>
      <c r="R2099" t="b">
        <v>0</v>
      </c>
    </row>
    <row r="2100" spans="1:18">
      <c r="A2100" t="s">
        <v>1334</v>
      </c>
      <c r="B2100" t="s">
        <v>5370</v>
      </c>
      <c r="C2100" t="s">
        <v>5371</v>
      </c>
      <c r="E2100">
        <v>3</v>
      </c>
      <c r="F2100">
        <v>0</v>
      </c>
      <c r="G2100">
        <v>0</v>
      </c>
      <c r="H2100">
        <v>0</v>
      </c>
      <c r="J2100" t="s">
        <v>22</v>
      </c>
      <c r="K2100" t="b">
        <v>1</v>
      </c>
      <c r="L2100">
        <f t="shared" si="32"/>
        <v>3</v>
      </c>
      <c r="M2100">
        <f t="shared" si="32"/>
        <v>0</v>
      </c>
      <c r="N2100" t="b">
        <v>0</v>
      </c>
      <c r="O2100">
        <v>1</v>
      </c>
      <c r="P2100" t="s">
        <v>5372</v>
      </c>
      <c r="Q2100">
        <v>1</v>
      </c>
      <c r="R2100" t="b">
        <v>1</v>
      </c>
    </row>
    <row r="2101" spans="1:18">
      <c r="A2101" t="s">
        <v>1334</v>
      </c>
      <c r="B2101" t="s">
        <v>5373</v>
      </c>
      <c r="C2101" t="s">
        <v>5374</v>
      </c>
      <c r="E2101">
        <v>3</v>
      </c>
      <c r="F2101">
        <v>3</v>
      </c>
      <c r="G2101">
        <v>0</v>
      </c>
      <c r="H2101">
        <v>0</v>
      </c>
      <c r="J2101" t="s">
        <v>22</v>
      </c>
      <c r="K2101" t="b">
        <v>1</v>
      </c>
      <c r="L2101">
        <f t="shared" si="32"/>
        <v>3</v>
      </c>
      <c r="M2101">
        <f t="shared" si="32"/>
        <v>3</v>
      </c>
      <c r="N2101" t="b">
        <v>0</v>
      </c>
      <c r="O2101">
        <v>1</v>
      </c>
      <c r="P2101" t="s">
        <v>5375</v>
      </c>
      <c r="Q2101">
        <v>1</v>
      </c>
      <c r="R2101" t="b">
        <v>1</v>
      </c>
    </row>
    <row r="2102" spans="1:18">
      <c r="A2102" t="s">
        <v>378</v>
      </c>
      <c r="B2102" t="s">
        <v>5376</v>
      </c>
      <c r="C2102" t="s">
        <v>5377</v>
      </c>
      <c r="E2102">
        <v>3</v>
      </c>
      <c r="F2102">
        <v>27</v>
      </c>
      <c r="G2102">
        <v>0</v>
      </c>
      <c r="H2102">
        <v>0</v>
      </c>
      <c r="J2102" t="s">
        <v>22</v>
      </c>
      <c r="K2102" t="b">
        <v>1</v>
      </c>
      <c r="L2102">
        <f t="shared" si="32"/>
        <v>3</v>
      </c>
      <c r="M2102">
        <f t="shared" si="32"/>
        <v>27</v>
      </c>
      <c r="N2102" t="b">
        <v>0</v>
      </c>
      <c r="O2102">
        <v>1</v>
      </c>
      <c r="P2102" t="s">
        <v>5378</v>
      </c>
      <c r="Q2102">
        <v>2</v>
      </c>
      <c r="R2102" t="b">
        <v>1</v>
      </c>
    </row>
    <row r="2103" spans="1:18" hidden="1">
      <c r="A2103" t="s">
        <v>4800</v>
      </c>
      <c r="B2103" t="s">
        <v>5379</v>
      </c>
      <c r="C2103" t="s">
        <v>5380</v>
      </c>
      <c r="E2103">
        <v>1</v>
      </c>
      <c r="F2103">
        <v>2</v>
      </c>
      <c r="G2103">
        <v>2</v>
      </c>
      <c r="H2103">
        <v>8</v>
      </c>
      <c r="J2103" t="s">
        <v>93</v>
      </c>
      <c r="K2103" t="b">
        <v>0</v>
      </c>
      <c r="L2103">
        <f t="shared" si="32"/>
        <v>3</v>
      </c>
      <c r="M2103">
        <f t="shared" si="32"/>
        <v>10</v>
      </c>
      <c r="N2103" t="b">
        <v>0</v>
      </c>
      <c r="O2103">
        <v>0</v>
      </c>
      <c r="Q2103">
        <v>0</v>
      </c>
      <c r="R2103" t="b">
        <v>0</v>
      </c>
    </row>
    <row r="2104" spans="1:18" hidden="1">
      <c r="A2104" t="s">
        <v>1191</v>
      </c>
      <c r="B2104" t="s">
        <v>5381</v>
      </c>
      <c r="C2104" t="s">
        <v>5382</v>
      </c>
      <c r="E2104">
        <v>0</v>
      </c>
      <c r="F2104">
        <v>0</v>
      </c>
      <c r="G2104">
        <v>3</v>
      </c>
      <c r="H2104">
        <v>9</v>
      </c>
      <c r="J2104" t="s">
        <v>93</v>
      </c>
      <c r="K2104" t="b">
        <v>1</v>
      </c>
      <c r="L2104">
        <f t="shared" si="32"/>
        <v>3</v>
      </c>
      <c r="M2104">
        <f t="shared" si="32"/>
        <v>9</v>
      </c>
      <c r="N2104" t="b">
        <v>0</v>
      </c>
      <c r="O2104">
        <v>0</v>
      </c>
      <c r="Q2104">
        <v>0</v>
      </c>
      <c r="R2104" t="b">
        <v>0</v>
      </c>
    </row>
    <row r="2105" spans="1:18" hidden="1">
      <c r="A2105" t="s">
        <v>2984</v>
      </c>
      <c r="B2105" t="s">
        <v>5383</v>
      </c>
      <c r="C2105" t="s">
        <v>5384</v>
      </c>
      <c r="E2105">
        <v>3</v>
      </c>
      <c r="F2105">
        <v>9</v>
      </c>
      <c r="G2105">
        <v>0</v>
      </c>
      <c r="H2105">
        <v>0</v>
      </c>
      <c r="J2105" t="s">
        <v>93</v>
      </c>
      <c r="K2105" t="b">
        <v>0</v>
      </c>
      <c r="L2105">
        <f t="shared" si="32"/>
        <v>3</v>
      </c>
      <c r="M2105">
        <f t="shared" si="32"/>
        <v>9</v>
      </c>
      <c r="N2105" t="b">
        <v>0</v>
      </c>
      <c r="O2105">
        <v>0</v>
      </c>
      <c r="Q2105">
        <v>0</v>
      </c>
      <c r="R2105" t="b">
        <v>0</v>
      </c>
    </row>
    <row r="2106" spans="1:18" hidden="1">
      <c r="A2106" t="s">
        <v>4404</v>
      </c>
      <c r="B2106" t="s">
        <v>5385</v>
      </c>
      <c r="C2106" t="s">
        <v>5386</v>
      </c>
      <c r="E2106">
        <v>3</v>
      </c>
      <c r="F2106">
        <v>8</v>
      </c>
      <c r="G2106">
        <v>0</v>
      </c>
      <c r="H2106">
        <v>0</v>
      </c>
      <c r="J2106" t="s">
        <v>93</v>
      </c>
      <c r="K2106" t="b">
        <v>0</v>
      </c>
      <c r="L2106">
        <f t="shared" si="32"/>
        <v>3</v>
      </c>
      <c r="M2106">
        <f t="shared" si="32"/>
        <v>8</v>
      </c>
      <c r="N2106" t="b">
        <v>0</v>
      </c>
      <c r="O2106">
        <v>0</v>
      </c>
      <c r="Q2106">
        <v>0</v>
      </c>
      <c r="R2106" t="b">
        <v>0</v>
      </c>
    </row>
    <row r="2107" spans="1:18" hidden="1">
      <c r="A2107" t="s">
        <v>59</v>
      </c>
      <c r="B2107" t="s">
        <v>5387</v>
      </c>
      <c r="C2107" t="s">
        <v>5388</v>
      </c>
      <c r="E2107">
        <v>0</v>
      </c>
      <c r="F2107">
        <v>0</v>
      </c>
      <c r="G2107">
        <v>3</v>
      </c>
      <c r="H2107">
        <v>7</v>
      </c>
      <c r="J2107" t="s">
        <v>93</v>
      </c>
      <c r="K2107" t="b">
        <v>1</v>
      </c>
      <c r="L2107">
        <f t="shared" si="32"/>
        <v>3</v>
      </c>
      <c r="M2107">
        <f t="shared" si="32"/>
        <v>7</v>
      </c>
      <c r="N2107" t="b">
        <v>0</v>
      </c>
      <c r="O2107">
        <v>0</v>
      </c>
      <c r="Q2107">
        <v>0</v>
      </c>
      <c r="R2107" t="b">
        <v>0</v>
      </c>
    </row>
    <row r="2108" spans="1:18" hidden="1">
      <c r="A2108" t="s">
        <v>1227</v>
      </c>
      <c r="B2108" t="s">
        <v>5389</v>
      </c>
      <c r="C2108" t="s">
        <v>5390</v>
      </c>
      <c r="E2108">
        <v>3</v>
      </c>
      <c r="F2108">
        <v>7</v>
      </c>
      <c r="G2108">
        <v>0</v>
      </c>
      <c r="H2108">
        <v>0</v>
      </c>
      <c r="J2108" t="s">
        <v>93</v>
      </c>
      <c r="K2108" t="b">
        <v>0</v>
      </c>
      <c r="L2108">
        <f t="shared" si="32"/>
        <v>3</v>
      </c>
      <c r="M2108">
        <f t="shared" si="32"/>
        <v>7</v>
      </c>
      <c r="N2108" t="b">
        <v>0</v>
      </c>
      <c r="O2108">
        <v>0</v>
      </c>
      <c r="Q2108">
        <v>0</v>
      </c>
      <c r="R2108" t="b">
        <v>0</v>
      </c>
    </row>
    <row r="2109" spans="1:18" hidden="1">
      <c r="A2109" t="s">
        <v>133</v>
      </c>
      <c r="B2109" t="s">
        <v>5391</v>
      </c>
      <c r="C2109" t="s">
        <v>5392</v>
      </c>
      <c r="E2109">
        <v>0</v>
      </c>
      <c r="F2109">
        <v>0</v>
      </c>
      <c r="G2109">
        <v>3</v>
      </c>
      <c r="H2109">
        <v>7</v>
      </c>
      <c r="J2109" t="s">
        <v>93</v>
      </c>
      <c r="K2109" t="b">
        <v>1</v>
      </c>
      <c r="L2109">
        <f t="shared" si="32"/>
        <v>3</v>
      </c>
      <c r="M2109">
        <f t="shared" si="32"/>
        <v>7</v>
      </c>
      <c r="N2109" t="b">
        <v>0</v>
      </c>
      <c r="O2109">
        <v>0</v>
      </c>
      <c r="Q2109">
        <v>0</v>
      </c>
      <c r="R2109" t="b">
        <v>0</v>
      </c>
    </row>
    <row r="2110" spans="1:18" hidden="1">
      <c r="A2110" t="s">
        <v>672</v>
      </c>
      <c r="B2110" t="s">
        <v>5393</v>
      </c>
      <c r="C2110" t="s">
        <v>5394</v>
      </c>
      <c r="E2110">
        <v>2</v>
      </c>
      <c r="F2110">
        <v>6</v>
      </c>
      <c r="G2110">
        <v>1</v>
      </c>
      <c r="H2110">
        <v>1</v>
      </c>
      <c r="J2110" t="s">
        <v>93</v>
      </c>
      <c r="K2110" t="b">
        <v>0</v>
      </c>
      <c r="L2110">
        <f t="shared" si="32"/>
        <v>3</v>
      </c>
      <c r="M2110">
        <f t="shared" si="32"/>
        <v>7</v>
      </c>
      <c r="N2110" t="b">
        <v>0</v>
      </c>
      <c r="O2110">
        <v>0</v>
      </c>
      <c r="Q2110">
        <v>0</v>
      </c>
      <c r="R2110" t="b">
        <v>0</v>
      </c>
    </row>
    <row r="2111" spans="1:18" hidden="1">
      <c r="A2111" t="s">
        <v>4800</v>
      </c>
      <c r="B2111" t="s">
        <v>5395</v>
      </c>
      <c r="C2111" t="s">
        <v>5396</v>
      </c>
      <c r="E2111">
        <v>2</v>
      </c>
      <c r="F2111">
        <v>4</v>
      </c>
      <c r="G2111">
        <v>1</v>
      </c>
      <c r="H2111">
        <v>2</v>
      </c>
      <c r="J2111" t="s">
        <v>93</v>
      </c>
      <c r="K2111" t="b">
        <v>0</v>
      </c>
      <c r="L2111">
        <f t="shared" si="32"/>
        <v>3</v>
      </c>
      <c r="M2111">
        <f t="shared" si="32"/>
        <v>6</v>
      </c>
      <c r="N2111" t="b">
        <v>0</v>
      </c>
      <c r="O2111">
        <v>0</v>
      </c>
      <c r="Q2111">
        <v>0</v>
      </c>
      <c r="R2111" t="b">
        <v>0</v>
      </c>
    </row>
    <row r="2112" spans="1:18" hidden="1">
      <c r="A2112" t="s">
        <v>2984</v>
      </c>
      <c r="B2112" t="s">
        <v>5397</v>
      </c>
      <c r="C2112" t="s">
        <v>5398</v>
      </c>
      <c r="E2112">
        <v>3</v>
      </c>
      <c r="F2112">
        <v>6</v>
      </c>
      <c r="G2112">
        <v>0</v>
      </c>
      <c r="H2112">
        <v>0</v>
      </c>
      <c r="J2112" t="s">
        <v>93</v>
      </c>
      <c r="K2112" t="b">
        <v>0</v>
      </c>
      <c r="L2112">
        <f t="shared" si="32"/>
        <v>3</v>
      </c>
      <c r="M2112">
        <f t="shared" si="32"/>
        <v>6</v>
      </c>
      <c r="N2112" t="b">
        <v>0</v>
      </c>
      <c r="O2112">
        <v>0</v>
      </c>
      <c r="Q2112">
        <v>0</v>
      </c>
      <c r="R2112" t="b">
        <v>0</v>
      </c>
    </row>
    <row r="2113" spans="1:18" hidden="1">
      <c r="A2113" t="s">
        <v>192</v>
      </c>
      <c r="B2113" t="s">
        <v>5399</v>
      </c>
      <c r="C2113" t="s">
        <v>5400</v>
      </c>
      <c r="E2113">
        <v>0</v>
      </c>
      <c r="F2113">
        <v>0</v>
      </c>
      <c r="G2113">
        <v>3</v>
      </c>
      <c r="H2113">
        <v>6</v>
      </c>
      <c r="J2113" t="s">
        <v>93</v>
      </c>
      <c r="K2113" t="b">
        <v>1</v>
      </c>
      <c r="L2113">
        <f t="shared" si="32"/>
        <v>3</v>
      </c>
      <c r="M2113">
        <f t="shared" si="32"/>
        <v>6</v>
      </c>
      <c r="N2113" t="b">
        <v>0</v>
      </c>
      <c r="O2113">
        <v>0.5</v>
      </c>
      <c r="P2113" t="s">
        <v>5401</v>
      </c>
      <c r="Q2113">
        <v>2</v>
      </c>
      <c r="R2113" t="b">
        <v>1</v>
      </c>
    </row>
    <row r="2114" spans="1:18" hidden="1">
      <c r="A2114" t="s">
        <v>2984</v>
      </c>
      <c r="B2114" t="s">
        <v>5402</v>
      </c>
      <c r="C2114" t="s">
        <v>5403</v>
      </c>
      <c r="E2114">
        <v>2</v>
      </c>
      <c r="F2114">
        <v>3</v>
      </c>
      <c r="G2114">
        <v>1</v>
      </c>
      <c r="H2114">
        <v>2</v>
      </c>
      <c r="J2114" t="s">
        <v>93</v>
      </c>
      <c r="K2114" t="b">
        <v>0</v>
      </c>
      <c r="L2114">
        <f t="shared" si="32"/>
        <v>3</v>
      </c>
      <c r="M2114">
        <f t="shared" si="32"/>
        <v>5</v>
      </c>
      <c r="N2114" t="b">
        <v>0</v>
      </c>
      <c r="O2114">
        <v>0</v>
      </c>
      <c r="Q2114">
        <v>0</v>
      </c>
      <c r="R2114" t="b">
        <v>0</v>
      </c>
    </row>
    <row r="2115" spans="1:18" hidden="1">
      <c r="A2115" t="s">
        <v>940</v>
      </c>
      <c r="B2115" t="s">
        <v>5404</v>
      </c>
      <c r="C2115" t="s">
        <v>5405</v>
      </c>
      <c r="E2115">
        <v>0</v>
      </c>
      <c r="F2115">
        <v>0</v>
      </c>
      <c r="G2115">
        <v>3</v>
      </c>
      <c r="H2115">
        <v>5</v>
      </c>
      <c r="J2115" t="s">
        <v>93</v>
      </c>
      <c r="K2115" t="b">
        <v>0</v>
      </c>
      <c r="L2115">
        <f t="shared" ref="L2115:M2178" si="33">E2115+G2115</f>
        <v>3</v>
      </c>
      <c r="M2115">
        <f t="shared" si="33"/>
        <v>5</v>
      </c>
      <c r="N2115" t="b">
        <v>0</v>
      </c>
      <c r="O2115">
        <v>0</v>
      </c>
      <c r="Q2115">
        <v>0</v>
      </c>
      <c r="R2115" t="b">
        <v>0</v>
      </c>
    </row>
    <row r="2116" spans="1:18" hidden="1">
      <c r="A2116" t="s">
        <v>940</v>
      </c>
      <c r="B2116" t="s">
        <v>5406</v>
      </c>
      <c r="C2116" t="s">
        <v>5407</v>
      </c>
      <c r="E2116">
        <v>0</v>
      </c>
      <c r="F2116">
        <v>0</v>
      </c>
      <c r="G2116">
        <v>3</v>
      </c>
      <c r="H2116">
        <v>5</v>
      </c>
      <c r="J2116" t="s">
        <v>93</v>
      </c>
      <c r="K2116" t="b">
        <v>0</v>
      </c>
      <c r="L2116">
        <f t="shared" si="33"/>
        <v>3</v>
      </c>
      <c r="M2116">
        <f t="shared" si="33"/>
        <v>5</v>
      </c>
      <c r="N2116" t="b">
        <v>0</v>
      </c>
      <c r="O2116">
        <v>0</v>
      </c>
      <c r="Q2116">
        <v>0</v>
      </c>
      <c r="R2116" t="b">
        <v>0</v>
      </c>
    </row>
    <row r="2117" spans="1:18" hidden="1">
      <c r="A2117" t="s">
        <v>940</v>
      </c>
      <c r="B2117" t="s">
        <v>5408</v>
      </c>
      <c r="C2117" t="s">
        <v>5409</v>
      </c>
      <c r="E2117">
        <v>0</v>
      </c>
      <c r="F2117">
        <v>0</v>
      </c>
      <c r="G2117">
        <v>3</v>
      </c>
      <c r="H2117">
        <v>5</v>
      </c>
      <c r="J2117" t="s">
        <v>93</v>
      </c>
      <c r="K2117" t="b">
        <v>0</v>
      </c>
      <c r="L2117">
        <f t="shared" si="33"/>
        <v>3</v>
      </c>
      <c r="M2117">
        <f t="shared" si="33"/>
        <v>5</v>
      </c>
      <c r="N2117" t="b">
        <v>0</v>
      </c>
      <c r="O2117">
        <v>0</v>
      </c>
      <c r="Q2117">
        <v>0</v>
      </c>
      <c r="R2117" t="b">
        <v>0</v>
      </c>
    </row>
    <row r="2118" spans="1:18" hidden="1">
      <c r="A2118" t="s">
        <v>940</v>
      </c>
      <c r="B2118" t="s">
        <v>5410</v>
      </c>
      <c r="C2118" t="s">
        <v>5411</v>
      </c>
      <c r="E2118">
        <v>0</v>
      </c>
      <c r="F2118">
        <v>0</v>
      </c>
      <c r="G2118">
        <v>3</v>
      </c>
      <c r="H2118">
        <v>5</v>
      </c>
      <c r="J2118" t="s">
        <v>93</v>
      </c>
      <c r="K2118" t="b">
        <v>0</v>
      </c>
      <c r="L2118">
        <f t="shared" si="33"/>
        <v>3</v>
      </c>
      <c r="M2118">
        <f t="shared" si="33"/>
        <v>5</v>
      </c>
      <c r="N2118" t="b">
        <v>0</v>
      </c>
      <c r="O2118">
        <v>0</v>
      </c>
      <c r="Q2118">
        <v>0</v>
      </c>
      <c r="R2118" t="b">
        <v>0</v>
      </c>
    </row>
    <row r="2119" spans="1:18" hidden="1">
      <c r="A2119" t="s">
        <v>3810</v>
      </c>
      <c r="B2119" t="s">
        <v>5412</v>
      </c>
      <c r="C2119" t="s">
        <v>5413</v>
      </c>
      <c r="E2119">
        <v>3</v>
      </c>
      <c r="F2119">
        <v>5</v>
      </c>
      <c r="G2119">
        <v>0</v>
      </c>
      <c r="H2119">
        <v>0</v>
      </c>
      <c r="J2119" t="s">
        <v>93</v>
      </c>
      <c r="K2119" t="b">
        <v>0</v>
      </c>
      <c r="L2119">
        <f t="shared" si="33"/>
        <v>3</v>
      </c>
      <c r="M2119">
        <f t="shared" si="33"/>
        <v>5</v>
      </c>
      <c r="N2119" t="b">
        <v>0</v>
      </c>
      <c r="O2119">
        <v>0</v>
      </c>
      <c r="Q2119">
        <v>0</v>
      </c>
      <c r="R2119" t="b">
        <v>0</v>
      </c>
    </row>
    <row r="2120" spans="1:18" hidden="1">
      <c r="A2120" t="s">
        <v>3810</v>
      </c>
      <c r="B2120" t="s">
        <v>5414</v>
      </c>
      <c r="C2120" t="s">
        <v>5415</v>
      </c>
      <c r="E2120">
        <v>3</v>
      </c>
      <c r="F2120">
        <v>5</v>
      </c>
      <c r="G2120">
        <v>0</v>
      </c>
      <c r="H2120">
        <v>0</v>
      </c>
      <c r="J2120" t="s">
        <v>93</v>
      </c>
      <c r="K2120" t="b">
        <v>0</v>
      </c>
      <c r="L2120">
        <f t="shared" si="33"/>
        <v>3</v>
      </c>
      <c r="M2120">
        <f t="shared" si="33"/>
        <v>5</v>
      </c>
      <c r="N2120" t="b">
        <v>0</v>
      </c>
      <c r="O2120">
        <v>0</v>
      </c>
      <c r="Q2120">
        <v>0</v>
      </c>
      <c r="R2120" t="b">
        <v>0</v>
      </c>
    </row>
    <row r="2121" spans="1:18" hidden="1">
      <c r="A2121" t="s">
        <v>3810</v>
      </c>
      <c r="B2121" t="s">
        <v>5416</v>
      </c>
      <c r="C2121" t="s">
        <v>5417</v>
      </c>
      <c r="E2121">
        <v>3</v>
      </c>
      <c r="F2121">
        <v>5</v>
      </c>
      <c r="G2121">
        <v>0</v>
      </c>
      <c r="H2121">
        <v>0</v>
      </c>
      <c r="J2121" t="s">
        <v>93</v>
      </c>
      <c r="K2121" t="b">
        <v>0</v>
      </c>
      <c r="L2121">
        <f t="shared" si="33"/>
        <v>3</v>
      </c>
      <c r="M2121">
        <f t="shared" si="33"/>
        <v>5</v>
      </c>
      <c r="N2121" t="b">
        <v>0</v>
      </c>
      <c r="O2121">
        <v>0</v>
      </c>
      <c r="Q2121">
        <v>0</v>
      </c>
      <c r="R2121" t="b">
        <v>0</v>
      </c>
    </row>
    <row r="2122" spans="1:18" hidden="1">
      <c r="A2122" t="s">
        <v>3810</v>
      </c>
      <c r="B2122" t="s">
        <v>5418</v>
      </c>
      <c r="C2122" t="s">
        <v>5419</v>
      </c>
      <c r="E2122">
        <v>3</v>
      </c>
      <c r="F2122">
        <v>5</v>
      </c>
      <c r="G2122">
        <v>0</v>
      </c>
      <c r="H2122">
        <v>0</v>
      </c>
      <c r="J2122" t="s">
        <v>93</v>
      </c>
      <c r="K2122" t="b">
        <v>0</v>
      </c>
      <c r="L2122">
        <f t="shared" si="33"/>
        <v>3</v>
      </c>
      <c r="M2122">
        <f t="shared" si="33"/>
        <v>5</v>
      </c>
      <c r="N2122" t="b">
        <v>0</v>
      </c>
      <c r="O2122">
        <v>0</v>
      </c>
      <c r="Q2122">
        <v>0</v>
      </c>
      <c r="R2122" t="b">
        <v>0</v>
      </c>
    </row>
    <row r="2123" spans="1:18" hidden="1">
      <c r="A2123" t="s">
        <v>3250</v>
      </c>
      <c r="B2123" t="s">
        <v>5420</v>
      </c>
      <c r="C2123" t="s">
        <v>5421</v>
      </c>
      <c r="E2123">
        <v>2</v>
      </c>
      <c r="F2123">
        <v>3</v>
      </c>
      <c r="G2123">
        <v>1</v>
      </c>
      <c r="H2123">
        <v>2</v>
      </c>
      <c r="J2123" t="s">
        <v>93</v>
      </c>
      <c r="K2123" t="b">
        <v>0</v>
      </c>
      <c r="L2123">
        <f t="shared" si="33"/>
        <v>3</v>
      </c>
      <c r="M2123">
        <f t="shared" si="33"/>
        <v>5</v>
      </c>
      <c r="N2123" t="b">
        <v>0</v>
      </c>
      <c r="O2123">
        <v>0</v>
      </c>
      <c r="Q2123">
        <v>0</v>
      </c>
      <c r="R2123" t="b">
        <v>0</v>
      </c>
    </row>
    <row r="2124" spans="1:18" hidden="1">
      <c r="A2124" t="s">
        <v>2540</v>
      </c>
      <c r="B2124" t="s">
        <v>5422</v>
      </c>
      <c r="C2124" t="s">
        <v>5423</v>
      </c>
      <c r="E2124">
        <v>2</v>
      </c>
      <c r="F2124">
        <v>2</v>
      </c>
      <c r="G2124">
        <v>1</v>
      </c>
      <c r="H2124">
        <v>2</v>
      </c>
      <c r="J2124" t="s">
        <v>93</v>
      </c>
      <c r="K2124" t="b">
        <v>0</v>
      </c>
      <c r="L2124">
        <f t="shared" si="33"/>
        <v>3</v>
      </c>
      <c r="M2124">
        <f t="shared" si="33"/>
        <v>4</v>
      </c>
      <c r="N2124" t="b">
        <v>0</v>
      </c>
      <c r="O2124">
        <v>0</v>
      </c>
      <c r="Q2124">
        <v>0</v>
      </c>
      <c r="R2124" t="b">
        <v>0</v>
      </c>
    </row>
    <row r="2125" spans="1:18" hidden="1">
      <c r="A2125" t="s">
        <v>2443</v>
      </c>
      <c r="B2125" t="s">
        <v>5424</v>
      </c>
      <c r="C2125" t="s">
        <v>5425</v>
      </c>
      <c r="E2125">
        <v>2</v>
      </c>
      <c r="F2125">
        <v>2</v>
      </c>
      <c r="G2125">
        <v>1</v>
      </c>
      <c r="H2125">
        <v>2</v>
      </c>
      <c r="J2125" t="s">
        <v>93</v>
      </c>
      <c r="K2125" t="b">
        <v>0</v>
      </c>
      <c r="L2125">
        <f t="shared" si="33"/>
        <v>3</v>
      </c>
      <c r="M2125">
        <f t="shared" si="33"/>
        <v>4</v>
      </c>
      <c r="N2125" t="b">
        <v>0</v>
      </c>
      <c r="O2125">
        <v>0</v>
      </c>
      <c r="Q2125">
        <v>0</v>
      </c>
      <c r="R2125" t="b">
        <v>0</v>
      </c>
    </row>
    <row r="2126" spans="1:18" hidden="1">
      <c r="A2126" t="s">
        <v>1424</v>
      </c>
      <c r="B2126" t="s">
        <v>5426</v>
      </c>
      <c r="C2126" t="s">
        <v>5427</v>
      </c>
      <c r="E2126">
        <v>2</v>
      </c>
      <c r="F2126">
        <v>3</v>
      </c>
      <c r="G2126">
        <v>1</v>
      </c>
      <c r="H2126">
        <v>1</v>
      </c>
      <c r="J2126" t="s">
        <v>93</v>
      </c>
      <c r="K2126" t="b">
        <v>0</v>
      </c>
      <c r="L2126">
        <f t="shared" si="33"/>
        <v>3</v>
      </c>
      <c r="M2126">
        <f t="shared" si="33"/>
        <v>4</v>
      </c>
      <c r="N2126" t="b">
        <v>0</v>
      </c>
      <c r="O2126">
        <v>0</v>
      </c>
      <c r="Q2126">
        <v>0</v>
      </c>
      <c r="R2126" t="b">
        <v>0</v>
      </c>
    </row>
    <row r="2127" spans="1:18" hidden="1">
      <c r="A2127" t="s">
        <v>1304</v>
      </c>
      <c r="B2127" t="s">
        <v>5428</v>
      </c>
      <c r="C2127" t="s">
        <v>5429</v>
      </c>
      <c r="E2127">
        <v>1</v>
      </c>
      <c r="F2127">
        <v>1</v>
      </c>
      <c r="G2127">
        <v>2</v>
      </c>
      <c r="H2127">
        <v>3</v>
      </c>
      <c r="J2127" t="s">
        <v>93</v>
      </c>
      <c r="K2127" t="b">
        <v>0</v>
      </c>
      <c r="L2127">
        <f t="shared" si="33"/>
        <v>3</v>
      </c>
      <c r="M2127">
        <f t="shared" si="33"/>
        <v>4</v>
      </c>
      <c r="N2127" t="b">
        <v>0</v>
      </c>
      <c r="O2127">
        <v>0</v>
      </c>
      <c r="Q2127">
        <v>0</v>
      </c>
      <c r="R2127" t="b">
        <v>0</v>
      </c>
    </row>
    <row r="2128" spans="1:18">
      <c r="A2128" t="s">
        <v>5430</v>
      </c>
      <c r="B2128" t="s">
        <v>5431</v>
      </c>
      <c r="C2128" t="s">
        <v>5432</v>
      </c>
      <c r="E2128">
        <v>2</v>
      </c>
      <c r="F2128">
        <v>2</v>
      </c>
      <c r="G2128">
        <v>1</v>
      </c>
      <c r="H2128">
        <v>2</v>
      </c>
      <c r="J2128" t="s">
        <v>22</v>
      </c>
      <c r="K2128" t="b">
        <v>1</v>
      </c>
      <c r="L2128">
        <f t="shared" si="33"/>
        <v>3</v>
      </c>
      <c r="M2128">
        <f t="shared" si="33"/>
        <v>4</v>
      </c>
      <c r="N2128" t="b">
        <v>0</v>
      </c>
      <c r="O2128">
        <v>1</v>
      </c>
      <c r="P2128" t="s">
        <v>33</v>
      </c>
      <c r="Q2128">
        <v>2</v>
      </c>
      <c r="R2128" t="b">
        <v>1</v>
      </c>
    </row>
    <row r="2129" spans="1:18" hidden="1">
      <c r="A2129" t="s">
        <v>4834</v>
      </c>
      <c r="B2129" t="s">
        <v>5433</v>
      </c>
      <c r="C2129" t="s">
        <v>5434</v>
      </c>
      <c r="E2129">
        <v>2</v>
      </c>
      <c r="F2129">
        <v>2</v>
      </c>
      <c r="G2129">
        <v>1</v>
      </c>
      <c r="H2129">
        <v>1</v>
      </c>
      <c r="J2129" t="s">
        <v>93</v>
      </c>
      <c r="K2129" t="b">
        <v>0</v>
      </c>
      <c r="L2129">
        <f t="shared" si="33"/>
        <v>3</v>
      </c>
      <c r="M2129">
        <f t="shared" si="33"/>
        <v>3</v>
      </c>
      <c r="N2129" t="b">
        <v>0</v>
      </c>
      <c r="O2129">
        <v>0</v>
      </c>
      <c r="Q2129">
        <v>0</v>
      </c>
      <c r="R2129" t="b">
        <v>0</v>
      </c>
    </row>
    <row r="2130" spans="1:18" hidden="1">
      <c r="A2130" t="s">
        <v>4834</v>
      </c>
      <c r="B2130" t="s">
        <v>5435</v>
      </c>
      <c r="C2130" t="s">
        <v>5436</v>
      </c>
      <c r="E2130">
        <v>2</v>
      </c>
      <c r="F2130">
        <v>2</v>
      </c>
      <c r="G2130">
        <v>1</v>
      </c>
      <c r="H2130">
        <v>1</v>
      </c>
      <c r="J2130" t="s">
        <v>93</v>
      </c>
      <c r="K2130" t="b">
        <v>0</v>
      </c>
      <c r="L2130">
        <f t="shared" si="33"/>
        <v>3</v>
      </c>
      <c r="M2130">
        <f t="shared" si="33"/>
        <v>3</v>
      </c>
      <c r="N2130" t="b">
        <v>0</v>
      </c>
      <c r="O2130">
        <v>0</v>
      </c>
      <c r="Q2130">
        <v>0</v>
      </c>
      <c r="R2130" t="b">
        <v>0</v>
      </c>
    </row>
    <row r="2131" spans="1:18" hidden="1">
      <c r="A2131" t="s">
        <v>1293</v>
      </c>
      <c r="B2131" t="s">
        <v>5437</v>
      </c>
      <c r="C2131" t="s">
        <v>5438</v>
      </c>
      <c r="E2131">
        <v>2</v>
      </c>
      <c r="F2131">
        <v>1</v>
      </c>
      <c r="G2131">
        <v>1</v>
      </c>
      <c r="H2131">
        <v>2</v>
      </c>
      <c r="J2131" t="s">
        <v>93</v>
      </c>
      <c r="K2131" t="b">
        <v>0</v>
      </c>
      <c r="L2131">
        <f t="shared" si="33"/>
        <v>3</v>
      </c>
      <c r="M2131">
        <f t="shared" si="33"/>
        <v>3</v>
      </c>
      <c r="N2131" t="b">
        <v>0</v>
      </c>
      <c r="O2131">
        <v>0</v>
      </c>
      <c r="Q2131">
        <v>0</v>
      </c>
      <c r="R2131" t="b">
        <v>0</v>
      </c>
    </row>
    <row r="2132" spans="1:18" hidden="1">
      <c r="A2132" t="s">
        <v>5439</v>
      </c>
      <c r="B2132" t="s">
        <v>5440</v>
      </c>
      <c r="C2132" t="s">
        <v>5441</v>
      </c>
      <c r="E2132">
        <v>0</v>
      </c>
      <c r="F2132">
        <v>0</v>
      </c>
      <c r="G2132">
        <v>3</v>
      </c>
      <c r="H2132">
        <v>3</v>
      </c>
      <c r="J2132" t="s">
        <v>93</v>
      </c>
      <c r="K2132" t="b">
        <v>0</v>
      </c>
      <c r="L2132">
        <f t="shared" si="33"/>
        <v>3</v>
      </c>
      <c r="M2132">
        <f t="shared" si="33"/>
        <v>3</v>
      </c>
      <c r="N2132" t="b">
        <v>0</v>
      </c>
      <c r="O2132">
        <v>0</v>
      </c>
      <c r="Q2132">
        <v>0</v>
      </c>
      <c r="R2132" t="b">
        <v>0</v>
      </c>
    </row>
    <row r="2133" spans="1:18" hidden="1">
      <c r="A2133" t="s">
        <v>5439</v>
      </c>
      <c r="B2133" t="s">
        <v>5442</v>
      </c>
      <c r="C2133" t="s">
        <v>5443</v>
      </c>
      <c r="E2133">
        <v>0</v>
      </c>
      <c r="F2133">
        <v>0</v>
      </c>
      <c r="G2133">
        <v>3</v>
      </c>
      <c r="H2133">
        <v>3</v>
      </c>
      <c r="J2133" t="s">
        <v>93</v>
      </c>
      <c r="K2133" t="b">
        <v>0</v>
      </c>
      <c r="L2133">
        <f t="shared" si="33"/>
        <v>3</v>
      </c>
      <c r="M2133">
        <f t="shared" si="33"/>
        <v>3</v>
      </c>
      <c r="N2133" t="b">
        <v>0</v>
      </c>
      <c r="O2133">
        <v>0</v>
      </c>
      <c r="Q2133">
        <v>0</v>
      </c>
      <c r="R2133" t="b">
        <v>0</v>
      </c>
    </row>
    <row r="2134" spans="1:18" hidden="1">
      <c r="A2134" t="s">
        <v>2477</v>
      </c>
      <c r="B2134" t="s">
        <v>5444</v>
      </c>
      <c r="C2134" t="s">
        <v>5445</v>
      </c>
      <c r="E2134">
        <v>1</v>
      </c>
      <c r="F2134">
        <v>1</v>
      </c>
      <c r="G2134">
        <v>2</v>
      </c>
      <c r="H2134">
        <v>2</v>
      </c>
      <c r="J2134" t="s">
        <v>93</v>
      </c>
      <c r="K2134" t="b">
        <v>0</v>
      </c>
      <c r="L2134">
        <f t="shared" si="33"/>
        <v>3</v>
      </c>
      <c r="M2134">
        <f t="shared" si="33"/>
        <v>3</v>
      </c>
      <c r="N2134" t="b">
        <v>0</v>
      </c>
      <c r="O2134">
        <v>0</v>
      </c>
      <c r="Q2134">
        <v>0</v>
      </c>
      <c r="R2134" t="b">
        <v>0</v>
      </c>
    </row>
    <row r="2135" spans="1:18" hidden="1">
      <c r="A2135" t="s">
        <v>4041</v>
      </c>
      <c r="B2135" t="s">
        <v>5446</v>
      </c>
      <c r="C2135" t="s">
        <v>5447</v>
      </c>
      <c r="E2135">
        <v>3</v>
      </c>
      <c r="F2135">
        <v>3</v>
      </c>
      <c r="G2135">
        <v>0</v>
      </c>
      <c r="H2135">
        <v>0</v>
      </c>
      <c r="J2135" t="s">
        <v>93</v>
      </c>
      <c r="K2135" t="b">
        <v>0</v>
      </c>
      <c r="L2135">
        <f t="shared" si="33"/>
        <v>3</v>
      </c>
      <c r="M2135">
        <f t="shared" si="33"/>
        <v>3</v>
      </c>
      <c r="N2135" t="b">
        <v>0</v>
      </c>
      <c r="O2135">
        <v>0</v>
      </c>
      <c r="Q2135">
        <v>0</v>
      </c>
      <c r="R2135" t="b">
        <v>0</v>
      </c>
    </row>
    <row r="2136" spans="1:18" hidden="1">
      <c r="A2136" t="s">
        <v>4041</v>
      </c>
      <c r="B2136" t="s">
        <v>5448</v>
      </c>
      <c r="C2136" t="s">
        <v>5449</v>
      </c>
      <c r="E2136">
        <v>3</v>
      </c>
      <c r="F2136">
        <v>3</v>
      </c>
      <c r="G2136">
        <v>0</v>
      </c>
      <c r="H2136">
        <v>0</v>
      </c>
      <c r="J2136" t="s">
        <v>93</v>
      </c>
      <c r="K2136" t="b">
        <v>0</v>
      </c>
      <c r="L2136">
        <f t="shared" si="33"/>
        <v>3</v>
      </c>
      <c r="M2136">
        <f t="shared" si="33"/>
        <v>3</v>
      </c>
      <c r="N2136" t="b">
        <v>0</v>
      </c>
      <c r="O2136">
        <v>0</v>
      </c>
      <c r="Q2136">
        <v>0</v>
      </c>
      <c r="R2136" t="b">
        <v>0</v>
      </c>
    </row>
    <row r="2137" spans="1:18" hidden="1">
      <c r="A2137" t="s">
        <v>4041</v>
      </c>
      <c r="B2137" t="s">
        <v>5450</v>
      </c>
      <c r="C2137" t="s">
        <v>5451</v>
      </c>
      <c r="E2137">
        <v>0</v>
      </c>
      <c r="F2137">
        <v>0</v>
      </c>
      <c r="G2137">
        <v>3</v>
      </c>
      <c r="H2137">
        <v>3</v>
      </c>
      <c r="J2137" t="s">
        <v>93</v>
      </c>
      <c r="K2137" t="b">
        <v>0</v>
      </c>
      <c r="L2137">
        <f t="shared" si="33"/>
        <v>3</v>
      </c>
      <c r="M2137">
        <f t="shared" si="33"/>
        <v>3</v>
      </c>
      <c r="N2137" t="b">
        <v>0</v>
      </c>
      <c r="O2137">
        <v>0</v>
      </c>
      <c r="Q2137">
        <v>0</v>
      </c>
      <c r="R2137" t="b">
        <v>0</v>
      </c>
    </row>
    <row r="2138" spans="1:18" hidden="1">
      <c r="A2138" t="s">
        <v>4041</v>
      </c>
      <c r="B2138" t="s">
        <v>5452</v>
      </c>
      <c r="C2138" t="s">
        <v>5453</v>
      </c>
      <c r="E2138">
        <v>0</v>
      </c>
      <c r="F2138">
        <v>0</v>
      </c>
      <c r="G2138">
        <v>3</v>
      </c>
      <c r="H2138">
        <v>3</v>
      </c>
      <c r="J2138" t="s">
        <v>93</v>
      </c>
      <c r="K2138" t="b">
        <v>0</v>
      </c>
      <c r="L2138">
        <f t="shared" si="33"/>
        <v>3</v>
      </c>
      <c r="M2138">
        <f t="shared" si="33"/>
        <v>3</v>
      </c>
      <c r="N2138" t="b">
        <v>0</v>
      </c>
      <c r="O2138">
        <v>0</v>
      </c>
      <c r="Q2138">
        <v>0</v>
      </c>
      <c r="R2138" t="b">
        <v>0</v>
      </c>
    </row>
    <row r="2139" spans="1:18" hidden="1">
      <c r="A2139" t="s">
        <v>4041</v>
      </c>
      <c r="B2139" t="s">
        <v>5454</v>
      </c>
      <c r="C2139" t="s">
        <v>5455</v>
      </c>
      <c r="E2139">
        <v>0</v>
      </c>
      <c r="F2139">
        <v>0</v>
      </c>
      <c r="G2139">
        <v>3</v>
      </c>
      <c r="H2139">
        <v>3</v>
      </c>
      <c r="J2139" t="s">
        <v>93</v>
      </c>
      <c r="K2139" t="b">
        <v>0</v>
      </c>
      <c r="L2139">
        <f t="shared" si="33"/>
        <v>3</v>
      </c>
      <c r="M2139">
        <f t="shared" si="33"/>
        <v>3</v>
      </c>
      <c r="N2139" t="b">
        <v>0</v>
      </c>
      <c r="O2139">
        <v>0</v>
      </c>
      <c r="Q2139">
        <v>0</v>
      </c>
      <c r="R2139" t="b">
        <v>0</v>
      </c>
    </row>
    <row r="2140" spans="1:18">
      <c r="A2140" t="s">
        <v>192</v>
      </c>
      <c r="B2140" t="s">
        <v>5456</v>
      </c>
      <c r="C2140" t="s">
        <v>5457</v>
      </c>
      <c r="E2140">
        <v>0</v>
      </c>
      <c r="F2140">
        <v>0</v>
      </c>
      <c r="G2140">
        <v>3</v>
      </c>
      <c r="H2140">
        <v>3</v>
      </c>
      <c r="J2140" t="s">
        <v>22</v>
      </c>
      <c r="K2140" t="b">
        <v>1</v>
      </c>
      <c r="L2140">
        <f t="shared" si="33"/>
        <v>3</v>
      </c>
      <c r="M2140">
        <f t="shared" si="33"/>
        <v>3</v>
      </c>
      <c r="N2140" t="b">
        <v>0</v>
      </c>
      <c r="O2140">
        <v>1</v>
      </c>
      <c r="P2140" t="s">
        <v>5458</v>
      </c>
      <c r="Q2140">
        <v>2</v>
      </c>
      <c r="R2140" t="b">
        <v>1</v>
      </c>
    </row>
    <row r="2141" spans="1:18">
      <c r="A2141" t="s">
        <v>1384</v>
      </c>
      <c r="B2141" t="s">
        <v>5459</v>
      </c>
      <c r="C2141" t="s">
        <v>5460</v>
      </c>
      <c r="E2141">
        <v>2</v>
      </c>
      <c r="F2141">
        <v>4</v>
      </c>
      <c r="G2141">
        <v>1</v>
      </c>
      <c r="H2141">
        <v>2</v>
      </c>
      <c r="J2141" t="s">
        <v>22</v>
      </c>
      <c r="K2141" t="b">
        <v>1</v>
      </c>
      <c r="L2141">
        <f t="shared" si="33"/>
        <v>3</v>
      </c>
      <c r="M2141">
        <f t="shared" si="33"/>
        <v>6</v>
      </c>
      <c r="N2141" t="b">
        <v>0</v>
      </c>
      <c r="O2141">
        <v>1</v>
      </c>
      <c r="P2141" t="s">
        <v>5461</v>
      </c>
      <c r="Q2141">
        <v>2</v>
      </c>
      <c r="R2141" t="b">
        <v>1</v>
      </c>
    </row>
    <row r="2142" spans="1:18">
      <c r="A2142" t="s">
        <v>1384</v>
      </c>
      <c r="B2142" t="s">
        <v>5462</v>
      </c>
      <c r="C2142" t="s">
        <v>5463</v>
      </c>
      <c r="E2142">
        <v>2</v>
      </c>
      <c r="F2142">
        <v>3</v>
      </c>
      <c r="G2142">
        <v>1</v>
      </c>
      <c r="H2142">
        <v>2</v>
      </c>
      <c r="J2142" t="s">
        <v>22</v>
      </c>
      <c r="K2142" t="b">
        <v>1</v>
      </c>
      <c r="L2142">
        <f t="shared" si="33"/>
        <v>3</v>
      </c>
      <c r="M2142">
        <f t="shared" si="33"/>
        <v>5</v>
      </c>
      <c r="N2142" t="b">
        <v>0</v>
      </c>
      <c r="O2142">
        <v>1</v>
      </c>
      <c r="P2142" t="s">
        <v>5464</v>
      </c>
      <c r="Q2142">
        <v>2</v>
      </c>
      <c r="R2142" t="b">
        <v>1</v>
      </c>
    </row>
    <row r="2143" spans="1:18" hidden="1">
      <c r="A2143" t="s">
        <v>115</v>
      </c>
      <c r="B2143" t="s">
        <v>5465</v>
      </c>
      <c r="C2143" t="s">
        <v>5466</v>
      </c>
      <c r="E2143">
        <v>2</v>
      </c>
      <c r="F2143">
        <v>2</v>
      </c>
      <c r="G2143">
        <v>1</v>
      </c>
      <c r="H2143">
        <v>2</v>
      </c>
      <c r="J2143" t="s">
        <v>93</v>
      </c>
      <c r="K2143" t="b">
        <v>1</v>
      </c>
      <c r="L2143">
        <f t="shared" si="33"/>
        <v>3</v>
      </c>
      <c r="M2143">
        <f t="shared" si="33"/>
        <v>4</v>
      </c>
      <c r="N2143" t="b">
        <v>0</v>
      </c>
      <c r="O2143">
        <v>0</v>
      </c>
      <c r="Q2143">
        <v>0</v>
      </c>
      <c r="R2143" t="b">
        <v>0</v>
      </c>
    </row>
    <row r="2144" spans="1:18" hidden="1">
      <c r="A2144" t="s">
        <v>192</v>
      </c>
      <c r="B2144" t="s">
        <v>5467</v>
      </c>
      <c r="C2144" t="s">
        <v>5468</v>
      </c>
      <c r="E2144">
        <v>3</v>
      </c>
      <c r="F2144">
        <v>13</v>
      </c>
      <c r="G2144">
        <v>0</v>
      </c>
      <c r="H2144">
        <v>0</v>
      </c>
      <c r="J2144" t="s">
        <v>93</v>
      </c>
      <c r="K2144" t="b">
        <v>1</v>
      </c>
      <c r="L2144">
        <f t="shared" si="33"/>
        <v>3</v>
      </c>
      <c r="M2144">
        <f t="shared" si="33"/>
        <v>13</v>
      </c>
      <c r="N2144" t="b">
        <v>0</v>
      </c>
      <c r="O2144">
        <v>0</v>
      </c>
      <c r="Q2144">
        <v>0</v>
      </c>
      <c r="R2144" t="b">
        <v>0</v>
      </c>
    </row>
    <row r="2145" spans="1:18">
      <c r="A2145" t="s">
        <v>192</v>
      </c>
      <c r="B2145" t="s">
        <v>5469</v>
      </c>
      <c r="C2145" t="s">
        <v>5470</v>
      </c>
      <c r="E2145">
        <v>3</v>
      </c>
      <c r="F2145">
        <v>0</v>
      </c>
      <c r="G2145">
        <v>0</v>
      </c>
      <c r="H2145">
        <v>0</v>
      </c>
      <c r="J2145" t="s">
        <v>22</v>
      </c>
      <c r="K2145" t="b">
        <v>1</v>
      </c>
      <c r="L2145">
        <f t="shared" si="33"/>
        <v>3</v>
      </c>
      <c r="M2145">
        <f t="shared" si="33"/>
        <v>0</v>
      </c>
      <c r="N2145" t="b">
        <v>0</v>
      </c>
      <c r="O2145">
        <v>1</v>
      </c>
      <c r="P2145" t="s">
        <v>5471</v>
      </c>
      <c r="Q2145">
        <v>2</v>
      </c>
      <c r="R2145" t="b">
        <v>1</v>
      </c>
    </row>
    <row r="2146" spans="1:18">
      <c r="A2146" t="s">
        <v>192</v>
      </c>
      <c r="B2146" t="s">
        <v>5472</v>
      </c>
      <c r="C2146" t="s">
        <v>5473</v>
      </c>
      <c r="E2146">
        <v>3</v>
      </c>
      <c r="F2146">
        <v>0</v>
      </c>
      <c r="G2146">
        <v>0</v>
      </c>
      <c r="H2146">
        <v>0</v>
      </c>
      <c r="J2146" t="s">
        <v>22</v>
      </c>
      <c r="K2146" t="b">
        <v>1</v>
      </c>
      <c r="L2146">
        <f t="shared" si="33"/>
        <v>3</v>
      </c>
      <c r="M2146">
        <f t="shared" si="33"/>
        <v>0</v>
      </c>
      <c r="N2146" t="b">
        <v>0</v>
      </c>
      <c r="O2146">
        <v>0</v>
      </c>
      <c r="Q2146">
        <v>0</v>
      </c>
      <c r="R2146" t="b">
        <v>0</v>
      </c>
    </row>
    <row r="2147" spans="1:18" hidden="1">
      <c r="A2147" t="s">
        <v>87</v>
      </c>
      <c r="B2147" t="s">
        <v>5474</v>
      </c>
      <c r="C2147" t="s">
        <v>5475</v>
      </c>
      <c r="E2147">
        <v>1</v>
      </c>
      <c r="F2147">
        <v>2</v>
      </c>
      <c r="G2147">
        <v>2</v>
      </c>
      <c r="H2147">
        <v>2</v>
      </c>
      <c r="J2147" t="s">
        <v>93</v>
      </c>
      <c r="K2147" t="b">
        <v>1</v>
      </c>
      <c r="L2147">
        <f t="shared" si="33"/>
        <v>3</v>
      </c>
      <c r="M2147">
        <f t="shared" si="33"/>
        <v>4</v>
      </c>
      <c r="N2147" t="b">
        <v>0</v>
      </c>
      <c r="O2147">
        <v>0</v>
      </c>
      <c r="Q2147">
        <v>0</v>
      </c>
      <c r="R2147" t="b">
        <v>0</v>
      </c>
    </row>
    <row r="2148" spans="1:18" hidden="1">
      <c r="A2148" t="s">
        <v>361</v>
      </c>
      <c r="B2148" t="s">
        <v>5476</v>
      </c>
      <c r="C2148" t="s">
        <v>5477</v>
      </c>
      <c r="D2148" t="s">
        <v>519</v>
      </c>
      <c r="E2148">
        <v>2</v>
      </c>
      <c r="F2148">
        <v>0</v>
      </c>
      <c r="G2148">
        <v>1</v>
      </c>
      <c r="H2148">
        <v>1</v>
      </c>
      <c r="I2148" t="s">
        <v>520</v>
      </c>
      <c r="J2148" t="s">
        <v>93</v>
      </c>
      <c r="K2148" t="b">
        <v>0</v>
      </c>
      <c r="L2148">
        <f t="shared" si="33"/>
        <v>3</v>
      </c>
      <c r="M2148">
        <f t="shared" si="33"/>
        <v>1</v>
      </c>
      <c r="N2148" t="b">
        <v>1</v>
      </c>
      <c r="O2148">
        <v>0</v>
      </c>
      <c r="Q2148">
        <v>0</v>
      </c>
      <c r="R2148" t="b">
        <v>0</v>
      </c>
    </row>
    <row r="2149" spans="1:18">
      <c r="A2149" t="s">
        <v>1782</v>
      </c>
      <c r="B2149" t="s">
        <v>5478</v>
      </c>
      <c r="C2149" t="s">
        <v>5479</v>
      </c>
      <c r="E2149">
        <v>1</v>
      </c>
      <c r="F2149">
        <v>2</v>
      </c>
      <c r="G2149">
        <v>2</v>
      </c>
      <c r="H2149">
        <v>4</v>
      </c>
      <c r="J2149" t="s">
        <v>22</v>
      </c>
      <c r="K2149" t="b">
        <v>1</v>
      </c>
      <c r="L2149">
        <f t="shared" si="33"/>
        <v>3</v>
      </c>
      <c r="M2149">
        <f t="shared" si="33"/>
        <v>6</v>
      </c>
      <c r="N2149" t="b">
        <v>0</v>
      </c>
      <c r="O2149">
        <v>1</v>
      </c>
      <c r="P2149" t="s">
        <v>5480</v>
      </c>
      <c r="Q2149">
        <v>2</v>
      </c>
      <c r="R2149" t="b">
        <v>1</v>
      </c>
    </row>
    <row r="2150" spans="1:18">
      <c r="A2150" t="s">
        <v>274</v>
      </c>
      <c r="B2150" t="s">
        <v>5481</v>
      </c>
      <c r="C2150" t="s">
        <v>5482</v>
      </c>
      <c r="E2150">
        <v>2</v>
      </c>
      <c r="F2150">
        <v>1</v>
      </c>
      <c r="G2150">
        <v>0</v>
      </c>
      <c r="H2150">
        <v>0</v>
      </c>
      <c r="J2150" t="s">
        <v>22</v>
      </c>
      <c r="K2150" t="b">
        <v>1</v>
      </c>
      <c r="L2150">
        <f t="shared" si="33"/>
        <v>2</v>
      </c>
      <c r="M2150">
        <f t="shared" si="33"/>
        <v>1</v>
      </c>
      <c r="N2150" t="b">
        <v>1</v>
      </c>
      <c r="O2150">
        <v>1</v>
      </c>
      <c r="P2150" t="s">
        <v>5483</v>
      </c>
      <c r="Q2150">
        <v>1</v>
      </c>
      <c r="R2150" t="b">
        <v>1</v>
      </c>
    </row>
    <row r="2151" spans="1:18" hidden="1">
      <c r="A2151" t="s">
        <v>438</v>
      </c>
      <c r="B2151" t="s">
        <v>5484</v>
      </c>
      <c r="C2151" t="s">
        <v>5485</v>
      </c>
      <c r="E2151">
        <v>2</v>
      </c>
      <c r="F2151">
        <v>0</v>
      </c>
      <c r="G2151">
        <v>0</v>
      </c>
      <c r="H2151">
        <v>0</v>
      </c>
      <c r="J2151" t="s">
        <v>93</v>
      </c>
      <c r="K2151" t="b">
        <v>1</v>
      </c>
      <c r="L2151">
        <f t="shared" si="33"/>
        <v>2</v>
      </c>
      <c r="M2151">
        <f t="shared" si="33"/>
        <v>0</v>
      </c>
      <c r="N2151" t="b">
        <v>0</v>
      </c>
      <c r="O2151">
        <v>0</v>
      </c>
      <c r="Q2151">
        <v>0</v>
      </c>
      <c r="R2151" t="b">
        <v>0</v>
      </c>
    </row>
    <row r="2152" spans="1:18">
      <c r="A2152" t="s">
        <v>334</v>
      </c>
      <c r="B2152" t="s">
        <v>5486</v>
      </c>
      <c r="C2152" t="s">
        <v>5487</v>
      </c>
      <c r="E2152">
        <v>2</v>
      </c>
      <c r="F2152">
        <v>1</v>
      </c>
      <c r="G2152">
        <v>0</v>
      </c>
      <c r="H2152">
        <v>0</v>
      </c>
      <c r="J2152" t="s">
        <v>22</v>
      </c>
      <c r="K2152" t="b">
        <v>1</v>
      </c>
      <c r="L2152">
        <f t="shared" si="33"/>
        <v>2</v>
      </c>
      <c r="M2152">
        <f t="shared" si="33"/>
        <v>1</v>
      </c>
      <c r="N2152" t="b">
        <v>0</v>
      </c>
      <c r="O2152">
        <v>1</v>
      </c>
      <c r="P2152" t="s">
        <v>5488</v>
      </c>
      <c r="Q2152">
        <v>2</v>
      </c>
      <c r="R2152" t="b">
        <v>1</v>
      </c>
    </row>
    <row r="2153" spans="1:18">
      <c r="A2153" t="s">
        <v>1191</v>
      </c>
      <c r="B2153" t="s">
        <v>5489</v>
      </c>
      <c r="C2153" t="s">
        <v>5490</v>
      </c>
      <c r="E2153">
        <v>1</v>
      </c>
      <c r="F2153">
        <v>2</v>
      </c>
      <c r="G2153">
        <v>1</v>
      </c>
      <c r="H2153">
        <v>1</v>
      </c>
      <c r="J2153" t="s">
        <v>22</v>
      </c>
      <c r="K2153" t="b">
        <v>1</v>
      </c>
      <c r="L2153">
        <f t="shared" si="33"/>
        <v>2</v>
      </c>
      <c r="M2153">
        <f t="shared" si="33"/>
        <v>3</v>
      </c>
      <c r="N2153" t="b">
        <v>0</v>
      </c>
      <c r="O2153">
        <v>1</v>
      </c>
      <c r="P2153" t="s">
        <v>5491</v>
      </c>
      <c r="Q2153">
        <v>2</v>
      </c>
      <c r="R2153" t="b">
        <v>1</v>
      </c>
    </row>
    <row r="2154" spans="1:18">
      <c r="A2154" t="s">
        <v>1191</v>
      </c>
      <c r="B2154" t="s">
        <v>5492</v>
      </c>
      <c r="C2154" t="s">
        <v>5493</v>
      </c>
      <c r="E2154">
        <v>1</v>
      </c>
      <c r="F2154">
        <v>2</v>
      </c>
      <c r="G2154">
        <v>1</v>
      </c>
      <c r="H2154">
        <v>4</v>
      </c>
      <c r="J2154" t="s">
        <v>22</v>
      </c>
      <c r="K2154" t="b">
        <v>1</v>
      </c>
      <c r="L2154">
        <f t="shared" si="33"/>
        <v>2</v>
      </c>
      <c r="M2154">
        <f t="shared" si="33"/>
        <v>6</v>
      </c>
      <c r="N2154" t="b">
        <v>0</v>
      </c>
      <c r="O2154">
        <v>1</v>
      </c>
      <c r="P2154" t="s">
        <v>5494</v>
      </c>
      <c r="Q2154">
        <v>2</v>
      </c>
      <c r="R2154" t="b">
        <v>1</v>
      </c>
    </row>
    <row r="2155" spans="1:18" hidden="1">
      <c r="A2155" t="s">
        <v>1191</v>
      </c>
      <c r="B2155" t="s">
        <v>5495</v>
      </c>
      <c r="C2155" t="s">
        <v>5496</v>
      </c>
      <c r="E2155">
        <v>2</v>
      </c>
      <c r="F2155">
        <v>4</v>
      </c>
      <c r="G2155">
        <v>0</v>
      </c>
      <c r="H2155">
        <v>0</v>
      </c>
      <c r="J2155" t="s">
        <v>93</v>
      </c>
      <c r="K2155" t="b">
        <v>1</v>
      </c>
      <c r="L2155">
        <f t="shared" si="33"/>
        <v>2</v>
      </c>
      <c r="M2155">
        <f t="shared" si="33"/>
        <v>4</v>
      </c>
      <c r="N2155" t="b">
        <v>0</v>
      </c>
      <c r="O2155">
        <v>0</v>
      </c>
      <c r="Q2155">
        <v>0</v>
      </c>
      <c r="R2155" t="b">
        <v>0</v>
      </c>
    </row>
    <row r="2156" spans="1:18" hidden="1">
      <c r="A2156" t="s">
        <v>1191</v>
      </c>
      <c r="B2156" t="s">
        <v>5497</v>
      </c>
      <c r="C2156" t="s">
        <v>5498</v>
      </c>
      <c r="E2156">
        <v>2</v>
      </c>
      <c r="F2156">
        <v>4</v>
      </c>
      <c r="G2156">
        <v>0</v>
      </c>
      <c r="H2156">
        <v>0</v>
      </c>
      <c r="J2156" t="s">
        <v>93</v>
      </c>
      <c r="K2156" t="b">
        <v>1</v>
      </c>
      <c r="L2156">
        <f t="shared" si="33"/>
        <v>2</v>
      </c>
      <c r="M2156">
        <f t="shared" si="33"/>
        <v>4</v>
      </c>
      <c r="N2156" t="b">
        <v>0</v>
      </c>
      <c r="O2156">
        <v>0.16669999999999999</v>
      </c>
      <c r="P2156" t="s">
        <v>5499</v>
      </c>
      <c r="Q2156">
        <v>24</v>
      </c>
      <c r="R2156" t="b">
        <v>1</v>
      </c>
    </row>
    <row r="2157" spans="1:18" hidden="1">
      <c r="A2157" t="s">
        <v>1191</v>
      </c>
      <c r="B2157" t="s">
        <v>5500</v>
      </c>
      <c r="C2157" t="s">
        <v>5501</v>
      </c>
      <c r="E2157">
        <v>2</v>
      </c>
      <c r="F2157">
        <v>18</v>
      </c>
      <c r="G2157">
        <v>0</v>
      </c>
      <c r="H2157">
        <v>0</v>
      </c>
      <c r="J2157" t="s">
        <v>93</v>
      </c>
      <c r="K2157" t="b">
        <v>1</v>
      </c>
      <c r="L2157">
        <f t="shared" si="33"/>
        <v>2</v>
      </c>
      <c r="M2157">
        <f t="shared" si="33"/>
        <v>18</v>
      </c>
      <c r="N2157" t="b">
        <v>0</v>
      </c>
      <c r="O2157">
        <v>0</v>
      </c>
      <c r="Q2157">
        <v>0</v>
      </c>
      <c r="R2157" t="b">
        <v>0</v>
      </c>
    </row>
    <row r="2158" spans="1:18">
      <c r="A2158" t="s">
        <v>1191</v>
      </c>
      <c r="B2158" t="s">
        <v>5502</v>
      </c>
      <c r="C2158" t="s">
        <v>5503</v>
      </c>
      <c r="E2158">
        <v>2</v>
      </c>
      <c r="F2158">
        <v>4</v>
      </c>
      <c r="G2158">
        <v>0</v>
      </c>
      <c r="H2158">
        <v>0</v>
      </c>
      <c r="J2158" t="s">
        <v>22</v>
      </c>
      <c r="K2158" t="b">
        <v>1</v>
      </c>
      <c r="L2158">
        <f t="shared" si="33"/>
        <v>2</v>
      </c>
      <c r="M2158">
        <f t="shared" si="33"/>
        <v>4</v>
      </c>
      <c r="N2158" t="b">
        <v>0</v>
      </c>
      <c r="O2158">
        <v>1</v>
      </c>
      <c r="P2158" t="s">
        <v>5504</v>
      </c>
      <c r="Q2158">
        <v>2</v>
      </c>
      <c r="R2158" t="b">
        <v>1</v>
      </c>
    </row>
    <row r="2159" spans="1:18" hidden="1">
      <c r="A2159" t="s">
        <v>1191</v>
      </c>
      <c r="B2159" t="s">
        <v>5505</v>
      </c>
      <c r="C2159" t="s">
        <v>5506</v>
      </c>
      <c r="E2159">
        <v>2</v>
      </c>
      <c r="F2159">
        <v>3</v>
      </c>
      <c r="G2159">
        <v>0</v>
      </c>
      <c r="H2159">
        <v>0</v>
      </c>
      <c r="J2159" t="s">
        <v>93</v>
      </c>
      <c r="K2159" t="b">
        <v>1</v>
      </c>
      <c r="L2159">
        <f t="shared" si="33"/>
        <v>2</v>
      </c>
      <c r="M2159">
        <f t="shared" si="33"/>
        <v>3</v>
      </c>
      <c r="N2159" t="b">
        <v>0</v>
      </c>
      <c r="O2159">
        <v>0</v>
      </c>
      <c r="Q2159">
        <v>0</v>
      </c>
      <c r="R2159" t="b">
        <v>0</v>
      </c>
    </row>
    <row r="2160" spans="1:18">
      <c r="A2160" t="s">
        <v>1191</v>
      </c>
      <c r="B2160" t="s">
        <v>5507</v>
      </c>
      <c r="C2160" t="s">
        <v>5508</v>
      </c>
      <c r="E2160">
        <v>2</v>
      </c>
      <c r="F2160">
        <v>3</v>
      </c>
      <c r="G2160">
        <v>0</v>
      </c>
      <c r="H2160">
        <v>0</v>
      </c>
      <c r="J2160" t="s">
        <v>22</v>
      </c>
      <c r="K2160" t="b">
        <v>1</v>
      </c>
      <c r="L2160">
        <f t="shared" si="33"/>
        <v>2</v>
      </c>
      <c r="M2160">
        <f t="shared" si="33"/>
        <v>3</v>
      </c>
      <c r="N2160" t="b">
        <v>0</v>
      </c>
      <c r="O2160">
        <v>1</v>
      </c>
      <c r="P2160" t="s">
        <v>5509</v>
      </c>
      <c r="Q2160">
        <v>2</v>
      </c>
      <c r="R2160" t="b">
        <v>1</v>
      </c>
    </row>
    <row r="2161" spans="1:18" hidden="1">
      <c r="A2161" t="s">
        <v>1191</v>
      </c>
      <c r="B2161" t="s">
        <v>5510</v>
      </c>
      <c r="C2161" t="s">
        <v>5511</v>
      </c>
      <c r="E2161">
        <v>1</v>
      </c>
      <c r="F2161">
        <v>1</v>
      </c>
      <c r="G2161">
        <v>1</v>
      </c>
      <c r="H2161">
        <v>1</v>
      </c>
      <c r="J2161" t="s">
        <v>93</v>
      </c>
      <c r="K2161" t="b">
        <v>1</v>
      </c>
      <c r="L2161">
        <f t="shared" si="33"/>
        <v>2</v>
      </c>
      <c r="M2161">
        <f t="shared" si="33"/>
        <v>2</v>
      </c>
      <c r="N2161" t="b">
        <v>0</v>
      </c>
      <c r="O2161">
        <v>0.33329999999999999</v>
      </c>
      <c r="P2161" t="s">
        <v>5512</v>
      </c>
      <c r="Q2161">
        <v>8</v>
      </c>
      <c r="R2161" t="b">
        <v>1</v>
      </c>
    </row>
    <row r="2162" spans="1:18" hidden="1">
      <c r="A2162" t="s">
        <v>1191</v>
      </c>
      <c r="B2162" t="s">
        <v>5513</v>
      </c>
      <c r="C2162" t="s">
        <v>5514</v>
      </c>
      <c r="E2162">
        <v>2</v>
      </c>
      <c r="F2162">
        <v>15</v>
      </c>
      <c r="G2162">
        <v>0</v>
      </c>
      <c r="H2162">
        <v>0</v>
      </c>
      <c r="J2162" t="s">
        <v>93</v>
      </c>
      <c r="K2162" t="b">
        <v>1</v>
      </c>
      <c r="L2162">
        <f t="shared" si="33"/>
        <v>2</v>
      </c>
      <c r="M2162">
        <f t="shared" si="33"/>
        <v>15</v>
      </c>
      <c r="N2162" t="b">
        <v>0</v>
      </c>
      <c r="O2162">
        <v>0</v>
      </c>
      <c r="Q2162">
        <v>0</v>
      </c>
      <c r="R2162" t="b">
        <v>0</v>
      </c>
    </row>
    <row r="2163" spans="1:18" hidden="1">
      <c r="A2163" t="s">
        <v>1191</v>
      </c>
      <c r="B2163" t="s">
        <v>5515</v>
      </c>
      <c r="C2163" t="s">
        <v>5516</v>
      </c>
      <c r="E2163">
        <v>2</v>
      </c>
      <c r="F2163">
        <v>15</v>
      </c>
      <c r="G2163">
        <v>0</v>
      </c>
      <c r="H2163">
        <v>0</v>
      </c>
      <c r="J2163" t="s">
        <v>93</v>
      </c>
      <c r="K2163" t="b">
        <v>1</v>
      </c>
      <c r="L2163">
        <f t="shared" si="33"/>
        <v>2</v>
      </c>
      <c r="M2163">
        <f t="shared" si="33"/>
        <v>15</v>
      </c>
      <c r="N2163" t="b">
        <v>0</v>
      </c>
      <c r="O2163">
        <v>0</v>
      </c>
      <c r="Q2163">
        <v>0</v>
      </c>
      <c r="R2163" t="b">
        <v>0</v>
      </c>
    </row>
    <row r="2164" spans="1:18" hidden="1">
      <c r="A2164" t="s">
        <v>1191</v>
      </c>
      <c r="B2164" t="s">
        <v>5517</v>
      </c>
      <c r="C2164" t="s">
        <v>5518</v>
      </c>
      <c r="E2164">
        <v>1</v>
      </c>
      <c r="F2164">
        <v>4</v>
      </c>
      <c r="G2164">
        <v>1</v>
      </c>
      <c r="H2164">
        <v>9</v>
      </c>
      <c r="J2164" t="s">
        <v>93</v>
      </c>
      <c r="K2164" t="b">
        <v>1</v>
      </c>
      <c r="L2164">
        <f t="shared" si="33"/>
        <v>2</v>
      </c>
      <c r="M2164">
        <f t="shared" si="33"/>
        <v>13</v>
      </c>
      <c r="N2164" t="b">
        <v>0</v>
      </c>
      <c r="O2164">
        <v>0</v>
      </c>
      <c r="Q2164">
        <v>0</v>
      </c>
      <c r="R2164" t="b">
        <v>0</v>
      </c>
    </row>
    <row r="2165" spans="1:18" hidden="1">
      <c r="A2165" t="s">
        <v>1191</v>
      </c>
      <c r="B2165" t="s">
        <v>5519</v>
      </c>
      <c r="C2165" t="s">
        <v>5520</v>
      </c>
      <c r="E2165">
        <v>2</v>
      </c>
      <c r="F2165">
        <v>41</v>
      </c>
      <c r="G2165">
        <v>0</v>
      </c>
      <c r="H2165">
        <v>0</v>
      </c>
      <c r="J2165" t="s">
        <v>93</v>
      </c>
      <c r="K2165" t="b">
        <v>1</v>
      </c>
      <c r="L2165">
        <f t="shared" si="33"/>
        <v>2</v>
      </c>
      <c r="M2165">
        <f t="shared" si="33"/>
        <v>41</v>
      </c>
      <c r="N2165" t="b">
        <v>0</v>
      </c>
      <c r="O2165">
        <v>0</v>
      </c>
      <c r="Q2165">
        <v>0</v>
      </c>
      <c r="R2165" t="b">
        <v>0</v>
      </c>
    </row>
    <row r="2166" spans="1:18" hidden="1">
      <c r="A2166" t="s">
        <v>1191</v>
      </c>
      <c r="B2166" t="s">
        <v>5521</v>
      </c>
      <c r="C2166" t="s">
        <v>5522</v>
      </c>
      <c r="E2166">
        <v>2</v>
      </c>
      <c r="F2166">
        <v>41</v>
      </c>
      <c r="G2166">
        <v>0</v>
      </c>
      <c r="H2166">
        <v>0</v>
      </c>
      <c r="J2166" t="s">
        <v>93</v>
      </c>
      <c r="K2166" t="b">
        <v>1</v>
      </c>
      <c r="L2166">
        <f t="shared" si="33"/>
        <v>2</v>
      </c>
      <c r="M2166">
        <f t="shared" si="33"/>
        <v>41</v>
      </c>
      <c r="N2166" t="b">
        <v>0</v>
      </c>
      <c r="O2166">
        <v>0</v>
      </c>
      <c r="Q2166">
        <v>0</v>
      </c>
      <c r="R2166" t="b">
        <v>0</v>
      </c>
    </row>
    <row r="2167" spans="1:18">
      <c r="A2167" t="s">
        <v>1191</v>
      </c>
      <c r="B2167" t="s">
        <v>5523</v>
      </c>
      <c r="C2167" t="s">
        <v>5524</v>
      </c>
      <c r="E2167">
        <v>2</v>
      </c>
      <c r="F2167">
        <v>3</v>
      </c>
      <c r="G2167">
        <v>0</v>
      </c>
      <c r="H2167">
        <v>0</v>
      </c>
      <c r="J2167" t="s">
        <v>22</v>
      </c>
      <c r="K2167" t="b">
        <v>1</v>
      </c>
      <c r="L2167">
        <f t="shared" si="33"/>
        <v>2</v>
      </c>
      <c r="M2167">
        <f t="shared" si="33"/>
        <v>3</v>
      </c>
      <c r="N2167" t="b">
        <v>0</v>
      </c>
      <c r="O2167">
        <v>1</v>
      </c>
      <c r="P2167" t="s">
        <v>5525</v>
      </c>
      <c r="Q2167">
        <v>2</v>
      </c>
      <c r="R2167" t="b">
        <v>1</v>
      </c>
    </row>
    <row r="2168" spans="1:18">
      <c r="A2168" t="s">
        <v>3627</v>
      </c>
      <c r="B2168" t="s">
        <v>5526</v>
      </c>
      <c r="C2168" t="s">
        <v>5527</v>
      </c>
      <c r="E2168">
        <v>1</v>
      </c>
      <c r="F2168">
        <v>0</v>
      </c>
      <c r="G2168">
        <v>1</v>
      </c>
      <c r="H2168">
        <v>1</v>
      </c>
      <c r="J2168" t="s">
        <v>22</v>
      </c>
      <c r="K2168" t="b">
        <v>1</v>
      </c>
      <c r="L2168">
        <f t="shared" si="33"/>
        <v>2</v>
      </c>
      <c r="M2168">
        <f t="shared" si="33"/>
        <v>1</v>
      </c>
      <c r="N2168" t="b">
        <v>0</v>
      </c>
      <c r="O2168">
        <v>1</v>
      </c>
      <c r="P2168" t="s">
        <v>5528</v>
      </c>
      <c r="Q2168">
        <v>2</v>
      </c>
      <c r="R2168" t="b">
        <v>1</v>
      </c>
    </row>
    <row r="2169" spans="1:18">
      <c r="A2169" t="s">
        <v>1987</v>
      </c>
      <c r="B2169" t="s">
        <v>5529</v>
      </c>
      <c r="C2169" t="s">
        <v>5530</v>
      </c>
      <c r="E2169">
        <v>1</v>
      </c>
      <c r="F2169">
        <v>1</v>
      </c>
      <c r="G2169">
        <v>1</v>
      </c>
      <c r="H2169">
        <v>1</v>
      </c>
      <c r="J2169" t="s">
        <v>22</v>
      </c>
      <c r="K2169" t="b">
        <v>1</v>
      </c>
      <c r="L2169">
        <f t="shared" si="33"/>
        <v>2</v>
      </c>
      <c r="M2169">
        <f t="shared" si="33"/>
        <v>2</v>
      </c>
      <c r="N2169" t="b">
        <v>0</v>
      </c>
      <c r="O2169">
        <v>1</v>
      </c>
      <c r="P2169" t="s">
        <v>5531</v>
      </c>
      <c r="Q2169">
        <v>2</v>
      </c>
      <c r="R2169" t="b">
        <v>1</v>
      </c>
    </row>
    <row r="2170" spans="1:18">
      <c r="A2170" t="s">
        <v>1987</v>
      </c>
      <c r="B2170" t="s">
        <v>5532</v>
      </c>
      <c r="C2170" t="s">
        <v>5533</v>
      </c>
      <c r="E2170">
        <v>1</v>
      </c>
      <c r="F2170">
        <v>1</v>
      </c>
      <c r="G2170">
        <v>1</v>
      </c>
      <c r="H2170">
        <v>1</v>
      </c>
      <c r="J2170" t="s">
        <v>22</v>
      </c>
      <c r="K2170" t="b">
        <v>1</v>
      </c>
      <c r="L2170">
        <f t="shared" si="33"/>
        <v>2</v>
      </c>
      <c r="M2170">
        <f t="shared" si="33"/>
        <v>2</v>
      </c>
      <c r="N2170" t="b">
        <v>0</v>
      </c>
      <c r="O2170">
        <v>1</v>
      </c>
      <c r="P2170" t="s">
        <v>5534</v>
      </c>
      <c r="Q2170">
        <v>2</v>
      </c>
      <c r="R2170" t="b">
        <v>1</v>
      </c>
    </row>
    <row r="2171" spans="1:18">
      <c r="A2171" t="s">
        <v>1987</v>
      </c>
      <c r="B2171" t="s">
        <v>5535</v>
      </c>
      <c r="C2171" t="s">
        <v>5536</v>
      </c>
      <c r="E2171">
        <v>1</v>
      </c>
      <c r="F2171">
        <v>1</v>
      </c>
      <c r="G2171">
        <v>1</v>
      </c>
      <c r="H2171">
        <v>1</v>
      </c>
      <c r="J2171" t="s">
        <v>22</v>
      </c>
      <c r="K2171" t="b">
        <v>1</v>
      </c>
      <c r="L2171">
        <f t="shared" si="33"/>
        <v>2</v>
      </c>
      <c r="M2171">
        <f t="shared" si="33"/>
        <v>2</v>
      </c>
      <c r="N2171" t="b">
        <v>0</v>
      </c>
      <c r="O2171">
        <v>1</v>
      </c>
      <c r="P2171" t="s">
        <v>5537</v>
      </c>
      <c r="Q2171">
        <v>2</v>
      </c>
      <c r="R2171" t="b">
        <v>1</v>
      </c>
    </row>
    <row r="2172" spans="1:18">
      <c r="A2172" t="s">
        <v>1987</v>
      </c>
      <c r="B2172" t="s">
        <v>5538</v>
      </c>
      <c r="C2172" t="s">
        <v>5539</v>
      </c>
      <c r="E2172">
        <v>1</v>
      </c>
      <c r="F2172">
        <v>1</v>
      </c>
      <c r="G2172">
        <v>1</v>
      </c>
      <c r="H2172">
        <v>1</v>
      </c>
      <c r="J2172" t="s">
        <v>22</v>
      </c>
      <c r="K2172" t="b">
        <v>1</v>
      </c>
      <c r="L2172">
        <f t="shared" si="33"/>
        <v>2</v>
      </c>
      <c r="M2172">
        <f t="shared" si="33"/>
        <v>2</v>
      </c>
      <c r="N2172" t="b">
        <v>0</v>
      </c>
      <c r="O2172">
        <v>1</v>
      </c>
      <c r="P2172" t="s">
        <v>5540</v>
      </c>
      <c r="Q2172">
        <v>2</v>
      </c>
      <c r="R2172" t="b">
        <v>1</v>
      </c>
    </row>
    <row r="2173" spans="1:18">
      <c r="A2173" t="s">
        <v>1987</v>
      </c>
      <c r="B2173" t="s">
        <v>5541</v>
      </c>
      <c r="C2173" t="s">
        <v>5542</v>
      </c>
      <c r="E2173">
        <v>1</v>
      </c>
      <c r="F2173">
        <v>1</v>
      </c>
      <c r="G2173">
        <v>1</v>
      </c>
      <c r="H2173">
        <v>1</v>
      </c>
      <c r="J2173" t="s">
        <v>22</v>
      </c>
      <c r="K2173" t="b">
        <v>1</v>
      </c>
      <c r="L2173">
        <f t="shared" si="33"/>
        <v>2</v>
      </c>
      <c r="M2173">
        <f t="shared" si="33"/>
        <v>2</v>
      </c>
      <c r="N2173" t="b">
        <v>0</v>
      </c>
      <c r="O2173">
        <v>1</v>
      </c>
      <c r="P2173" t="s">
        <v>5543</v>
      </c>
      <c r="Q2173">
        <v>2</v>
      </c>
      <c r="R2173" t="b">
        <v>1</v>
      </c>
    </row>
    <row r="2174" spans="1:18" hidden="1">
      <c r="A2174" t="s">
        <v>1224</v>
      </c>
      <c r="B2174" t="s">
        <v>5544</v>
      </c>
      <c r="C2174" t="s">
        <v>5545</v>
      </c>
      <c r="E2174">
        <v>2</v>
      </c>
      <c r="F2174">
        <v>0</v>
      </c>
      <c r="G2174">
        <v>0</v>
      </c>
      <c r="H2174">
        <v>0</v>
      </c>
      <c r="J2174" t="s">
        <v>93</v>
      </c>
      <c r="K2174" t="b">
        <v>1</v>
      </c>
      <c r="L2174">
        <f t="shared" si="33"/>
        <v>2</v>
      </c>
      <c r="M2174">
        <f t="shared" si="33"/>
        <v>0</v>
      </c>
      <c r="N2174" t="b">
        <v>0</v>
      </c>
      <c r="O2174">
        <v>0</v>
      </c>
      <c r="Q2174">
        <v>0</v>
      </c>
      <c r="R2174" t="b">
        <v>0</v>
      </c>
    </row>
    <row r="2175" spans="1:18">
      <c r="A2175" t="s">
        <v>24</v>
      </c>
      <c r="B2175" t="s">
        <v>5546</v>
      </c>
      <c r="C2175" t="s">
        <v>5547</v>
      </c>
      <c r="E2175">
        <v>2</v>
      </c>
      <c r="F2175">
        <v>3</v>
      </c>
      <c r="G2175">
        <v>0</v>
      </c>
      <c r="H2175">
        <v>0</v>
      </c>
      <c r="J2175" t="s">
        <v>22</v>
      </c>
      <c r="K2175" t="b">
        <v>1</v>
      </c>
      <c r="L2175">
        <f t="shared" si="33"/>
        <v>2</v>
      </c>
      <c r="M2175">
        <f t="shared" si="33"/>
        <v>3</v>
      </c>
      <c r="N2175" t="b">
        <v>0</v>
      </c>
      <c r="O2175">
        <v>1</v>
      </c>
      <c r="P2175" t="s">
        <v>2825</v>
      </c>
      <c r="Q2175">
        <v>2</v>
      </c>
      <c r="R2175" t="b">
        <v>1</v>
      </c>
    </row>
    <row r="2176" spans="1:18">
      <c r="A2176" t="s">
        <v>24</v>
      </c>
      <c r="B2176" t="s">
        <v>5548</v>
      </c>
      <c r="C2176" t="s">
        <v>5549</v>
      </c>
      <c r="E2176">
        <v>2</v>
      </c>
      <c r="F2176">
        <v>1</v>
      </c>
      <c r="G2176">
        <v>0</v>
      </c>
      <c r="H2176">
        <v>0</v>
      </c>
      <c r="J2176" t="s">
        <v>22</v>
      </c>
      <c r="K2176" t="b">
        <v>1</v>
      </c>
      <c r="L2176">
        <f t="shared" si="33"/>
        <v>2</v>
      </c>
      <c r="M2176">
        <f t="shared" si="33"/>
        <v>1</v>
      </c>
      <c r="N2176" t="b">
        <v>0</v>
      </c>
      <c r="O2176">
        <v>1</v>
      </c>
      <c r="P2176" t="s">
        <v>1928</v>
      </c>
      <c r="Q2176">
        <v>1</v>
      </c>
      <c r="R2176" t="b">
        <v>1</v>
      </c>
    </row>
    <row r="2177" spans="1:18" hidden="1">
      <c r="A2177" t="s">
        <v>24</v>
      </c>
      <c r="B2177" t="s">
        <v>5550</v>
      </c>
      <c r="C2177" t="s">
        <v>5551</v>
      </c>
      <c r="E2177">
        <v>1</v>
      </c>
      <c r="F2177">
        <v>2</v>
      </c>
      <c r="G2177">
        <v>1</v>
      </c>
      <c r="H2177">
        <v>2</v>
      </c>
      <c r="J2177" t="s">
        <v>93</v>
      </c>
      <c r="K2177" t="b">
        <v>1</v>
      </c>
      <c r="L2177">
        <f t="shared" si="33"/>
        <v>2</v>
      </c>
      <c r="M2177">
        <f t="shared" si="33"/>
        <v>4</v>
      </c>
      <c r="N2177" t="b">
        <v>0</v>
      </c>
      <c r="O2177">
        <v>0.33329999999999999</v>
      </c>
      <c r="P2177" t="s">
        <v>77</v>
      </c>
      <c r="Q2177">
        <v>30</v>
      </c>
      <c r="R2177" t="b">
        <v>1</v>
      </c>
    </row>
    <row r="2178" spans="1:18" hidden="1">
      <c r="A2178" t="s">
        <v>24</v>
      </c>
      <c r="B2178" t="s">
        <v>5552</v>
      </c>
      <c r="C2178" t="s">
        <v>5553</v>
      </c>
      <c r="E2178">
        <v>1</v>
      </c>
      <c r="F2178">
        <v>1</v>
      </c>
      <c r="G2178">
        <v>1</v>
      </c>
      <c r="H2178">
        <v>1</v>
      </c>
      <c r="J2178" t="s">
        <v>93</v>
      </c>
      <c r="K2178" t="b">
        <v>1</v>
      </c>
      <c r="L2178">
        <f t="shared" si="33"/>
        <v>2</v>
      </c>
      <c r="M2178">
        <f t="shared" si="33"/>
        <v>2</v>
      </c>
      <c r="N2178" t="b">
        <v>0</v>
      </c>
      <c r="O2178">
        <v>0</v>
      </c>
      <c r="Q2178">
        <v>0</v>
      </c>
      <c r="R2178" t="b">
        <v>0</v>
      </c>
    </row>
    <row r="2179" spans="1:18" hidden="1">
      <c r="A2179" t="s">
        <v>24</v>
      </c>
      <c r="B2179" t="s">
        <v>5554</v>
      </c>
      <c r="C2179" t="s">
        <v>5555</v>
      </c>
      <c r="E2179">
        <v>1</v>
      </c>
      <c r="F2179">
        <v>4</v>
      </c>
      <c r="G2179">
        <v>1</v>
      </c>
      <c r="H2179">
        <v>1</v>
      </c>
      <c r="J2179" t="s">
        <v>93</v>
      </c>
      <c r="K2179" t="b">
        <v>1</v>
      </c>
      <c r="L2179">
        <f t="shared" ref="L2179:M2242" si="34">E2179+G2179</f>
        <v>2</v>
      </c>
      <c r="M2179">
        <f t="shared" si="34"/>
        <v>5</v>
      </c>
      <c r="N2179" t="b">
        <v>0</v>
      </c>
      <c r="O2179">
        <v>0</v>
      </c>
      <c r="Q2179">
        <v>0</v>
      </c>
      <c r="R2179" t="b">
        <v>0</v>
      </c>
    </row>
    <row r="2180" spans="1:18">
      <c r="A2180" t="s">
        <v>24</v>
      </c>
      <c r="B2180" t="s">
        <v>5556</v>
      </c>
      <c r="C2180" t="s">
        <v>5557</v>
      </c>
      <c r="E2180">
        <v>2</v>
      </c>
      <c r="F2180">
        <v>0</v>
      </c>
      <c r="G2180">
        <v>0</v>
      </c>
      <c r="H2180">
        <v>0</v>
      </c>
      <c r="J2180" t="s">
        <v>22</v>
      </c>
      <c r="K2180" t="b">
        <v>1</v>
      </c>
      <c r="L2180">
        <f t="shared" si="34"/>
        <v>2</v>
      </c>
      <c r="M2180">
        <f t="shared" si="34"/>
        <v>0</v>
      </c>
      <c r="N2180" t="b">
        <v>0</v>
      </c>
      <c r="O2180">
        <v>0</v>
      </c>
      <c r="Q2180">
        <v>0</v>
      </c>
      <c r="R2180" t="b">
        <v>0</v>
      </c>
    </row>
    <row r="2181" spans="1:18">
      <c r="A2181" t="s">
        <v>24</v>
      </c>
      <c r="B2181" t="s">
        <v>5558</v>
      </c>
      <c r="C2181" t="s">
        <v>5559</v>
      </c>
      <c r="E2181">
        <v>2</v>
      </c>
      <c r="F2181">
        <v>3</v>
      </c>
      <c r="G2181">
        <v>0</v>
      </c>
      <c r="H2181">
        <v>0</v>
      </c>
      <c r="J2181" t="s">
        <v>22</v>
      </c>
      <c r="K2181" t="b">
        <v>1</v>
      </c>
      <c r="L2181">
        <f t="shared" si="34"/>
        <v>2</v>
      </c>
      <c r="M2181">
        <f t="shared" si="34"/>
        <v>3</v>
      </c>
      <c r="N2181" t="b">
        <v>0</v>
      </c>
      <c r="O2181">
        <v>1</v>
      </c>
      <c r="P2181" t="s">
        <v>4494</v>
      </c>
      <c r="Q2181">
        <v>2</v>
      </c>
      <c r="R2181" t="b">
        <v>1</v>
      </c>
    </row>
    <row r="2182" spans="1:18" hidden="1">
      <c r="A2182" t="s">
        <v>24</v>
      </c>
      <c r="B2182" t="s">
        <v>5560</v>
      </c>
      <c r="C2182" t="s">
        <v>5561</v>
      </c>
      <c r="E2182">
        <v>1</v>
      </c>
      <c r="F2182">
        <v>3</v>
      </c>
      <c r="G2182">
        <v>1</v>
      </c>
      <c r="H2182">
        <v>1</v>
      </c>
      <c r="J2182" t="s">
        <v>93</v>
      </c>
      <c r="K2182" t="b">
        <v>1</v>
      </c>
      <c r="L2182">
        <f t="shared" si="34"/>
        <v>2</v>
      </c>
      <c r="M2182">
        <f t="shared" si="34"/>
        <v>4</v>
      </c>
      <c r="N2182" t="b">
        <v>0</v>
      </c>
      <c r="O2182">
        <v>0</v>
      </c>
      <c r="Q2182">
        <v>0</v>
      </c>
      <c r="R2182" t="b">
        <v>0</v>
      </c>
    </row>
    <row r="2183" spans="1:18">
      <c r="A2183" t="s">
        <v>24</v>
      </c>
      <c r="B2183" t="s">
        <v>5562</v>
      </c>
      <c r="C2183" t="s">
        <v>5563</v>
      </c>
      <c r="E2183">
        <v>2</v>
      </c>
      <c r="F2183">
        <v>3</v>
      </c>
      <c r="G2183">
        <v>0</v>
      </c>
      <c r="H2183">
        <v>0</v>
      </c>
      <c r="J2183" t="s">
        <v>22</v>
      </c>
      <c r="K2183" t="b">
        <v>1</v>
      </c>
      <c r="L2183">
        <f t="shared" si="34"/>
        <v>2</v>
      </c>
      <c r="M2183">
        <f t="shared" si="34"/>
        <v>3</v>
      </c>
      <c r="N2183" t="b">
        <v>0</v>
      </c>
      <c r="O2183">
        <v>1</v>
      </c>
      <c r="P2183" t="s">
        <v>5564</v>
      </c>
      <c r="Q2183">
        <v>2</v>
      </c>
      <c r="R2183" t="b">
        <v>1</v>
      </c>
    </row>
    <row r="2184" spans="1:18" hidden="1">
      <c r="A2184" t="s">
        <v>24</v>
      </c>
      <c r="B2184" t="s">
        <v>5565</v>
      </c>
      <c r="C2184" t="s">
        <v>5566</v>
      </c>
      <c r="E2184">
        <v>2</v>
      </c>
      <c r="F2184">
        <v>4</v>
      </c>
      <c r="G2184">
        <v>0</v>
      </c>
      <c r="H2184">
        <v>0</v>
      </c>
      <c r="J2184" t="s">
        <v>93</v>
      </c>
      <c r="K2184" t="b">
        <v>1</v>
      </c>
      <c r="L2184">
        <f t="shared" si="34"/>
        <v>2</v>
      </c>
      <c r="M2184">
        <f t="shared" si="34"/>
        <v>4</v>
      </c>
      <c r="N2184" t="b">
        <v>0</v>
      </c>
      <c r="O2184">
        <v>0</v>
      </c>
      <c r="Q2184">
        <v>0</v>
      </c>
      <c r="R2184" t="b">
        <v>0</v>
      </c>
    </row>
    <row r="2185" spans="1:18" hidden="1">
      <c r="A2185" t="s">
        <v>24</v>
      </c>
      <c r="B2185" t="s">
        <v>5567</v>
      </c>
      <c r="C2185" t="s">
        <v>5568</v>
      </c>
      <c r="E2185">
        <v>2</v>
      </c>
      <c r="F2185">
        <v>3</v>
      </c>
      <c r="G2185">
        <v>0</v>
      </c>
      <c r="H2185">
        <v>0</v>
      </c>
      <c r="J2185" t="s">
        <v>999</v>
      </c>
      <c r="K2185" t="b">
        <v>1</v>
      </c>
      <c r="L2185">
        <f t="shared" si="34"/>
        <v>2</v>
      </c>
      <c r="M2185">
        <f t="shared" si="34"/>
        <v>3</v>
      </c>
      <c r="N2185" t="b">
        <v>0</v>
      </c>
      <c r="O2185">
        <v>0.5</v>
      </c>
      <c r="P2185" t="s">
        <v>3274</v>
      </c>
      <c r="Q2185">
        <v>2</v>
      </c>
      <c r="R2185" t="b">
        <v>1</v>
      </c>
    </row>
    <row r="2186" spans="1:18">
      <c r="A2186" t="s">
        <v>24</v>
      </c>
      <c r="B2186" t="s">
        <v>5569</v>
      </c>
      <c r="C2186" t="s">
        <v>5570</v>
      </c>
      <c r="E2186">
        <v>2</v>
      </c>
      <c r="F2186">
        <v>2</v>
      </c>
      <c r="G2186">
        <v>0</v>
      </c>
      <c r="H2186">
        <v>0</v>
      </c>
      <c r="J2186" t="s">
        <v>4749</v>
      </c>
      <c r="K2186" t="b">
        <v>1</v>
      </c>
      <c r="L2186">
        <f t="shared" si="34"/>
        <v>2</v>
      </c>
      <c r="M2186">
        <f t="shared" si="34"/>
        <v>2</v>
      </c>
      <c r="N2186" t="b">
        <v>0</v>
      </c>
      <c r="O2186">
        <v>0.33329999999999999</v>
      </c>
      <c r="P2186" t="s">
        <v>4341</v>
      </c>
      <c r="Q2186">
        <v>4</v>
      </c>
      <c r="R2186" t="b">
        <v>1</v>
      </c>
    </row>
    <row r="2187" spans="1:18">
      <c r="A2187" t="s">
        <v>24</v>
      </c>
      <c r="B2187" t="s">
        <v>5571</v>
      </c>
      <c r="C2187" t="s">
        <v>5572</v>
      </c>
      <c r="E2187">
        <v>1</v>
      </c>
      <c r="F2187">
        <v>1</v>
      </c>
      <c r="G2187">
        <v>1</v>
      </c>
      <c r="H2187">
        <v>2</v>
      </c>
      <c r="J2187" t="s">
        <v>22</v>
      </c>
      <c r="K2187" t="b">
        <v>1</v>
      </c>
      <c r="L2187">
        <f t="shared" si="34"/>
        <v>2</v>
      </c>
      <c r="M2187">
        <f t="shared" si="34"/>
        <v>3</v>
      </c>
      <c r="N2187" t="b">
        <v>0</v>
      </c>
      <c r="O2187">
        <v>0.33329999999999999</v>
      </c>
      <c r="P2187" t="s">
        <v>4341</v>
      </c>
      <c r="Q2187">
        <v>4</v>
      </c>
      <c r="R2187" t="b">
        <v>1</v>
      </c>
    </row>
    <row r="2188" spans="1:18" hidden="1">
      <c r="A2188" t="s">
        <v>854</v>
      </c>
      <c r="B2188" t="s">
        <v>5573</v>
      </c>
      <c r="C2188" t="s">
        <v>5574</v>
      </c>
      <c r="E2188">
        <v>2</v>
      </c>
      <c r="F2188">
        <v>3</v>
      </c>
      <c r="G2188">
        <v>0</v>
      </c>
      <c r="H2188">
        <v>0</v>
      </c>
      <c r="J2188" t="s">
        <v>93</v>
      </c>
      <c r="K2188" t="b">
        <v>1</v>
      </c>
      <c r="L2188">
        <f t="shared" si="34"/>
        <v>2</v>
      </c>
      <c r="M2188">
        <f t="shared" si="34"/>
        <v>3</v>
      </c>
      <c r="N2188" t="b">
        <v>0</v>
      </c>
      <c r="O2188">
        <v>0</v>
      </c>
      <c r="Q2188">
        <v>0</v>
      </c>
      <c r="R2188" t="b">
        <v>0</v>
      </c>
    </row>
    <row r="2189" spans="1:18">
      <c r="A2189" t="s">
        <v>854</v>
      </c>
      <c r="B2189" t="s">
        <v>5575</v>
      </c>
      <c r="C2189" t="s">
        <v>5576</v>
      </c>
      <c r="E2189">
        <v>1</v>
      </c>
      <c r="F2189">
        <v>1</v>
      </c>
      <c r="G2189">
        <v>1</v>
      </c>
      <c r="H2189">
        <v>1</v>
      </c>
      <c r="J2189" t="s">
        <v>22</v>
      </c>
      <c r="K2189" t="b">
        <v>1</v>
      </c>
      <c r="L2189">
        <f t="shared" si="34"/>
        <v>2</v>
      </c>
      <c r="M2189">
        <f t="shared" si="34"/>
        <v>2</v>
      </c>
      <c r="N2189" t="b">
        <v>0</v>
      </c>
      <c r="O2189">
        <v>1</v>
      </c>
      <c r="P2189" t="s">
        <v>5564</v>
      </c>
      <c r="Q2189">
        <v>2</v>
      </c>
      <c r="R2189" t="b">
        <v>1</v>
      </c>
    </row>
    <row r="2190" spans="1:18">
      <c r="A2190" t="s">
        <v>854</v>
      </c>
      <c r="B2190" t="s">
        <v>5577</v>
      </c>
      <c r="C2190" t="s">
        <v>5578</v>
      </c>
      <c r="E2190">
        <v>2</v>
      </c>
      <c r="F2190">
        <v>2</v>
      </c>
      <c r="G2190">
        <v>0</v>
      </c>
      <c r="H2190">
        <v>0</v>
      </c>
      <c r="J2190" t="s">
        <v>22</v>
      </c>
      <c r="K2190" t="b">
        <v>1</v>
      </c>
      <c r="L2190">
        <f t="shared" si="34"/>
        <v>2</v>
      </c>
      <c r="M2190">
        <f t="shared" si="34"/>
        <v>2</v>
      </c>
      <c r="N2190" t="b">
        <v>0</v>
      </c>
      <c r="O2190">
        <v>1</v>
      </c>
      <c r="P2190" t="s">
        <v>5579</v>
      </c>
      <c r="Q2190">
        <v>1</v>
      </c>
      <c r="R2190" t="b">
        <v>1</v>
      </c>
    </row>
    <row r="2191" spans="1:18">
      <c r="A2191" t="s">
        <v>139</v>
      </c>
      <c r="B2191" t="s">
        <v>5580</v>
      </c>
      <c r="C2191" t="s">
        <v>5581</v>
      </c>
      <c r="E2191">
        <v>2</v>
      </c>
      <c r="F2191">
        <v>0</v>
      </c>
      <c r="G2191">
        <v>0</v>
      </c>
      <c r="H2191">
        <v>0</v>
      </c>
      <c r="J2191" t="s">
        <v>22</v>
      </c>
      <c r="K2191" t="b">
        <v>1</v>
      </c>
      <c r="L2191">
        <f t="shared" si="34"/>
        <v>2</v>
      </c>
      <c r="M2191">
        <f t="shared" si="34"/>
        <v>0</v>
      </c>
      <c r="N2191" t="b">
        <v>0</v>
      </c>
      <c r="O2191">
        <v>1</v>
      </c>
      <c r="P2191" t="s">
        <v>5582</v>
      </c>
      <c r="Q2191">
        <v>2</v>
      </c>
      <c r="R2191" t="b">
        <v>1</v>
      </c>
    </row>
    <row r="2192" spans="1:18">
      <c r="A2192" t="s">
        <v>205</v>
      </c>
      <c r="B2192" t="s">
        <v>5583</v>
      </c>
      <c r="C2192" t="s">
        <v>5584</v>
      </c>
      <c r="E2192">
        <v>2</v>
      </c>
      <c r="F2192">
        <v>2</v>
      </c>
      <c r="G2192">
        <v>0</v>
      </c>
      <c r="H2192">
        <v>0</v>
      </c>
      <c r="J2192" t="s">
        <v>22</v>
      </c>
      <c r="K2192" t="b">
        <v>1</v>
      </c>
      <c r="L2192">
        <f t="shared" si="34"/>
        <v>2</v>
      </c>
      <c r="M2192">
        <f t="shared" si="34"/>
        <v>2</v>
      </c>
      <c r="N2192" t="b">
        <v>0</v>
      </c>
      <c r="O2192">
        <v>1</v>
      </c>
      <c r="P2192" t="s">
        <v>4170</v>
      </c>
      <c r="Q2192">
        <v>2</v>
      </c>
      <c r="R2192" t="b">
        <v>1</v>
      </c>
    </row>
    <row r="2193" spans="1:18">
      <c r="A2193" t="s">
        <v>205</v>
      </c>
      <c r="B2193" t="s">
        <v>5585</v>
      </c>
      <c r="C2193" t="s">
        <v>5586</v>
      </c>
      <c r="E2193">
        <v>2</v>
      </c>
      <c r="F2193">
        <v>1</v>
      </c>
      <c r="G2193">
        <v>0</v>
      </c>
      <c r="H2193">
        <v>0</v>
      </c>
      <c r="J2193" t="s">
        <v>22</v>
      </c>
      <c r="K2193" t="b">
        <v>1</v>
      </c>
      <c r="L2193">
        <f t="shared" si="34"/>
        <v>2</v>
      </c>
      <c r="M2193">
        <f t="shared" si="34"/>
        <v>1</v>
      </c>
      <c r="N2193" t="b">
        <v>0</v>
      </c>
      <c r="O2193">
        <v>0.33329999999999999</v>
      </c>
      <c r="P2193" t="s">
        <v>1775</v>
      </c>
      <c r="Q2193">
        <v>2</v>
      </c>
      <c r="R2193" t="b">
        <v>1</v>
      </c>
    </row>
    <row r="2194" spans="1:18" hidden="1">
      <c r="A2194" t="s">
        <v>2472</v>
      </c>
      <c r="B2194" t="s">
        <v>5587</v>
      </c>
      <c r="C2194" t="s">
        <v>5588</v>
      </c>
      <c r="E2194">
        <v>2</v>
      </c>
      <c r="F2194">
        <v>3</v>
      </c>
      <c r="G2194">
        <v>0</v>
      </c>
      <c r="H2194">
        <v>0</v>
      </c>
      <c r="J2194" t="s">
        <v>93</v>
      </c>
      <c r="K2194" t="b">
        <v>1</v>
      </c>
      <c r="L2194">
        <f t="shared" si="34"/>
        <v>2</v>
      </c>
      <c r="M2194">
        <f t="shared" si="34"/>
        <v>3</v>
      </c>
      <c r="N2194" t="b">
        <v>0</v>
      </c>
      <c r="O2194">
        <v>0</v>
      </c>
      <c r="Q2194">
        <v>0</v>
      </c>
      <c r="R2194" t="b">
        <v>0</v>
      </c>
    </row>
    <row r="2195" spans="1:18" hidden="1">
      <c r="A2195" t="s">
        <v>59</v>
      </c>
      <c r="B2195" t="s">
        <v>5589</v>
      </c>
      <c r="C2195" t="s">
        <v>5590</v>
      </c>
      <c r="E2195">
        <v>2</v>
      </c>
      <c r="F2195">
        <v>4</v>
      </c>
      <c r="G2195">
        <v>0</v>
      </c>
      <c r="H2195">
        <v>0</v>
      </c>
      <c r="J2195" t="s">
        <v>93</v>
      </c>
      <c r="K2195" t="b">
        <v>1</v>
      </c>
      <c r="L2195">
        <f t="shared" si="34"/>
        <v>2</v>
      </c>
      <c r="M2195">
        <f t="shared" si="34"/>
        <v>4</v>
      </c>
      <c r="N2195" t="b">
        <v>0</v>
      </c>
      <c r="O2195">
        <v>0</v>
      </c>
      <c r="Q2195">
        <v>0</v>
      </c>
      <c r="R2195" t="b">
        <v>0</v>
      </c>
    </row>
    <row r="2196" spans="1:18" hidden="1">
      <c r="A2196" t="s">
        <v>59</v>
      </c>
      <c r="B2196" t="s">
        <v>5591</v>
      </c>
      <c r="C2196" t="s">
        <v>5592</v>
      </c>
      <c r="E2196">
        <v>1</v>
      </c>
      <c r="F2196">
        <v>1</v>
      </c>
      <c r="G2196">
        <v>1</v>
      </c>
      <c r="H2196">
        <v>1</v>
      </c>
      <c r="J2196" t="s">
        <v>999</v>
      </c>
      <c r="K2196" t="b">
        <v>1</v>
      </c>
      <c r="L2196">
        <f t="shared" si="34"/>
        <v>2</v>
      </c>
      <c r="M2196">
        <f t="shared" si="34"/>
        <v>2</v>
      </c>
      <c r="N2196" t="b">
        <v>0</v>
      </c>
      <c r="O2196">
        <v>0.5</v>
      </c>
      <c r="P2196" t="s">
        <v>228</v>
      </c>
      <c r="Q2196">
        <v>16</v>
      </c>
      <c r="R2196" t="b">
        <v>1</v>
      </c>
    </row>
    <row r="2197" spans="1:18" hidden="1">
      <c r="A2197" t="s">
        <v>59</v>
      </c>
      <c r="B2197" t="s">
        <v>5593</v>
      </c>
      <c r="C2197" t="s">
        <v>5594</v>
      </c>
      <c r="E2197">
        <v>1</v>
      </c>
      <c r="F2197">
        <v>1</v>
      </c>
      <c r="G2197">
        <v>1</v>
      </c>
      <c r="H2197">
        <v>1</v>
      </c>
      <c r="J2197" t="s">
        <v>93</v>
      </c>
      <c r="K2197" t="b">
        <v>1</v>
      </c>
      <c r="L2197">
        <f t="shared" si="34"/>
        <v>2</v>
      </c>
      <c r="M2197">
        <f t="shared" si="34"/>
        <v>2</v>
      </c>
      <c r="N2197" t="b">
        <v>0</v>
      </c>
      <c r="O2197">
        <v>0</v>
      </c>
      <c r="Q2197">
        <v>0</v>
      </c>
      <c r="R2197" t="b">
        <v>0</v>
      </c>
    </row>
    <row r="2198" spans="1:18" hidden="1">
      <c r="A2198" t="s">
        <v>59</v>
      </c>
      <c r="B2198" t="s">
        <v>5595</v>
      </c>
      <c r="C2198" t="s">
        <v>5596</v>
      </c>
      <c r="E2198">
        <v>2</v>
      </c>
      <c r="F2198">
        <v>1</v>
      </c>
      <c r="G2198">
        <v>0</v>
      </c>
      <c r="H2198">
        <v>0</v>
      </c>
      <c r="J2198" t="s">
        <v>93</v>
      </c>
      <c r="K2198" t="b">
        <v>1</v>
      </c>
      <c r="L2198">
        <f t="shared" si="34"/>
        <v>2</v>
      </c>
      <c r="M2198">
        <f t="shared" si="34"/>
        <v>1</v>
      </c>
      <c r="N2198" t="b">
        <v>0</v>
      </c>
      <c r="O2198">
        <v>0</v>
      </c>
      <c r="Q2198">
        <v>0</v>
      </c>
      <c r="R2198" t="b">
        <v>0</v>
      </c>
    </row>
    <row r="2199" spans="1:18" hidden="1">
      <c r="A2199" t="s">
        <v>59</v>
      </c>
      <c r="B2199" t="s">
        <v>5597</v>
      </c>
      <c r="C2199" t="s">
        <v>5598</v>
      </c>
      <c r="E2199">
        <v>2</v>
      </c>
      <c r="F2199">
        <v>1</v>
      </c>
      <c r="G2199">
        <v>0</v>
      </c>
      <c r="H2199">
        <v>0</v>
      </c>
      <c r="J2199" t="s">
        <v>93</v>
      </c>
      <c r="K2199" t="b">
        <v>1</v>
      </c>
      <c r="L2199">
        <f t="shared" si="34"/>
        <v>2</v>
      </c>
      <c r="M2199">
        <f t="shared" si="34"/>
        <v>1</v>
      </c>
      <c r="N2199" t="b">
        <v>0</v>
      </c>
      <c r="O2199">
        <v>0</v>
      </c>
      <c r="Q2199">
        <v>0</v>
      </c>
      <c r="R2199" t="b">
        <v>0</v>
      </c>
    </row>
    <row r="2200" spans="1:18" hidden="1">
      <c r="A2200" t="s">
        <v>59</v>
      </c>
      <c r="B2200" t="s">
        <v>5599</v>
      </c>
      <c r="C2200" t="s">
        <v>5600</v>
      </c>
      <c r="E2200">
        <v>2</v>
      </c>
      <c r="F2200">
        <v>1</v>
      </c>
      <c r="G2200">
        <v>0</v>
      </c>
      <c r="H2200">
        <v>0</v>
      </c>
      <c r="J2200" t="s">
        <v>93</v>
      </c>
      <c r="K2200" t="b">
        <v>1</v>
      </c>
      <c r="L2200">
        <f t="shared" si="34"/>
        <v>2</v>
      </c>
      <c r="M2200">
        <f t="shared" si="34"/>
        <v>1</v>
      </c>
      <c r="N2200" t="b">
        <v>0</v>
      </c>
      <c r="O2200">
        <v>0</v>
      </c>
      <c r="Q2200">
        <v>0</v>
      </c>
      <c r="R2200" t="b">
        <v>0</v>
      </c>
    </row>
    <row r="2201" spans="1:18" hidden="1">
      <c r="A2201" t="s">
        <v>59</v>
      </c>
      <c r="B2201" t="s">
        <v>5601</v>
      </c>
      <c r="C2201" t="s">
        <v>5602</v>
      </c>
      <c r="E2201">
        <v>2</v>
      </c>
      <c r="F2201">
        <v>1</v>
      </c>
      <c r="G2201">
        <v>0</v>
      </c>
      <c r="H2201">
        <v>0</v>
      </c>
      <c r="J2201" t="s">
        <v>93</v>
      </c>
      <c r="K2201" t="b">
        <v>1</v>
      </c>
      <c r="L2201">
        <f t="shared" si="34"/>
        <v>2</v>
      </c>
      <c r="M2201">
        <f t="shared" si="34"/>
        <v>1</v>
      </c>
      <c r="N2201" t="b">
        <v>0</v>
      </c>
      <c r="O2201">
        <v>0</v>
      </c>
      <c r="Q2201">
        <v>0</v>
      </c>
      <c r="R2201" t="b">
        <v>0</v>
      </c>
    </row>
    <row r="2202" spans="1:18" hidden="1">
      <c r="A2202" t="s">
        <v>59</v>
      </c>
      <c r="B2202" t="s">
        <v>5603</v>
      </c>
      <c r="C2202" t="s">
        <v>5604</v>
      </c>
      <c r="E2202">
        <v>2</v>
      </c>
      <c r="F2202">
        <v>2</v>
      </c>
      <c r="G2202">
        <v>0</v>
      </c>
      <c r="H2202">
        <v>0</v>
      </c>
      <c r="J2202" t="s">
        <v>93</v>
      </c>
      <c r="K2202" t="b">
        <v>1</v>
      </c>
      <c r="L2202">
        <f t="shared" si="34"/>
        <v>2</v>
      </c>
      <c r="M2202">
        <f t="shared" si="34"/>
        <v>2</v>
      </c>
      <c r="N2202" t="b">
        <v>0</v>
      </c>
      <c r="O2202">
        <v>0</v>
      </c>
      <c r="Q2202">
        <v>0</v>
      </c>
      <c r="R2202" t="b">
        <v>0</v>
      </c>
    </row>
    <row r="2203" spans="1:18" hidden="1">
      <c r="A2203" t="s">
        <v>59</v>
      </c>
      <c r="B2203" t="s">
        <v>5605</v>
      </c>
      <c r="C2203" t="s">
        <v>5606</v>
      </c>
      <c r="E2203">
        <v>1</v>
      </c>
      <c r="F2203">
        <v>1</v>
      </c>
      <c r="G2203">
        <v>1</v>
      </c>
      <c r="H2203">
        <v>1</v>
      </c>
      <c r="J2203" t="s">
        <v>93</v>
      </c>
      <c r="K2203" t="b">
        <v>1</v>
      </c>
      <c r="L2203">
        <f t="shared" si="34"/>
        <v>2</v>
      </c>
      <c r="M2203">
        <f t="shared" si="34"/>
        <v>2</v>
      </c>
      <c r="N2203" t="b">
        <v>0</v>
      </c>
      <c r="O2203">
        <v>0</v>
      </c>
      <c r="Q2203">
        <v>0</v>
      </c>
      <c r="R2203" t="b">
        <v>0</v>
      </c>
    </row>
    <row r="2204" spans="1:18">
      <c r="A2204" t="s">
        <v>59</v>
      </c>
      <c r="B2204" t="s">
        <v>5607</v>
      </c>
      <c r="C2204" t="s">
        <v>5608</v>
      </c>
      <c r="E2204">
        <v>1</v>
      </c>
      <c r="F2204">
        <v>1</v>
      </c>
      <c r="G2204">
        <v>1</v>
      </c>
      <c r="H2204">
        <v>2</v>
      </c>
      <c r="J2204" t="s">
        <v>22</v>
      </c>
      <c r="K2204" t="b">
        <v>1</v>
      </c>
      <c r="L2204">
        <f t="shared" si="34"/>
        <v>2</v>
      </c>
      <c r="M2204">
        <f t="shared" si="34"/>
        <v>3</v>
      </c>
      <c r="N2204" t="b">
        <v>0</v>
      </c>
      <c r="O2204">
        <v>1</v>
      </c>
      <c r="P2204" t="s">
        <v>5564</v>
      </c>
      <c r="Q2204">
        <v>2</v>
      </c>
      <c r="R2204" t="b">
        <v>1</v>
      </c>
    </row>
    <row r="2205" spans="1:18" hidden="1">
      <c r="A2205" t="s">
        <v>59</v>
      </c>
      <c r="B2205" t="s">
        <v>5609</v>
      </c>
      <c r="C2205" t="s">
        <v>5610</v>
      </c>
      <c r="E2205">
        <v>1</v>
      </c>
      <c r="F2205">
        <v>0</v>
      </c>
      <c r="G2205">
        <v>1</v>
      </c>
      <c r="H2205">
        <v>1</v>
      </c>
      <c r="J2205" t="s">
        <v>93</v>
      </c>
      <c r="K2205" t="b">
        <v>1</v>
      </c>
      <c r="L2205">
        <f t="shared" si="34"/>
        <v>2</v>
      </c>
      <c r="M2205">
        <f t="shared" si="34"/>
        <v>1</v>
      </c>
      <c r="N2205" t="b">
        <v>0</v>
      </c>
      <c r="O2205">
        <v>0</v>
      </c>
      <c r="Q2205">
        <v>0</v>
      </c>
      <c r="R2205" t="b">
        <v>0</v>
      </c>
    </row>
    <row r="2206" spans="1:18" hidden="1">
      <c r="A2206" t="s">
        <v>59</v>
      </c>
      <c r="B2206" t="s">
        <v>5611</v>
      </c>
      <c r="C2206" t="s">
        <v>5612</v>
      </c>
      <c r="E2206">
        <v>2</v>
      </c>
      <c r="F2206">
        <v>3</v>
      </c>
      <c r="G2206">
        <v>0</v>
      </c>
      <c r="H2206">
        <v>0</v>
      </c>
      <c r="J2206" t="s">
        <v>93</v>
      </c>
      <c r="K2206" t="b">
        <v>1</v>
      </c>
      <c r="L2206">
        <f t="shared" si="34"/>
        <v>2</v>
      </c>
      <c r="M2206">
        <f t="shared" si="34"/>
        <v>3</v>
      </c>
      <c r="N2206" t="b">
        <v>0</v>
      </c>
      <c r="O2206">
        <v>0</v>
      </c>
      <c r="Q2206">
        <v>0</v>
      </c>
      <c r="R2206" t="b">
        <v>0</v>
      </c>
    </row>
    <row r="2207" spans="1:18">
      <c r="A2207" t="s">
        <v>394</v>
      </c>
      <c r="B2207" t="s">
        <v>5613</v>
      </c>
      <c r="C2207" t="s">
        <v>5614</v>
      </c>
      <c r="E2207">
        <v>2</v>
      </c>
      <c r="F2207">
        <v>2</v>
      </c>
      <c r="G2207">
        <v>0</v>
      </c>
      <c r="H2207">
        <v>0</v>
      </c>
      <c r="J2207" t="s">
        <v>22</v>
      </c>
      <c r="K2207" t="b">
        <v>1</v>
      </c>
      <c r="L2207">
        <f t="shared" si="34"/>
        <v>2</v>
      </c>
      <c r="M2207">
        <f t="shared" si="34"/>
        <v>2</v>
      </c>
      <c r="N2207" t="b">
        <v>0</v>
      </c>
      <c r="O2207">
        <v>1</v>
      </c>
      <c r="P2207" t="s">
        <v>5615</v>
      </c>
      <c r="Q2207">
        <v>2</v>
      </c>
      <c r="R2207" t="b">
        <v>1</v>
      </c>
    </row>
    <row r="2208" spans="1:18" hidden="1">
      <c r="A2208" t="s">
        <v>3157</v>
      </c>
      <c r="B2208" t="s">
        <v>5616</v>
      </c>
      <c r="C2208" t="s">
        <v>5617</v>
      </c>
      <c r="E2208">
        <v>2</v>
      </c>
      <c r="F2208">
        <v>48</v>
      </c>
      <c r="G2208">
        <v>0</v>
      </c>
      <c r="H2208">
        <v>0</v>
      </c>
      <c r="J2208" t="s">
        <v>93</v>
      </c>
      <c r="K2208" t="b">
        <v>0</v>
      </c>
      <c r="L2208">
        <f t="shared" si="34"/>
        <v>2</v>
      </c>
      <c r="M2208">
        <f t="shared" si="34"/>
        <v>48</v>
      </c>
      <c r="N2208" t="b">
        <v>0</v>
      </c>
      <c r="O2208">
        <v>0</v>
      </c>
      <c r="Q2208">
        <v>0</v>
      </c>
      <c r="R2208" t="b">
        <v>0</v>
      </c>
    </row>
    <row r="2209" spans="1:18" hidden="1">
      <c r="A2209" t="s">
        <v>5092</v>
      </c>
      <c r="B2209" t="s">
        <v>5618</v>
      </c>
      <c r="C2209" t="s">
        <v>5619</v>
      </c>
      <c r="E2209">
        <v>1</v>
      </c>
      <c r="F2209">
        <v>39</v>
      </c>
      <c r="G2209">
        <v>1</v>
      </c>
      <c r="H2209">
        <v>5</v>
      </c>
      <c r="J2209" t="s">
        <v>93</v>
      </c>
      <c r="K2209" t="b">
        <v>0</v>
      </c>
      <c r="L2209">
        <f t="shared" si="34"/>
        <v>2</v>
      </c>
      <c r="M2209">
        <f t="shared" si="34"/>
        <v>44</v>
      </c>
      <c r="N2209" t="b">
        <v>0</v>
      </c>
      <c r="O2209">
        <v>0</v>
      </c>
      <c r="Q2209">
        <v>0</v>
      </c>
      <c r="R2209" t="b">
        <v>0</v>
      </c>
    </row>
    <row r="2210" spans="1:18" hidden="1">
      <c r="A2210" t="s">
        <v>248</v>
      </c>
      <c r="B2210" t="s">
        <v>5620</v>
      </c>
      <c r="C2210" t="s">
        <v>5621</v>
      </c>
      <c r="E2210">
        <v>2</v>
      </c>
      <c r="F2210">
        <v>1</v>
      </c>
      <c r="G2210">
        <v>0</v>
      </c>
      <c r="H2210">
        <v>0</v>
      </c>
      <c r="J2210" t="s">
        <v>93</v>
      </c>
      <c r="K2210" t="b">
        <v>1</v>
      </c>
      <c r="L2210">
        <f t="shared" si="34"/>
        <v>2</v>
      </c>
      <c r="M2210">
        <f t="shared" si="34"/>
        <v>1</v>
      </c>
      <c r="N2210" t="b">
        <v>0</v>
      </c>
      <c r="O2210">
        <v>0</v>
      </c>
      <c r="Q2210">
        <v>0</v>
      </c>
      <c r="R2210" t="b">
        <v>0</v>
      </c>
    </row>
    <row r="2211" spans="1:18">
      <c r="A2211" t="s">
        <v>1984</v>
      </c>
      <c r="B2211" t="s">
        <v>5622</v>
      </c>
      <c r="C2211" t="s">
        <v>5623</v>
      </c>
      <c r="E2211">
        <v>2</v>
      </c>
      <c r="F2211">
        <v>3</v>
      </c>
      <c r="G2211">
        <v>0</v>
      </c>
      <c r="H2211">
        <v>0</v>
      </c>
      <c r="J2211" t="s">
        <v>22</v>
      </c>
      <c r="K2211" t="b">
        <v>1</v>
      </c>
      <c r="L2211">
        <f t="shared" si="34"/>
        <v>2</v>
      </c>
      <c r="M2211">
        <f t="shared" si="34"/>
        <v>3</v>
      </c>
      <c r="N2211" t="b">
        <v>0</v>
      </c>
      <c r="O2211">
        <v>1</v>
      </c>
      <c r="P2211" t="s">
        <v>5624</v>
      </c>
      <c r="Q2211">
        <v>2</v>
      </c>
      <c r="R2211" t="b">
        <v>1</v>
      </c>
    </row>
    <row r="2212" spans="1:18">
      <c r="A2212" t="s">
        <v>4383</v>
      </c>
      <c r="B2212" t="s">
        <v>5625</v>
      </c>
      <c r="C2212" t="s">
        <v>5626</v>
      </c>
      <c r="E2212">
        <v>0</v>
      </c>
      <c r="F2212">
        <v>0</v>
      </c>
      <c r="G2212">
        <v>2</v>
      </c>
      <c r="H2212">
        <v>37</v>
      </c>
      <c r="J2212" t="s">
        <v>22</v>
      </c>
      <c r="K2212" t="b">
        <v>1</v>
      </c>
      <c r="L2212">
        <f t="shared" si="34"/>
        <v>2</v>
      </c>
      <c r="M2212">
        <f t="shared" si="34"/>
        <v>37</v>
      </c>
      <c r="N2212" t="b">
        <v>0</v>
      </c>
      <c r="O2212">
        <v>1</v>
      </c>
      <c r="P2212" t="s">
        <v>1692</v>
      </c>
      <c r="Q2212">
        <v>2</v>
      </c>
      <c r="R2212" t="b">
        <v>1</v>
      </c>
    </row>
    <row r="2213" spans="1:18">
      <c r="A2213" t="s">
        <v>3478</v>
      </c>
      <c r="B2213" t="s">
        <v>5627</v>
      </c>
      <c r="C2213" t="s">
        <v>5628</v>
      </c>
      <c r="E2213">
        <v>1</v>
      </c>
      <c r="F2213">
        <v>3</v>
      </c>
      <c r="G2213">
        <v>1</v>
      </c>
      <c r="H2213">
        <v>2</v>
      </c>
      <c r="J2213" t="s">
        <v>22</v>
      </c>
      <c r="K2213" t="b">
        <v>1</v>
      </c>
      <c r="L2213">
        <f t="shared" si="34"/>
        <v>2</v>
      </c>
      <c r="M2213">
        <f t="shared" si="34"/>
        <v>5</v>
      </c>
      <c r="N2213" t="b">
        <v>0</v>
      </c>
      <c r="O2213">
        <v>1</v>
      </c>
      <c r="P2213" t="s">
        <v>5629</v>
      </c>
      <c r="Q2213">
        <v>2</v>
      </c>
      <c r="R2213" t="b">
        <v>1</v>
      </c>
    </row>
    <row r="2214" spans="1:18">
      <c r="A2214" t="s">
        <v>5630</v>
      </c>
      <c r="B2214" t="s">
        <v>5631</v>
      </c>
      <c r="C2214" t="s">
        <v>5632</v>
      </c>
      <c r="E2214">
        <v>1</v>
      </c>
      <c r="F2214">
        <v>1</v>
      </c>
      <c r="G2214">
        <v>1</v>
      </c>
      <c r="H2214">
        <v>2</v>
      </c>
      <c r="J2214" t="s">
        <v>22</v>
      </c>
      <c r="K2214" t="b">
        <v>1</v>
      </c>
      <c r="L2214">
        <f t="shared" si="34"/>
        <v>2</v>
      </c>
      <c r="M2214">
        <f t="shared" si="34"/>
        <v>3</v>
      </c>
      <c r="N2214" t="b">
        <v>0</v>
      </c>
      <c r="O2214">
        <v>0</v>
      </c>
      <c r="Q2214">
        <v>0</v>
      </c>
      <c r="R2214" t="b">
        <v>0</v>
      </c>
    </row>
    <row r="2215" spans="1:18">
      <c r="A2215" t="s">
        <v>5630</v>
      </c>
      <c r="B2215" t="s">
        <v>5633</v>
      </c>
      <c r="C2215" t="s">
        <v>5634</v>
      </c>
      <c r="E2215">
        <v>1</v>
      </c>
      <c r="F2215">
        <v>1</v>
      </c>
      <c r="G2215">
        <v>1</v>
      </c>
      <c r="H2215">
        <v>2</v>
      </c>
      <c r="J2215" t="s">
        <v>22</v>
      </c>
      <c r="K2215" t="b">
        <v>1</v>
      </c>
      <c r="L2215">
        <f t="shared" si="34"/>
        <v>2</v>
      </c>
      <c r="M2215">
        <f t="shared" si="34"/>
        <v>3</v>
      </c>
      <c r="N2215" t="b">
        <v>0</v>
      </c>
      <c r="O2215">
        <v>1</v>
      </c>
      <c r="P2215" t="s">
        <v>5635</v>
      </c>
      <c r="Q2215">
        <v>2</v>
      </c>
      <c r="R2215" t="b">
        <v>1</v>
      </c>
    </row>
    <row r="2216" spans="1:18">
      <c r="A2216" t="s">
        <v>5630</v>
      </c>
      <c r="B2216" t="s">
        <v>5636</v>
      </c>
      <c r="C2216" t="s">
        <v>5637</v>
      </c>
      <c r="E2216">
        <v>1</v>
      </c>
      <c r="F2216">
        <v>1</v>
      </c>
      <c r="G2216">
        <v>1</v>
      </c>
      <c r="H2216">
        <v>2</v>
      </c>
      <c r="J2216" t="s">
        <v>22</v>
      </c>
      <c r="K2216" t="b">
        <v>1</v>
      </c>
      <c r="L2216">
        <f t="shared" si="34"/>
        <v>2</v>
      </c>
      <c r="M2216">
        <f t="shared" si="34"/>
        <v>3</v>
      </c>
      <c r="N2216" t="b">
        <v>0</v>
      </c>
      <c r="O2216">
        <v>0</v>
      </c>
      <c r="Q2216">
        <v>0</v>
      </c>
      <c r="R2216" t="b">
        <v>0</v>
      </c>
    </row>
    <row r="2217" spans="1:18">
      <c r="A2217" t="s">
        <v>5630</v>
      </c>
      <c r="B2217" t="s">
        <v>5638</v>
      </c>
      <c r="C2217" t="s">
        <v>5639</v>
      </c>
      <c r="E2217">
        <v>1</v>
      </c>
      <c r="F2217">
        <v>1</v>
      </c>
      <c r="G2217">
        <v>1</v>
      </c>
      <c r="H2217">
        <v>2</v>
      </c>
      <c r="J2217" t="s">
        <v>22</v>
      </c>
      <c r="K2217" t="b">
        <v>1</v>
      </c>
      <c r="L2217">
        <f t="shared" si="34"/>
        <v>2</v>
      </c>
      <c r="M2217">
        <f t="shared" si="34"/>
        <v>3</v>
      </c>
      <c r="N2217" t="b">
        <v>0</v>
      </c>
      <c r="O2217">
        <v>0</v>
      </c>
      <c r="Q2217">
        <v>0</v>
      </c>
      <c r="R2217" t="b">
        <v>0</v>
      </c>
    </row>
    <row r="2218" spans="1:18">
      <c r="A2218" t="s">
        <v>5630</v>
      </c>
      <c r="B2218" t="s">
        <v>5640</v>
      </c>
      <c r="C2218" t="s">
        <v>5641</v>
      </c>
      <c r="E2218">
        <v>1</v>
      </c>
      <c r="F2218">
        <v>1</v>
      </c>
      <c r="G2218">
        <v>1</v>
      </c>
      <c r="H2218">
        <v>2</v>
      </c>
      <c r="J2218" t="s">
        <v>22</v>
      </c>
      <c r="K2218" t="b">
        <v>1</v>
      </c>
      <c r="L2218">
        <f t="shared" si="34"/>
        <v>2</v>
      </c>
      <c r="M2218">
        <f t="shared" si="34"/>
        <v>3</v>
      </c>
      <c r="N2218" t="b">
        <v>0</v>
      </c>
      <c r="O2218">
        <v>0</v>
      </c>
      <c r="Q2218">
        <v>0</v>
      </c>
      <c r="R2218" t="b">
        <v>0</v>
      </c>
    </row>
    <row r="2219" spans="1:18">
      <c r="A2219" t="s">
        <v>5630</v>
      </c>
      <c r="B2219" t="s">
        <v>5642</v>
      </c>
      <c r="C2219" t="s">
        <v>5643</v>
      </c>
      <c r="E2219">
        <v>1</v>
      </c>
      <c r="F2219">
        <v>1</v>
      </c>
      <c r="G2219">
        <v>1</v>
      </c>
      <c r="H2219">
        <v>2</v>
      </c>
      <c r="J2219" t="s">
        <v>22</v>
      </c>
      <c r="K2219" t="b">
        <v>1</v>
      </c>
      <c r="L2219">
        <f t="shared" si="34"/>
        <v>2</v>
      </c>
      <c r="M2219">
        <f t="shared" si="34"/>
        <v>3</v>
      </c>
      <c r="N2219" t="b">
        <v>0</v>
      </c>
      <c r="O2219">
        <v>1</v>
      </c>
      <c r="P2219" t="s">
        <v>5644</v>
      </c>
      <c r="Q2219">
        <v>2</v>
      </c>
      <c r="R2219" t="b">
        <v>1</v>
      </c>
    </row>
    <row r="2220" spans="1:18">
      <c r="A2220" t="s">
        <v>5630</v>
      </c>
      <c r="B2220" t="s">
        <v>5645</v>
      </c>
      <c r="C2220" t="s">
        <v>5646</v>
      </c>
      <c r="E2220">
        <v>1</v>
      </c>
      <c r="F2220">
        <v>1</v>
      </c>
      <c r="G2220">
        <v>1</v>
      </c>
      <c r="H2220">
        <v>2</v>
      </c>
      <c r="J2220" t="s">
        <v>22</v>
      </c>
      <c r="K2220" t="b">
        <v>1</v>
      </c>
      <c r="L2220">
        <f t="shared" si="34"/>
        <v>2</v>
      </c>
      <c r="M2220">
        <f t="shared" si="34"/>
        <v>3</v>
      </c>
      <c r="N2220" t="b">
        <v>0</v>
      </c>
      <c r="O2220">
        <v>1</v>
      </c>
      <c r="P2220" t="s">
        <v>33</v>
      </c>
      <c r="Q2220">
        <v>2</v>
      </c>
      <c r="R2220" t="b">
        <v>1</v>
      </c>
    </row>
    <row r="2221" spans="1:18" hidden="1">
      <c r="A2221" t="s">
        <v>1191</v>
      </c>
      <c r="B2221" t="s">
        <v>5647</v>
      </c>
      <c r="C2221" t="s">
        <v>5648</v>
      </c>
      <c r="E2221">
        <v>0</v>
      </c>
      <c r="F2221">
        <v>0</v>
      </c>
      <c r="G2221">
        <v>2</v>
      </c>
      <c r="H2221">
        <v>19</v>
      </c>
      <c r="J2221" t="s">
        <v>93</v>
      </c>
      <c r="K2221" t="b">
        <v>1</v>
      </c>
      <c r="L2221">
        <f t="shared" si="34"/>
        <v>2</v>
      </c>
      <c r="M2221">
        <f t="shared" si="34"/>
        <v>19</v>
      </c>
      <c r="N2221" t="b">
        <v>0</v>
      </c>
      <c r="O2221">
        <v>0</v>
      </c>
      <c r="Q2221">
        <v>0</v>
      </c>
      <c r="R2221" t="b">
        <v>0</v>
      </c>
    </row>
    <row r="2222" spans="1:18" hidden="1">
      <c r="A2222" t="s">
        <v>5344</v>
      </c>
      <c r="B2222" t="s">
        <v>5649</v>
      </c>
      <c r="C2222" t="s">
        <v>5650</v>
      </c>
      <c r="E2222">
        <v>1</v>
      </c>
      <c r="F2222">
        <v>6</v>
      </c>
      <c r="G2222">
        <v>1</v>
      </c>
      <c r="H2222">
        <v>11</v>
      </c>
      <c r="J2222" t="s">
        <v>93</v>
      </c>
      <c r="K2222" t="b">
        <v>0</v>
      </c>
      <c r="L2222">
        <f t="shared" si="34"/>
        <v>2</v>
      </c>
      <c r="M2222">
        <f t="shared" si="34"/>
        <v>17</v>
      </c>
      <c r="N2222" t="b">
        <v>0</v>
      </c>
      <c r="O2222">
        <v>0</v>
      </c>
      <c r="Q2222">
        <v>0</v>
      </c>
      <c r="R2222" t="b">
        <v>0</v>
      </c>
    </row>
    <row r="2223" spans="1:18" hidden="1">
      <c r="A2223" t="s">
        <v>205</v>
      </c>
      <c r="B2223" t="s">
        <v>5651</v>
      </c>
      <c r="C2223" t="s">
        <v>5652</v>
      </c>
      <c r="E2223">
        <v>0</v>
      </c>
      <c r="F2223">
        <v>0</v>
      </c>
      <c r="G2223">
        <v>2</v>
      </c>
      <c r="H2223">
        <v>16</v>
      </c>
      <c r="J2223" t="s">
        <v>93</v>
      </c>
      <c r="K2223" t="b">
        <v>1</v>
      </c>
      <c r="L2223">
        <f t="shared" si="34"/>
        <v>2</v>
      </c>
      <c r="M2223">
        <f t="shared" si="34"/>
        <v>16</v>
      </c>
      <c r="N2223" t="b">
        <v>0</v>
      </c>
      <c r="O2223">
        <v>0</v>
      </c>
      <c r="Q2223">
        <v>0</v>
      </c>
      <c r="R2223" t="b">
        <v>0</v>
      </c>
    </row>
    <row r="2224" spans="1:18" hidden="1">
      <c r="A2224" t="s">
        <v>4912</v>
      </c>
      <c r="B2224" t="s">
        <v>5653</v>
      </c>
      <c r="C2224" t="s">
        <v>5654</v>
      </c>
      <c r="E2224">
        <v>2</v>
      </c>
      <c r="F2224">
        <v>15</v>
      </c>
      <c r="G2224">
        <v>0</v>
      </c>
      <c r="H2224">
        <v>0</v>
      </c>
      <c r="J2224" t="s">
        <v>93</v>
      </c>
      <c r="K2224" t="b">
        <v>0</v>
      </c>
      <c r="L2224">
        <f t="shared" si="34"/>
        <v>2</v>
      </c>
      <c r="M2224">
        <f t="shared" si="34"/>
        <v>15</v>
      </c>
      <c r="N2224" t="b">
        <v>0</v>
      </c>
      <c r="O2224">
        <v>0</v>
      </c>
      <c r="Q2224">
        <v>0</v>
      </c>
      <c r="R2224" t="b">
        <v>0</v>
      </c>
    </row>
    <row r="2225" spans="1:18">
      <c r="A2225" t="s">
        <v>1191</v>
      </c>
      <c r="B2225" t="s">
        <v>5655</v>
      </c>
      <c r="C2225" t="s">
        <v>5656</v>
      </c>
      <c r="E2225">
        <v>0</v>
      </c>
      <c r="F2225">
        <v>0</v>
      </c>
      <c r="G2225">
        <v>2</v>
      </c>
      <c r="H2225">
        <v>14</v>
      </c>
      <c r="J2225" t="s">
        <v>22</v>
      </c>
      <c r="K2225" t="b">
        <v>1</v>
      </c>
      <c r="L2225">
        <f t="shared" si="34"/>
        <v>2</v>
      </c>
      <c r="M2225">
        <f t="shared" si="34"/>
        <v>14</v>
      </c>
      <c r="N2225" t="b">
        <v>0</v>
      </c>
      <c r="O2225">
        <v>1</v>
      </c>
      <c r="P2225" t="s">
        <v>5657</v>
      </c>
      <c r="Q2225">
        <v>2</v>
      </c>
      <c r="R2225" t="b">
        <v>1</v>
      </c>
    </row>
    <row r="2226" spans="1:18" hidden="1">
      <c r="A2226" t="s">
        <v>4370</v>
      </c>
      <c r="B2226" t="s">
        <v>5658</v>
      </c>
      <c r="C2226" t="s">
        <v>5659</v>
      </c>
      <c r="E2226">
        <v>2</v>
      </c>
      <c r="F2226">
        <v>14</v>
      </c>
      <c r="G2226">
        <v>0</v>
      </c>
      <c r="H2226">
        <v>0</v>
      </c>
      <c r="J2226" t="s">
        <v>93</v>
      </c>
      <c r="K2226" t="b">
        <v>0</v>
      </c>
      <c r="L2226">
        <f t="shared" si="34"/>
        <v>2</v>
      </c>
      <c r="M2226">
        <f t="shared" si="34"/>
        <v>14</v>
      </c>
      <c r="N2226" t="b">
        <v>0</v>
      </c>
      <c r="O2226">
        <v>0</v>
      </c>
      <c r="Q2226">
        <v>0</v>
      </c>
      <c r="R2226" t="b">
        <v>0</v>
      </c>
    </row>
    <row r="2227" spans="1:18" hidden="1">
      <c r="A2227" t="s">
        <v>1143</v>
      </c>
      <c r="B2227" t="s">
        <v>5660</v>
      </c>
      <c r="C2227" t="s">
        <v>5661</v>
      </c>
      <c r="E2227">
        <v>0</v>
      </c>
      <c r="F2227">
        <v>0</v>
      </c>
      <c r="G2227">
        <v>2</v>
      </c>
      <c r="H2227">
        <v>6</v>
      </c>
      <c r="J2227" t="s">
        <v>93</v>
      </c>
      <c r="K2227" t="b">
        <v>1</v>
      </c>
      <c r="L2227">
        <f t="shared" si="34"/>
        <v>2</v>
      </c>
      <c r="M2227">
        <f t="shared" si="34"/>
        <v>6</v>
      </c>
      <c r="N2227" t="b">
        <v>0</v>
      </c>
      <c r="O2227">
        <v>0</v>
      </c>
      <c r="Q2227">
        <v>0</v>
      </c>
      <c r="R2227" t="b">
        <v>0</v>
      </c>
    </row>
    <row r="2228" spans="1:18">
      <c r="A2228" t="s">
        <v>1143</v>
      </c>
      <c r="B2228" t="s">
        <v>5662</v>
      </c>
      <c r="C2228" t="s">
        <v>5663</v>
      </c>
      <c r="E2228">
        <v>0</v>
      </c>
      <c r="F2228">
        <v>0</v>
      </c>
      <c r="G2228">
        <v>2</v>
      </c>
      <c r="H2228">
        <v>2</v>
      </c>
      <c r="J2228" t="s">
        <v>22</v>
      </c>
      <c r="K2228" t="b">
        <v>1</v>
      </c>
      <c r="L2228">
        <f t="shared" si="34"/>
        <v>2</v>
      </c>
      <c r="M2228">
        <f t="shared" si="34"/>
        <v>2</v>
      </c>
      <c r="N2228" t="b">
        <v>0</v>
      </c>
      <c r="O2228">
        <v>1</v>
      </c>
      <c r="P2228" t="s">
        <v>5664</v>
      </c>
      <c r="Q2228">
        <v>2</v>
      </c>
      <c r="R2228" t="b">
        <v>1</v>
      </c>
    </row>
    <row r="2229" spans="1:18" hidden="1">
      <c r="A2229" t="s">
        <v>1143</v>
      </c>
      <c r="B2229" t="s">
        <v>5665</v>
      </c>
      <c r="C2229" t="s">
        <v>5666</v>
      </c>
      <c r="E2229">
        <v>0</v>
      </c>
      <c r="F2229">
        <v>0</v>
      </c>
      <c r="G2229">
        <v>2</v>
      </c>
      <c r="H2229">
        <v>10</v>
      </c>
      <c r="J2229" t="s">
        <v>93</v>
      </c>
      <c r="K2229" t="b">
        <v>1</v>
      </c>
      <c r="L2229">
        <f t="shared" si="34"/>
        <v>2</v>
      </c>
      <c r="M2229">
        <f t="shared" si="34"/>
        <v>10</v>
      </c>
      <c r="N2229" t="b">
        <v>0</v>
      </c>
      <c r="O2229">
        <v>0</v>
      </c>
      <c r="Q2229">
        <v>0</v>
      </c>
      <c r="R2229" t="b">
        <v>0</v>
      </c>
    </row>
    <row r="2230" spans="1:18">
      <c r="A2230" t="s">
        <v>1143</v>
      </c>
      <c r="B2230" t="s">
        <v>5667</v>
      </c>
      <c r="C2230" t="s">
        <v>5668</v>
      </c>
      <c r="E2230">
        <v>0</v>
      </c>
      <c r="F2230">
        <v>0</v>
      </c>
      <c r="G2230">
        <v>2</v>
      </c>
      <c r="H2230">
        <v>10</v>
      </c>
      <c r="J2230" t="s">
        <v>22</v>
      </c>
      <c r="K2230" t="b">
        <v>1</v>
      </c>
      <c r="L2230">
        <f t="shared" si="34"/>
        <v>2</v>
      </c>
      <c r="M2230">
        <f t="shared" si="34"/>
        <v>10</v>
      </c>
      <c r="N2230" t="b">
        <v>0</v>
      </c>
      <c r="O2230">
        <v>1</v>
      </c>
      <c r="P2230" t="s">
        <v>5669</v>
      </c>
      <c r="Q2230">
        <v>2</v>
      </c>
      <c r="R2230" t="b">
        <v>1</v>
      </c>
    </row>
    <row r="2231" spans="1:18">
      <c r="A2231" t="s">
        <v>1143</v>
      </c>
      <c r="B2231" t="s">
        <v>5670</v>
      </c>
      <c r="C2231" t="s">
        <v>5671</v>
      </c>
      <c r="E2231">
        <v>0</v>
      </c>
      <c r="F2231">
        <v>0</v>
      </c>
      <c r="G2231">
        <v>2</v>
      </c>
      <c r="H2231">
        <v>10</v>
      </c>
      <c r="J2231" t="s">
        <v>22</v>
      </c>
      <c r="K2231" t="b">
        <v>1</v>
      </c>
      <c r="L2231">
        <f t="shared" si="34"/>
        <v>2</v>
      </c>
      <c r="M2231">
        <f t="shared" si="34"/>
        <v>10</v>
      </c>
      <c r="N2231" t="b">
        <v>0</v>
      </c>
      <c r="O2231">
        <v>1</v>
      </c>
      <c r="P2231" t="s">
        <v>5672</v>
      </c>
      <c r="Q2231">
        <v>2</v>
      </c>
      <c r="R2231" t="b">
        <v>1</v>
      </c>
    </row>
    <row r="2232" spans="1:18" hidden="1">
      <c r="A2232" t="s">
        <v>3105</v>
      </c>
      <c r="B2232" t="s">
        <v>5673</v>
      </c>
      <c r="C2232" t="s">
        <v>5674</v>
      </c>
      <c r="E2232">
        <v>0</v>
      </c>
      <c r="F2232">
        <v>0</v>
      </c>
      <c r="G2232">
        <v>2</v>
      </c>
      <c r="H2232">
        <v>12</v>
      </c>
      <c r="J2232" t="s">
        <v>93</v>
      </c>
      <c r="K2232" t="b">
        <v>1</v>
      </c>
      <c r="L2232">
        <f t="shared" si="34"/>
        <v>2</v>
      </c>
      <c r="M2232">
        <f t="shared" si="34"/>
        <v>12</v>
      </c>
      <c r="N2232" t="b">
        <v>0</v>
      </c>
      <c r="O2232">
        <v>0</v>
      </c>
      <c r="Q2232">
        <v>0</v>
      </c>
      <c r="R2232" t="b">
        <v>0</v>
      </c>
    </row>
    <row r="2233" spans="1:18" hidden="1">
      <c r="A2233" t="s">
        <v>1143</v>
      </c>
      <c r="B2233" t="s">
        <v>5675</v>
      </c>
      <c r="C2233" t="s">
        <v>5676</v>
      </c>
      <c r="E2233">
        <v>0</v>
      </c>
      <c r="F2233">
        <v>0</v>
      </c>
      <c r="G2233">
        <v>2</v>
      </c>
      <c r="H2233">
        <v>39</v>
      </c>
      <c r="J2233" t="s">
        <v>93</v>
      </c>
      <c r="K2233" t="b">
        <v>1</v>
      </c>
      <c r="L2233">
        <f t="shared" si="34"/>
        <v>2</v>
      </c>
      <c r="M2233">
        <f t="shared" si="34"/>
        <v>39</v>
      </c>
      <c r="N2233" t="b">
        <v>0</v>
      </c>
      <c r="O2233">
        <v>0</v>
      </c>
      <c r="Q2233">
        <v>0</v>
      </c>
      <c r="R2233" t="b">
        <v>0</v>
      </c>
    </row>
    <row r="2234" spans="1:18" hidden="1">
      <c r="A2234" t="s">
        <v>1143</v>
      </c>
      <c r="B2234" t="s">
        <v>5677</v>
      </c>
      <c r="C2234" t="s">
        <v>5678</v>
      </c>
      <c r="E2234">
        <v>0</v>
      </c>
      <c r="F2234">
        <v>0</v>
      </c>
      <c r="G2234">
        <v>2</v>
      </c>
      <c r="H2234">
        <v>3</v>
      </c>
      <c r="J2234" t="s">
        <v>93</v>
      </c>
      <c r="K2234" t="b">
        <v>1</v>
      </c>
      <c r="L2234">
        <f t="shared" si="34"/>
        <v>2</v>
      </c>
      <c r="M2234">
        <f t="shared" si="34"/>
        <v>3</v>
      </c>
      <c r="N2234" t="b">
        <v>0</v>
      </c>
      <c r="O2234">
        <v>0</v>
      </c>
      <c r="Q2234">
        <v>0</v>
      </c>
      <c r="R2234" t="b">
        <v>0</v>
      </c>
    </row>
    <row r="2235" spans="1:18" hidden="1">
      <c r="A2235" t="s">
        <v>1143</v>
      </c>
      <c r="B2235" t="s">
        <v>5679</v>
      </c>
      <c r="C2235" t="s">
        <v>5680</v>
      </c>
      <c r="E2235">
        <v>0</v>
      </c>
      <c r="F2235">
        <v>0</v>
      </c>
      <c r="G2235">
        <v>2</v>
      </c>
      <c r="H2235">
        <v>6</v>
      </c>
      <c r="J2235" t="s">
        <v>93</v>
      </c>
      <c r="K2235" t="b">
        <v>1</v>
      </c>
      <c r="L2235">
        <f t="shared" si="34"/>
        <v>2</v>
      </c>
      <c r="M2235">
        <f t="shared" si="34"/>
        <v>6</v>
      </c>
      <c r="N2235" t="b">
        <v>0</v>
      </c>
      <c r="O2235">
        <v>0</v>
      </c>
      <c r="Q2235">
        <v>0</v>
      </c>
      <c r="R2235" t="b">
        <v>0</v>
      </c>
    </row>
    <row r="2236" spans="1:18">
      <c r="A2236" t="s">
        <v>1143</v>
      </c>
      <c r="B2236" t="s">
        <v>5681</v>
      </c>
      <c r="C2236" t="s">
        <v>5682</v>
      </c>
      <c r="E2236">
        <v>0</v>
      </c>
      <c r="F2236">
        <v>0</v>
      </c>
      <c r="G2236">
        <v>2</v>
      </c>
      <c r="H2236">
        <v>2</v>
      </c>
      <c r="J2236" t="s">
        <v>22</v>
      </c>
      <c r="K2236" t="b">
        <v>1</v>
      </c>
      <c r="L2236">
        <f t="shared" si="34"/>
        <v>2</v>
      </c>
      <c r="M2236">
        <f t="shared" si="34"/>
        <v>2</v>
      </c>
      <c r="N2236" t="b">
        <v>0</v>
      </c>
      <c r="O2236">
        <v>1</v>
      </c>
      <c r="P2236" t="s">
        <v>5683</v>
      </c>
      <c r="Q2236">
        <v>2</v>
      </c>
      <c r="R2236" t="b">
        <v>1</v>
      </c>
    </row>
    <row r="2237" spans="1:18" hidden="1">
      <c r="A2237" t="s">
        <v>1143</v>
      </c>
      <c r="B2237" t="s">
        <v>5684</v>
      </c>
      <c r="C2237" t="s">
        <v>5685</v>
      </c>
      <c r="E2237">
        <v>0</v>
      </c>
      <c r="F2237">
        <v>0</v>
      </c>
      <c r="G2237">
        <v>2</v>
      </c>
      <c r="H2237">
        <v>4</v>
      </c>
      <c r="J2237" t="s">
        <v>93</v>
      </c>
      <c r="K2237" t="b">
        <v>1</v>
      </c>
      <c r="L2237">
        <f t="shared" si="34"/>
        <v>2</v>
      </c>
      <c r="M2237">
        <f t="shared" si="34"/>
        <v>4</v>
      </c>
      <c r="N2237" t="b">
        <v>0</v>
      </c>
      <c r="O2237">
        <v>0</v>
      </c>
      <c r="Q2237">
        <v>0</v>
      </c>
      <c r="R2237" t="b">
        <v>0</v>
      </c>
    </row>
    <row r="2238" spans="1:18" hidden="1">
      <c r="A2238" t="s">
        <v>1143</v>
      </c>
      <c r="B2238" t="s">
        <v>5686</v>
      </c>
      <c r="C2238" t="s">
        <v>5687</v>
      </c>
      <c r="E2238">
        <v>0</v>
      </c>
      <c r="F2238">
        <v>0</v>
      </c>
      <c r="G2238">
        <v>2</v>
      </c>
      <c r="H2238">
        <v>4</v>
      </c>
      <c r="J2238" t="s">
        <v>93</v>
      </c>
      <c r="K2238" t="b">
        <v>1</v>
      </c>
      <c r="L2238">
        <f t="shared" si="34"/>
        <v>2</v>
      </c>
      <c r="M2238">
        <f t="shared" si="34"/>
        <v>4</v>
      </c>
      <c r="N2238" t="b">
        <v>0</v>
      </c>
      <c r="O2238">
        <v>0</v>
      </c>
      <c r="Q2238">
        <v>0</v>
      </c>
      <c r="R2238" t="b">
        <v>0</v>
      </c>
    </row>
    <row r="2239" spans="1:18" hidden="1">
      <c r="A2239" t="s">
        <v>1143</v>
      </c>
      <c r="B2239" t="s">
        <v>5688</v>
      </c>
      <c r="C2239" t="s">
        <v>5689</v>
      </c>
      <c r="E2239">
        <v>0</v>
      </c>
      <c r="F2239">
        <v>0</v>
      </c>
      <c r="G2239">
        <v>2</v>
      </c>
      <c r="H2239">
        <v>4</v>
      </c>
      <c r="J2239" t="s">
        <v>93</v>
      </c>
      <c r="K2239" t="b">
        <v>1</v>
      </c>
      <c r="L2239">
        <f t="shared" si="34"/>
        <v>2</v>
      </c>
      <c r="M2239">
        <f t="shared" si="34"/>
        <v>4</v>
      </c>
      <c r="N2239" t="b">
        <v>0</v>
      </c>
      <c r="O2239">
        <v>0</v>
      </c>
      <c r="Q2239">
        <v>0</v>
      </c>
      <c r="R2239" t="b">
        <v>0</v>
      </c>
    </row>
    <row r="2240" spans="1:18" hidden="1">
      <c r="A2240" t="s">
        <v>1143</v>
      </c>
      <c r="B2240" t="s">
        <v>5690</v>
      </c>
      <c r="C2240" t="s">
        <v>5691</v>
      </c>
      <c r="E2240">
        <v>0</v>
      </c>
      <c r="F2240">
        <v>0</v>
      </c>
      <c r="G2240">
        <v>2</v>
      </c>
      <c r="H2240">
        <v>4</v>
      </c>
      <c r="J2240" t="s">
        <v>93</v>
      </c>
      <c r="K2240" t="b">
        <v>1</v>
      </c>
      <c r="L2240">
        <f t="shared" si="34"/>
        <v>2</v>
      </c>
      <c r="M2240">
        <f t="shared" si="34"/>
        <v>4</v>
      </c>
      <c r="N2240" t="b">
        <v>0</v>
      </c>
      <c r="O2240">
        <v>0</v>
      </c>
      <c r="Q2240">
        <v>0</v>
      </c>
      <c r="R2240" t="b">
        <v>0</v>
      </c>
    </row>
    <row r="2241" spans="1:18">
      <c r="A2241" t="s">
        <v>4383</v>
      </c>
      <c r="B2241" t="s">
        <v>5692</v>
      </c>
      <c r="C2241" t="s">
        <v>5693</v>
      </c>
      <c r="E2241">
        <v>0</v>
      </c>
      <c r="F2241">
        <v>0</v>
      </c>
      <c r="G2241">
        <v>2</v>
      </c>
      <c r="H2241">
        <v>7</v>
      </c>
      <c r="J2241" t="s">
        <v>22</v>
      </c>
      <c r="K2241" t="b">
        <v>1</v>
      </c>
      <c r="L2241">
        <f t="shared" si="34"/>
        <v>2</v>
      </c>
      <c r="M2241">
        <f t="shared" si="34"/>
        <v>7</v>
      </c>
      <c r="N2241" t="b">
        <v>0</v>
      </c>
      <c r="O2241">
        <v>1</v>
      </c>
      <c r="P2241" t="s">
        <v>1916</v>
      </c>
      <c r="Q2241">
        <v>2</v>
      </c>
      <c r="R2241" t="b">
        <v>1</v>
      </c>
    </row>
    <row r="2242" spans="1:18">
      <c r="A2242" t="s">
        <v>4383</v>
      </c>
      <c r="B2242" t="s">
        <v>5694</v>
      </c>
      <c r="C2242" t="s">
        <v>5695</v>
      </c>
      <c r="E2242">
        <v>0</v>
      </c>
      <c r="F2242">
        <v>0</v>
      </c>
      <c r="G2242">
        <v>2</v>
      </c>
      <c r="H2242">
        <v>7</v>
      </c>
      <c r="J2242" t="s">
        <v>22</v>
      </c>
      <c r="K2242" t="b">
        <v>1</v>
      </c>
      <c r="L2242">
        <f t="shared" si="34"/>
        <v>2</v>
      </c>
      <c r="M2242">
        <f t="shared" si="34"/>
        <v>7</v>
      </c>
      <c r="N2242" t="b">
        <v>0</v>
      </c>
      <c r="O2242">
        <v>1</v>
      </c>
      <c r="P2242" t="s">
        <v>2043</v>
      </c>
      <c r="Q2242">
        <v>2</v>
      </c>
      <c r="R2242" t="b">
        <v>1</v>
      </c>
    </row>
    <row r="2243" spans="1:18">
      <c r="A2243" t="s">
        <v>4383</v>
      </c>
      <c r="B2243" t="s">
        <v>5696</v>
      </c>
      <c r="C2243" t="s">
        <v>5697</v>
      </c>
      <c r="E2243">
        <v>0</v>
      </c>
      <c r="F2243">
        <v>0</v>
      </c>
      <c r="G2243">
        <v>2</v>
      </c>
      <c r="H2243">
        <v>7</v>
      </c>
      <c r="J2243" t="s">
        <v>22</v>
      </c>
      <c r="K2243" t="b">
        <v>1</v>
      </c>
      <c r="L2243">
        <f t="shared" ref="L2243:M2306" si="35">E2243+G2243</f>
        <v>2</v>
      </c>
      <c r="M2243">
        <f t="shared" si="35"/>
        <v>7</v>
      </c>
      <c r="N2243" t="b">
        <v>0</v>
      </c>
      <c r="O2243">
        <v>1</v>
      </c>
      <c r="P2243" t="s">
        <v>1265</v>
      </c>
      <c r="Q2243">
        <v>2</v>
      </c>
      <c r="R2243" t="b">
        <v>1</v>
      </c>
    </row>
    <row r="2244" spans="1:18">
      <c r="A2244" t="s">
        <v>1334</v>
      </c>
      <c r="B2244" t="s">
        <v>5698</v>
      </c>
      <c r="C2244" t="s">
        <v>5699</v>
      </c>
      <c r="E2244">
        <v>2</v>
      </c>
      <c r="F2244">
        <v>197</v>
      </c>
      <c r="G2244">
        <v>0</v>
      </c>
      <c r="H2244">
        <v>0</v>
      </c>
      <c r="J2244" t="s">
        <v>22</v>
      </c>
      <c r="K2244" t="b">
        <v>1</v>
      </c>
      <c r="L2244">
        <f t="shared" si="35"/>
        <v>2</v>
      </c>
      <c r="M2244">
        <f t="shared" si="35"/>
        <v>197</v>
      </c>
      <c r="N2244" t="b">
        <v>0</v>
      </c>
      <c r="O2244">
        <v>1</v>
      </c>
      <c r="P2244" t="s">
        <v>5700</v>
      </c>
      <c r="Q2244">
        <v>1</v>
      </c>
      <c r="R2244" t="b">
        <v>1</v>
      </c>
    </row>
    <row r="2245" spans="1:18">
      <c r="A2245" t="s">
        <v>1334</v>
      </c>
      <c r="B2245" t="s">
        <v>5701</v>
      </c>
      <c r="C2245" t="s">
        <v>5702</v>
      </c>
      <c r="E2245">
        <v>1</v>
      </c>
      <c r="F2245">
        <v>2</v>
      </c>
      <c r="G2245">
        <v>1</v>
      </c>
      <c r="H2245">
        <v>2</v>
      </c>
      <c r="J2245" t="s">
        <v>22</v>
      </c>
      <c r="K2245" t="b">
        <v>1</v>
      </c>
      <c r="L2245">
        <f t="shared" si="35"/>
        <v>2</v>
      </c>
      <c r="M2245">
        <f t="shared" si="35"/>
        <v>4</v>
      </c>
      <c r="N2245" t="b">
        <v>0</v>
      </c>
      <c r="O2245">
        <v>1</v>
      </c>
      <c r="P2245" t="s">
        <v>5703</v>
      </c>
      <c r="Q2245">
        <v>1</v>
      </c>
      <c r="R2245" t="b">
        <v>1</v>
      </c>
    </row>
    <row r="2246" spans="1:18">
      <c r="A2246" t="s">
        <v>1334</v>
      </c>
      <c r="B2246" t="s">
        <v>5704</v>
      </c>
      <c r="C2246" t="s">
        <v>5705</v>
      </c>
      <c r="E2246">
        <v>1</v>
      </c>
      <c r="F2246">
        <v>1</v>
      </c>
      <c r="G2246">
        <v>1</v>
      </c>
      <c r="H2246">
        <v>1</v>
      </c>
      <c r="J2246" t="s">
        <v>22</v>
      </c>
      <c r="K2246" t="b">
        <v>1</v>
      </c>
      <c r="L2246">
        <f t="shared" si="35"/>
        <v>2</v>
      </c>
      <c r="M2246">
        <f t="shared" si="35"/>
        <v>2</v>
      </c>
      <c r="N2246" t="b">
        <v>0</v>
      </c>
      <c r="O2246">
        <v>1</v>
      </c>
      <c r="P2246" t="s">
        <v>5706</v>
      </c>
      <c r="Q2246">
        <v>1</v>
      </c>
      <c r="R2246" t="b">
        <v>1</v>
      </c>
    </row>
    <row r="2247" spans="1:18" hidden="1">
      <c r="A2247" t="s">
        <v>1334</v>
      </c>
      <c r="B2247" t="s">
        <v>5707</v>
      </c>
      <c r="C2247" t="s">
        <v>5708</v>
      </c>
      <c r="E2247">
        <v>2</v>
      </c>
      <c r="F2247">
        <v>2</v>
      </c>
      <c r="G2247">
        <v>0</v>
      </c>
      <c r="H2247">
        <v>0</v>
      </c>
      <c r="J2247" t="s">
        <v>93</v>
      </c>
      <c r="K2247" t="b">
        <v>1</v>
      </c>
      <c r="L2247">
        <f t="shared" si="35"/>
        <v>2</v>
      </c>
      <c r="M2247">
        <f t="shared" si="35"/>
        <v>2</v>
      </c>
      <c r="N2247" t="b">
        <v>0</v>
      </c>
      <c r="O2247">
        <v>0.33329999999999999</v>
      </c>
      <c r="P2247" t="s">
        <v>5709</v>
      </c>
      <c r="Q2247">
        <v>4</v>
      </c>
      <c r="R2247" t="b">
        <v>1</v>
      </c>
    </row>
    <row r="2248" spans="1:18" hidden="1">
      <c r="A2248" t="s">
        <v>1334</v>
      </c>
      <c r="B2248" t="s">
        <v>5710</v>
      </c>
      <c r="C2248" t="s">
        <v>5711</v>
      </c>
      <c r="E2248">
        <v>2</v>
      </c>
      <c r="F2248">
        <v>2</v>
      </c>
      <c r="G2248">
        <v>0</v>
      </c>
      <c r="H2248">
        <v>0</v>
      </c>
      <c r="J2248" t="s">
        <v>93</v>
      </c>
      <c r="K2248" t="b">
        <v>1</v>
      </c>
      <c r="L2248">
        <f t="shared" si="35"/>
        <v>2</v>
      </c>
      <c r="M2248">
        <f t="shared" si="35"/>
        <v>2</v>
      </c>
      <c r="N2248" t="b">
        <v>0</v>
      </c>
      <c r="O2248">
        <v>0.33329999999999999</v>
      </c>
      <c r="P2248" t="s">
        <v>5712</v>
      </c>
      <c r="Q2248">
        <v>4</v>
      </c>
      <c r="R2248" t="b">
        <v>1</v>
      </c>
    </row>
    <row r="2249" spans="1:18">
      <c r="A2249" t="s">
        <v>1334</v>
      </c>
      <c r="B2249" t="s">
        <v>5713</v>
      </c>
      <c r="C2249" t="s">
        <v>5714</v>
      </c>
      <c r="E2249">
        <v>2</v>
      </c>
      <c r="F2249">
        <v>23</v>
      </c>
      <c r="G2249">
        <v>0</v>
      </c>
      <c r="H2249">
        <v>0</v>
      </c>
      <c r="J2249" t="s">
        <v>22</v>
      </c>
      <c r="K2249" t="b">
        <v>1</v>
      </c>
      <c r="L2249">
        <f t="shared" si="35"/>
        <v>2</v>
      </c>
      <c r="M2249">
        <f t="shared" si="35"/>
        <v>23</v>
      </c>
      <c r="N2249" t="b">
        <v>0</v>
      </c>
      <c r="O2249">
        <v>1</v>
      </c>
      <c r="P2249" t="s">
        <v>5715</v>
      </c>
      <c r="Q2249">
        <v>1</v>
      </c>
      <c r="R2249" t="b">
        <v>1</v>
      </c>
    </row>
    <row r="2250" spans="1:18">
      <c r="A2250" t="s">
        <v>1334</v>
      </c>
      <c r="B2250" t="s">
        <v>5716</v>
      </c>
      <c r="C2250" t="s">
        <v>5717</v>
      </c>
      <c r="E2250">
        <v>2</v>
      </c>
      <c r="F2250">
        <v>23</v>
      </c>
      <c r="G2250">
        <v>0</v>
      </c>
      <c r="H2250">
        <v>0</v>
      </c>
      <c r="J2250" t="s">
        <v>22</v>
      </c>
      <c r="K2250" t="b">
        <v>1</v>
      </c>
      <c r="L2250">
        <f t="shared" si="35"/>
        <v>2</v>
      </c>
      <c r="M2250">
        <f t="shared" si="35"/>
        <v>23</v>
      </c>
      <c r="N2250" t="b">
        <v>0</v>
      </c>
      <c r="O2250">
        <v>1</v>
      </c>
      <c r="P2250" t="s">
        <v>5718</v>
      </c>
      <c r="Q2250">
        <v>1</v>
      </c>
      <c r="R2250" t="b">
        <v>1</v>
      </c>
    </row>
    <row r="2251" spans="1:18">
      <c r="A2251" t="s">
        <v>378</v>
      </c>
      <c r="B2251" t="s">
        <v>5719</v>
      </c>
      <c r="C2251" t="s">
        <v>5720</v>
      </c>
      <c r="E2251">
        <v>1</v>
      </c>
      <c r="F2251">
        <v>13</v>
      </c>
      <c r="G2251">
        <v>1</v>
      </c>
      <c r="H2251">
        <v>2</v>
      </c>
      <c r="J2251" t="s">
        <v>22</v>
      </c>
      <c r="K2251" t="b">
        <v>1</v>
      </c>
      <c r="L2251">
        <f t="shared" si="35"/>
        <v>2</v>
      </c>
      <c r="M2251">
        <f t="shared" si="35"/>
        <v>15</v>
      </c>
      <c r="N2251" t="b">
        <v>0</v>
      </c>
      <c r="O2251">
        <v>1</v>
      </c>
      <c r="P2251" t="s">
        <v>5721</v>
      </c>
      <c r="Q2251">
        <v>2</v>
      </c>
      <c r="R2251" t="b">
        <v>1</v>
      </c>
    </row>
    <row r="2252" spans="1:18" hidden="1">
      <c r="A2252" t="s">
        <v>4021</v>
      </c>
      <c r="B2252" t="s">
        <v>5722</v>
      </c>
      <c r="C2252" t="s">
        <v>5723</v>
      </c>
      <c r="E2252">
        <v>0</v>
      </c>
      <c r="F2252">
        <v>0</v>
      </c>
      <c r="G2252">
        <v>2</v>
      </c>
      <c r="H2252">
        <v>10</v>
      </c>
      <c r="J2252" t="s">
        <v>93</v>
      </c>
      <c r="K2252" t="b">
        <v>0</v>
      </c>
      <c r="L2252">
        <f t="shared" si="35"/>
        <v>2</v>
      </c>
      <c r="M2252">
        <f t="shared" si="35"/>
        <v>10</v>
      </c>
      <c r="N2252" t="b">
        <v>0</v>
      </c>
      <c r="O2252">
        <v>0</v>
      </c>
      <c r="Q2252">
        <v>0</v>
      </c>
      <c r="R2252" t="b">
        <v>0</v>
      </c>
    </row>
    <row r="2253" spans="1:18" hidden="1">
      <c r="A2253" t="s">
        <v>1191</v>
      </c>
      <c r="B2253" t="s">
        <v>5724</v>
      </c>
      <c r="C2253" t="s">
        <v>5725</v>
      </c>
      <c r="E2253">
        <v>0</v>
      </c>
      <c r="F2253">
        <v>0</v>
      </c>
      <c r="G2253">
        <v>2</v>
      </c>
      <c r="H2253">
        <v>7</v>
      </c>
      <c r="J2253" t="s">
        <v>93</v>
      </c>
      <c r="K2253" t="b">
        <v>1</v>
      </c>
      <c r="L2253">
        <f t="shared" si="35"/>
        <v>2</v>
      </c>
      <c r="M2253">
        <f t="shared" si="35"/>
        <v>7</v>
      </c>
      <c r="N2253" t="b">
        <v>0</v>
      </c>
      <c r="O2253">
        <v>0.2</v>
      </c>
      <c r="P2253" t="s">
        <v>5726</v>
      </c>
      <c r="Q2253">
        <v>4</v>
      </c>
      <c r="R2253" t="b">
        <v>1</v>
      </c>
    </row>
    <row r="2254" spans="1:18" hidden="1">
      <c r="A2254" t="s">
        <v>5727</v>
      </c>
      <c r="B2254" t="s">
        <v>5728</v>
      </c>
      <c r="C2254" t="s">
        <v>5729</v>
      </c>
      <c r="E2254">
        <v>2</v>
      </c>
      <c r="F2254">
        <v>7</v>
      </c>
      <c r="G2254">
        <v>0</v>
      </c>
      <c r="H2254">
        <v>0</v>
      </c>
      <c r="J2254" t="s">
        <v>93</v>
      </c>
      <c r="K2254" t="b">
        <v>0</v>
      </c>
      <c r="L2254">
        <f t="shared" si="35"/>
        <v>2</v>
      </c>
      <c r="M2254">
        <f t="shared" si="35"/>
        <v>7</v>
      </c>
      <c r="N2254" t="b">
        <v>0</v>
      </c>
      <c r="O2254">
        <v>0</v>
      </c>
      <c r="Q2254">
        <v>0</v>
      </c>
      <c r="R2254" t="b">
        <v>0</v>
      </c>
    </row>
    <row r="2255" spans="1:18" hidden="1">
      <c r="A2255" t="s">
        <v>5727</v>
      </c>
      <c r="B2255" t="s">
        <v>5730</v>
      </c>
      <c r="C2255" t="s">
        <v>5731</v>
      </c>
      <c r="E2255">
        <v>2</v>
      </c>
      <c r="F2255">
        <v>7</v>
      </c>
      <c r="G2255">
        <v>0</v>
      </c>
      <c r="H2255">
        <v>0</v>
      </c>
      <c r="J2255" t="s">
        <v>93</v>
      </c>
      <c r="K2255" t="b">
        <v>0</v>
      </c>
      <c r="L2255">
        <f t="shared" si="35"/>
        <v>2</v>
      </c>
      <c r="M2255">
        <f t="shared" si="35"/>
        <v>7</v>
      </c>
      <c r="N2255" t="b">
        <v>0</v>
      </c>
      <c r="O2255">
        <v>0</v>
      </c>
      <c r="Q2255">
        <v>0</v>
      </c>
      <c r="R2255" t="b">
        <v>0</v>
      </c>
    </row>
    <row r="2256" spans="1:18" hidden="1">
      <c r="A2256" t="s">
        <v>5727</v>
      </c>
      <c r="B2256" t="s">
        <v>5732</v>
      </c>
      <c r="C2256" t="s">
        <v>5733</v>
      </c>
      <c r="E2256">
        <v>2</v>
      </c>
      <c r="F2256">
        <v>7</v>
      </c>
      <c r="G2256">
        <v>0</v>
      </c>
      <c r="H2256">
        <v>0</v>
      </c>
      <c r="J2256" t="s">
        <v>93</v>
      </c>
      <c r="K2256" t="b">
        <v>0</v>
      </c>
      <c r="L2256">
        <f t="shared" si="35"/>
        <v>2</v>
      </c>
      <c r="M2256">
        <f t="shared" si="35"/>
        <v>7</v>
      </c>
      <c r="N2256" t="b">
        <v>0</v>
      </c>
      <c r="O2256">
        <v>0</v>
      </c>
      <c r="Q2256">
        <v>0</v>
      </c>
      <c r="R2256" t="b">
        <v>0</v>
      </c>
    </row>
    <row r="2257" spans="1:18" hidden="1">
      <c r="A2257" t="s">
        <v>5727</v>
      </c>
      <c r="B2257" t="s">
        <v>5734</v>
      </c>
      <c r="C2257" t="s">
        <v>5735</v>
      </c>
      <c r="E2257">
        <v>2</v>
      </c>
      <c r="F2257">
        <v>7</v>
      </c>
      <c r="G2257">
        <v>0</v>
      </c>
      <c r="H2257">
        <v>0</v>
      </c>
      <c r="J2257" t="s">
        <v>93</v>
      </c>
      <c r="K2257" t="b">
        <v>0</v>
      </c>
      <c r="L2257">
        <f t="shared" si="35"/>
        <v>2</v>
      </c>
      <c r="M2257">
        <f t="shared" si="35"/>
        <v>7</v>
      </c>
      <c r="N2257" t="b">
        <v>0</v>
      </c>
      <c r="O2257">
        <v>0</v>
      </c>
      <c r="Q2257">
        <v>0</v>
      </c>
      <c r="R2257" t="b">
        <v>0</v>
      </c>
    </row>
    <row r="2258" spans="1:18" hidden="1">
      <c r="A2258" t="s">
        <v>5727</v>
      </c>
      <c r="B2258" t="s">
        <v>5736</v>
      </c>
      <c r="C2258" t="s">
        <v>5737</v>
      </c>
      <c r="E2258">
        <v>2</v>
      </c>
      <c r="F2258">
        <v>7</v>
      </c>
      <c r="G2258">
        <v>0</v>
      </c>
      <c r="H2258">
        <v>0</v>
      </c>
      <c r="J2258" t="s">
        <v>93</v>
      </c>
      <c r="K2258" t="b">
        <v>0</v>
      </c>
      <c r="L2258">
        <f t="shared" si="35"/>
        <v>2</v>
      </c>
      <c r="M2258">
        <f t="shared" si="35"/>
        <v>7</v>
      </c>
      <c r="N2258" t="b">
        <v>0</v>
      </c>
      <c r="O2258">
        <v>0</v>
      </c>
      <c r="Q2258">
        <v>0</v>
      </c>
      <c r="R2258" t="b">
        <v>0</v>
      </c>
    </row>
    <row r="2259" spans="1:18" hidden="1">
      <c r="A2259" t="s">
        <v>5727</v>
      </c>
      <c r="B2259" t="s">
        <v>5738</v>
      </c>
      <c r="C2259" t="s">
        <v>5739</v>
      </c>
      <c r="E2259">
        <v>2</v>
      </c>
      <c r="F2259">
        <v>7</v>
      </c>
      <c r="G2259">
        <v>0</v>
      </c>
      <c r="H2259">
        <v>0</v>
      </c>
      <c r="J2259" t="s">
        <v>93</v>
      </c>
      <c r="K2259" t="b">
        <v>0</v>
      </c>
      <c r="L2259">
        <f t="shared" si="35"/>
        <v>2</v>
      </c>
      <c r="M2259">
        <f t="shared" si="35"/>
        <v>7</v>
      </c>
      <c r="N2259" t="b">
        <v>0</v>
      </c>
      <c r="O2259">
        <v>0</v>
      </c>
      <c r="Q2259">
        <v>0</v>
      </c>
      <c r="R2259" t="b">
        <v>0</v>
      </c>
    </row>
    <row r="2260" spans="1:18">
      <c r="A2260" t="s">
        <v>2805</v>
      </c>
      <c r="B2260" t="s">
        <v>5740</v>
      </c>
      <c r="C2260" t="s">
        <v>5741</v>
      </c>
      <c r="E2260">
        <v>0</v>
      </c>
      <c r="F2260">
        <v>0</v>
      </c>
      <c r="G2260">
        <v>2</v>
      </c>
      <c r="H2260">
        <v>6</v>
      </c>
      <c r="J2260" t="s">
        <v>22</v>
      </c>
      <c r="K2260" t="b">
        <v>1</v>
      </c>
      <c r="L2260">
        <f t="shared" si="35"/>
        <v>2</v>
      </c>
      <c r="M2260">
        <f t="shared" si="35"/>
        <v>6</v>
      </c>
      <c r="N2260" t="b">
        <v>0</v>
      </c>
      <c r="O2260">
        <v>1</v>
      </c>
      <c r="P2260" t="s">
        <v>1785</v>
      </c>
      <c r="Q2260">
        <v>2</v>
      </c>
      <c r="R2260" t="b">
        <v>1</v>
      </c>
    </row>
    <row r="2261" spans="1:18" hidden="1">
      <c r="A2261" t="s">
        <v>248</v>
      </c>
      <c r="B2261" t="s">
        <v>5742</v>
      </c>
      <c r="C2261" t="s">
        <v>5743</v>
      </c>
      <c r="E2261">
        <v>0</v>
      </c>
      <c r="F2261">
        <v>0</v>
      </c>
      <c r="G2261">
        <v>2</v>
      </c>
      <c r="H2261">
        <v>6</v>
      </c>
      <c r="J2261" t="s">
        <v>93</v>
      </c>
      <c r="K2261" t="b">
        <v>1</v>
      </c>
      <c r="L2261">
        <f t="shared" si="35"/>
        <v>2</v>
      </c>
      <c r="M2261">
        <f t="shared" si="35"/>
        <v>6</v>
      </c>
      <c r="N2261" t="b">
        <v>0</v>
      </c>
      <c r="O2261">
        <v>0</v>
      </c>
      <c r="Q2261">
        <v>0</v>
      </c>
      <c r="R2261" t="b">
        <v>0</v>
      </c>
    </row>
    <row r="2262" spans="1:18" hidden="1">
      <c r="A2262" t="s">
        <v>4041</v>
      </c>
      <c r="B2262" t="s">
        <v>5744</v>
      </c>
      <c r="C2262" t="s">
        <v>5745</v>
      </c>
      <c r="E2262">
        <v>0</v>
      </c>
      <c r="F2262">
        <v>0</v>
      </c>
      <c r="G2262">
        <v>2</v>
      </c>
      <c r="H2262">
        <v>6</v>
      </c>
      <c r="J2262" t="s">
        <v>93</v>
      </c>
      <c r="K2262" t="b">
        <v>0</v>
      </c>
      <c r="L2262">
        <f t="shared" si="35"/>
        <v>2</v>
      </c>
      <c r="M2262">
        <f t="shared" si="35"/>
        <v>6</v>
      </c>
      <c r="N2262" t="b">
        <v>0</v>
      </c>
      <c r="O2262">
        <v>0</v>
      </c>
      <c r="Q2262">
        <v>0</v>
      </c>
      <c r="R2262" t="b">
        <v>0</v>
      </c>
    </row>
    <row r="2263" spans="1:18" hidden="1">
      <c r="A2263" t="s">
        <v>24</v>
      </c>
      <c r="B2263" t="s">
        <v>5746</v>
      </c>
      <c r="C2263" t="s">
        <v>5747</v>
      </c>
      <c r="E2263">
        <v>0</v>
      </c>
      <c r="F2263">
        <v>0</v>
      </c>
      <c r="G2263">
        <v>2</v>
      </c>
      <c r="H2263">
        <v>5</v>
      </c>
      <c r="J2263" t="s">
        <v>93</v>
      </c>
      <c r="K2263" t="b">
        <v>1</v>
      </c>
      <c r="L2263">
        <f t="shared" si="35"/>
        <v>2</v>
      </c>
      <c r="M2263">
        <f t="shared" si="35"/>
        <v>5</v>
      </c>
      <c r="N2263" t="b">
        <v>0</v>
      </c>
      <c r="O2263">
        <v>0</v>
      </c>
      <c r="Q2263">
        <v>0</v>
      </c>
      <c r="R2263" t="b">
        <v>0</v>
      </c>
    </row>
    <row r="2264" spans="1:18" hidden="1">
      <c r="A2264" t="s">
        <v>3514</v>
      </c>
      <c r="B2264" t="s">
        <v>5748</v>
      </c>
      <c r="C2264" t="s">
        <v>5749</v>
      </c>
      <c r="E2264">
        <v>1</v>
      </c>
      <c r="F2264">
        <v>2</v>
      </c>
      <c r="G2264">
        <v>1</v>
      </c>
      <c r="H2264">
        <v>3</v>
      </c>
      <c r="J2264" t="s">
        <v>93</v>
      </c>
      <c r="K2264" t="b">
        <v>0</v>
      </c>
      <c r="L2264">
        <f t="shared" si="35"/>
        <v>2</v>
      </c>
      <c r="M2264">
        <f t="shared" si="35"/>
        <v>5</v>
      </c>
      <c r="N2264" t="b">
        <v>0</v>
      </c>
      <c r="O2264">
        <v>0</v>
      </c>
      <c r="Q2264">
        <v>0</v>
      </c>
      <c r="R2264" t="b">
        <v>0</v>
      </c>
    </row>
    <row r="2265" spans="1:18">
      <c r="A2265" t="s">
        <v>3478</v>
      </c>
      <c r="B2265" t="s">
        <v>5750</v>
      </c>
      <c r="C2265" t="s">
        <v>5751</v>
      </c>
      <c r="E2265">
        <v>0</v>
      </c>
      <c r="F2265">
        <v>0</v>
      </c>
      <c r="G2265">
        <v>2</v>
      </c>
      <c r="H2265">
        <v>5</v>
      </c>
      <c r="J2265" t="s">
        <v>22</v>
      </c>
      <c r="K2265" t="b">
        <v>1</v>
      </c>
      <c r="L2265">
        <f t="shared" si="35"/>
        <v>2</v>
      </c>
      <c r="M2265">
        <f t="shared" si="35"/>
        <v>5</v>
      </c>
      <c r="N2265" t="b">
        <v>0</v>
      </c>
      <c r="O2265">
        <v>1</v>
      </c>
      <c r="P2265" t="s">
        <v>5752</v>
      </c>
      <c r="Q2265">
        <v>2</v>
      </c>
      <c r="R2265" t="b">
        <v>1</v>
      </c>
    </row>
    <row r="2266" spans="1:18" hidden="1">
      <c r="A2266" t="s">
        <v>3810</v>
      </c>
      <c r="B2266" t="s">
        <v>5753</v>
      </c>
      <c r="C2266" t="s">
        <v>5754</v>
      </c>
      <c r="E2266">
        <v>0</v>
      </c>
      <c r="F2266">
        <v>0</v>
      </c>
      <c r="G2266">
        <v>2</v>
      </c>
      <c r="H2266">
        <v>5</v>
      </c>
      <c r="J2266" t="s">
        <v>93</v>
      </c>
      <c r="K2266" t="b">
        <v>0</v>
      </c>
      <c r="L2266">
        <f t="shared" si="35"/>
        <v>2</v>
      </c>
      <c r="M2266">
        <f t="shared" si="35"/>
        <v>5</v>
      </c>
      <c r="N2266" t="b">
        <v>0</v>
      </c>
      <c r="O2266">
        <v>0</v>
      </c>
      <c r="Q2266">
        <v>0</v>
      </c>
      <c r="R2266" t="b">
        <v>0</v>
      </c>
    </row>
    <row r="2267" spans="1:18" hidden="1">
      <c r="A2267" t="s">
        <v>3810</v>
      </c>
      <c r="B2267" t="s">
        <v>5755</v>
      </c>
      <c r="C2267" t="s">
        <v>5756</v>
      </c>
      <c r="E2267">
        <v>0</v>
      </c>
      <c r="F2267">
        <v>0</v>
      </c>
      <c r="G2267">
        <v>2</v>
      </c>
      <c r="H2267">
        <v>5</v>
      </c>
      <c r="J2267" t="s">
        <v>93</v>
      </c>
      <c r="K2267" t="b">
        <v>0</v>
      </c>
      <c r="L2267">
        <f t="shared" si="35"/>
        <v>2</v>
      </c>
      <c r="M2267">
        <f t="shared" si="35"/>
        <v>5</v>
      </c>
      <c r="N2267" t="b">
        <v>0</v>
      </c>
      <c r="O2267">
        <v>0</v>
      </c>
      <c r="Q2267">
        <v>0</v>
      </c>
      <c r="R2267" t="b">
        <v>0</v>
      </c>
    </row>
    <row r="2268" spans="1:18" hidden="1">
      <c r="A2268" t="s">
        <v>3810</v>
      </c>
      <c r="B2268" t="s">
        <v>5757</v>
      </c>
      <c r="C2268" t="s">
        <v>5758</v>
      </c>
      <c r="E2268">
        <v>0</v>
      </c>
      <c r="F2268">
        <v>0</v>
      </c>
      <c r="G2268">
        <v>2</v>
      </c>
      <c r="H2268">
        <v>5</v>
      </c>
      <c r="J2268" t="s">
        <v>93</v>
      </c>
      <c r="K2268" t="b">
        <v>0</v>
      </c>
      <c r="L2268">
        <f t="shared" si="35"/>
        <v>2</v>
      </c>
      <c r="M2268">
        <f t="shared" si="35"/>
        <v>5</v>
      </c>
      <c r="N2268" t="b">
        <v>0</v>
      </c>
      <c r="O2268">
        <v>0</v>
      </c>
      <c r="Q2268">
        <v>0</v>
      </c>
      <c r="R2268" t="b">
        <v>0</v>
      </c>
    </row>
    <row r="2269" spans="1:18" hidden="1">
      <c r="A2269" t="s">
        <v>192</v>
      </c>
      <c r="B2269" t="s">
        <v>5759</v>
      </c>
      <c r="C2269" t="s">
        <v>5760</v>
      </c>
      <c r="E2269">
        <v>0</v>
      </c>
      <c r="F2269">
        <v>0</v>
      </c>
      <c r="G2269">
        <v>2</v>
      </c>
      <c r="H2269">
        <v>5</v>
      </c>
      <c r="J2269" t="s">
        <v>93</v>
      </c>
      <c r="K2269" t="b">
        <v>1</v>
      </c>
      <c r="L2269">
        <f t="shared" si="35"/>
        <v>2</v>
      </c>
      <c r="M2269">
        <f t="shared" si="35"/>
        <v>5</v>
      </c>
      <c r="N2269" t="b">
        <v>0</v>
      </c>
      <c r="O2269">
        <v>0.5</v>
      </c>
      <c r="P2269" t="s">
        <v>5761</v>
      </c>
      <c r="Q2269">
        <v>2</v>
      </c>
      <c r="R2269" t="b">
        <v>1</v>
      </c>
    </row>
    <row r="2270" spans="1:18" hidden="1">
      <c r="A2270" t="s">
        <v>4041</v>
      </c>
      <c r="B2270" t="s">
        <v>5762</v>
      </c>
      <c r="C2270" t="s">
        <v>5763</v>
      </c>
      <c r="E2270">
        <v>2</v>
      </c>
      <c r="F2270">
        <v>1</v>
      </c>
      <c r="G2270">
        <v>0</v>
      </c>
      <c r="H2270">
        <v>0</v>
      </c>
      <c r="J2270" t="s">
        <v>93</v>
      </c>
      <c r="K2270" t="b">
        <v>0</v>
      </c>
      <c r="L2270">
        <f t="shared" si="35"/>
        <v>2</v>
      </c>
      <c r="M2270">
        <f t="shared" si="35"/>
        <v>1</v>
      </c>
      <c r="N2270" t="b">
        <v>1</v>
      </c>
      <c r="O2270">
        <v>0</v>
      </c>
      <c r="Q2270">
        <v>0</v>
      </c>
      <c r="R2270" t="b">
        <v>0</v>
      </c>
    </row>
    <row r="2271" spans="1:18" hidden="1">
      <c r="A2271" t="s">
        <v>4041</v>
      </c>
      <c r="B2271" t="s">
        <v>5764</v>
      </c>
      <c r="C2271" t="s">
        <v>5765</v>
      </c>
      <c r="E2271">
        <v>2</v>
      </c>
      <c r="F2271">
        <v>1</v>
      </c>
      <c r="G2271">
        <v>0</v>
      </c>
      <c r="H2271">
        <v>0</v>
      </c>
      <c r="J2271" t="s">
        <v>93</v>
      </c>
      <c r="K2271" t="b">
        <v>0</v>
      </c>
      <c r="L2271">
        <f t="shared" si="35"/>
        <v>2</v>
      </c>
      <c r="M2271">
        <f t="shared" si="35"/>
        <v>1</v>
      </c>
      <c r="N2271" t="b">
        <v>1</v>
      </c>
      <c r="O2271">
        <v>0</v>
      </c>
      <c r="Q2271">
        <v>0</v>
      </c>
      <c r="R2271" t="b">
        <v>0</v>
      </c>
    </row>
    <row r="2272" spans="1:18" hidden="1">
      <c r="A2272" t="s">
        <v>4041</v>
      </c>
      <c r="B2272" t="s">
        <v>5766</v>
      </c>
      <c r="C2272" t="s">
        <v>5767</v>
      </c>
      <c r="E2272">
        <v>2</v>
      </c>
      <c r="F2272">
        <v>1</v>
      </c>
      <c r="G2272">
        <v>0</v>
      </c>
      <c r="H2272">
        <v>0</v>
      </c>
      <c r="J2272" t="s">
        <v>93</v>
      </c>
      <c r="K2272" t="b">
        <v>0</v>
      </c>
      <c r="L2272">
        <f t="shared" si="35"/>
        <v>2</v>
      </c>
      <c r="M2272">
        <f t="shared" si="35"/>
        <v>1</v>
      </c>
      <c r="N2272" t="b">
        <v>1</v>
      </c>
      <c r="O2272">
        <v>0</v>
      </c>
      <c r="Q2272">
        <v>0</v>
      </c>
      <c r="R2272" t="b">
        <v>0</v>
      </c>
    </row>
    <row r="2273" spans="1:18" hidden="1">
      <c r="A2273" t="s">
        <v>4041</v>
      </c>
      <c r="B2273" t="s">
        <v>5768</v>
      </c>
      <c r="C2273" t="s">
        <v>5769</v>
      </c>
      <c r="E2273">
        <v>2</v>
      </c>
      <c r="F2273">
        <v>1</v>
      </c>
      <c r="G2273">
        <v>0</v>
      </c>
      <c r="H2273">
        <v>0</v>
      </c>
      <c r="J2273" t="s">
        <v>93</v>
      </c>
      <c r="K2273" t="b">
        <v>0</v>
      </c>
      <c r="L2273">
        <f t="shared" si="35"/>
        <v>2</v>
      </c>
      <c r="M2273">
        <f t="shared" si="35"/>
        <v>1</v>
      </c>
      <c r="N2273" t="b">
        <v>1</v>
      </c>
      <c r="O2273">
        <v>0</v>
      </c>
      <c r="Q2273">
        <v>0</v>
      </c>
      <c r="R2273" t="b">
        <v>0</v>
      </c>
    </row>
    <row r="2274" spans="1:18">
      <c r="A2274" t="s">
        <v>205</v>
      </c>
      <c r="B2274" t="s">
        <v>5770</v>
      </c>
      <c r="C2274" t="s">
        <v>5771</v>
      </c>
      <c r="E2274">
        <v>0</v>
      </c>
      <c r="F2274">
        <v>0</v>
      </c>
      <c r="G2274">
        <v>2</v>
      </c>
      <c r="H2274">
        <v>4</v>
      </c>
      <c r="J2274" t="s">
        <v>22</v>
      </c>
      <c r="K2274" t="b">
        <v>1</v>
      </c>
      <c r="L2274">
        <f t="shared" si="35"/>
        <v>2</v>
      </c>
      <c r="M2274">
        <f t="shared" si="35"/>
        <v>4</v>
      </c>
      <c r="N2274" t="b">
        <v>0</v>
      </c>
      <c r="O2274">
        <v>0</v>
      </c>
      <c r="Q2274">
        <v>0</v>
      </c>
      <c r="R2274" t="b">
        <v>0</v>
      </c>
    </row>
    <row r="2275" spans="1:18" hidden="1">
      <c r="A2275" t="s">
        <v>3105</v>
      </c>
      <c r="B2275" t="s">
        <v>5772</v>
      </c>
      <c r="C2275" t="s">
        <v>5773</v>
      </c>
      <c r="E2275">
        <v>0</v>
      </c>
      <c r="F2275">
        <v>0</v>
      </c>
      <c r="G2275">
        <v>2</v>
      </c>
      <c r="H2275">
        <v>4</v>
      </c>
      <c r="J2275" t="s">
        <v>93</v>
      </c>
      <c r="K2275" t="b">
        <v>1</v>
      </c>
      <c r="L2275">
        <f t="shared" si="35"/>
        <v>2</v>
      </c>
      <c r="M2275">
        <f t="shared" si="35"/>
        <v>4</v>
      </c>
      <c r="N2275" t="b">
        <v>0</v>
      </c>
      <c r="O2275">
        <v>0</v>
      </c>
      <c r="Q2275">
        <v>0</v>
      </c>
      <c r="R2275" t="b">
        <v>0</v>
      </c>
    </row>
    <row r="2276" spans="1:18">
      <c r="A2276" t="s">
        <v>1334</v>
      </c>
      <c r="B2276" t="s">
        <v>5774</v>
      </c>
      <c r="C2276" t="s">
        <v>5775</v>
      </c>
      <c r="E2276">
        <v>0</v>
      </c>
      <c r="F2276">
        <v>0</v>
      </c>
      <c r="G2276">
        <v>2</v>
      </c>
      <c r="H2276">
        <v>4</v>
      </c>
      <c r="J2276" t="s">
        <v>22</v>
      </c>
      <c r="K2276" t="b">
        <v>1</v>
      </c>
      <c r="L2276">
        <f t="shared" si="35"/>
        <v>2</v>
      </c>
      <c r="M2276">
        <f t="shared" si="35"/>
        <v>4</v>
      </c>
      <c r="N2276" t="b">
        <v>0</v>
      </c>
      <c r="O2276">
        <v>1</v>
      </c>
      <c r="P2276" t="s">
        <v>5776</v>
      </c>
      <c r="Q2276">
        <v>1</v>
      </c>
      <c r="R2276" t="b">
        <v>1</v>
      </c>
    </row>
    <row r="2277" spans="1:18" hidden="1">
      <c r="A2277" t="s">
        <v>940</v>
      </c>
      <c r="B2277" t="s">
        <v>5777</v>
      </c>
      <c r="C2277" t="s">
        <v>5778</v>
      </c>
      <c r="E2277">
        <v>0</v>
      </c>
      <c r="F2277">
        <v>0</v>
      </c>
      <c r="G2277">
        <v>2</v>
      </c>
      <c r="H2277">
        <v>4</v>
      </c>
      <c r="J2277" t="s">
        <v>93</v>
      </c>
      <c r="K2277" t="b">
        <v>0</v>
      </c>
      <c r="L2277">
        <f t="shared" si="35"/>
        <v>2</v>
      </c>
      <c r="M2277">
        <f t="shared" si="35"/>
        <v>4</v>
      </c>
      <c r="N2277" t="b">
        <v>0</v>
      </c>
      <c r="O2277">
        <v>0</v>
      </c>
      <c r="Q2277">
        <v>0</v>
      </c>
      <c r="R2277" t="b">
        <v>0</v>
      </c>
    </row>
    <row r="2278" spans="1:18" hidden="1">
      <c r="A2278" t="s">
        <v>3810</v>
      </c>
      <c r="B2278" t="s">
        <v>5779</v>
      </c>
      <c r="C2278" t="s">
        <v>5780</v>
      </c>
      <c r="E2278">
        <v>2</v>
      </c>
      <c r="F2278">
        <v>4</v>
      </c>
      <c r="G2278">
        <v>0</v>
      </c>
      <c r="H2278">
        <v>0</v>
      </c>
      <c r="J2278" t="s">
        <v>93</v>
      </c>
      <c r="K2278" t="b">
        <v>0</v>
      </c>
      <c r="L2278">
        <f t="shared" si="35"/>
        <v>2</v>
      </c>
      <c r="M2278">
        <f t="shared" si="35"/>
        <v>4</v>
      </c>
      <c r="N2278" t="b">
        <v>0</v>
      </c>
      <c r="O2278">
        <v>0</v>
      </c>
      <c r="Q2278">
        <v>0</v>
      </c>
      <c r="R2278" t="b">
        <v>0</v>
      </c>
    </row>
    <row r="2279" spans="1:18">
      <c r="A2279" t="s">
        <v>205</v>
      </c>
      <c r="B2279" t="s">
        <v>5781</v>
      </c>
      <c r="C2279" t="s">
        <v>5782</v>
      </c>
      <c r="E2279">
        <v>0</v>
      </c>
      <c r="F2279">
        <v>0</v>
      </c>
      <c r="G2279">
        <v>2</v>
      </c>
      <c r="H2279">
        <v>3</v>
      </c>
      <c r="J2279" t="s">
        <v>22</v>
      </c>
      <c r="K2279" t="b">
        <v>1</v>
      </c>
      <c r="L2279">
        <f t="shared" si="35"/>
        <v>2</v>
      </c>
      <c r="M2279">
        <f t="shared" si="35"/>
        <v>3</v>
      </c>
      <c r="N2279" t="b">
        <v>0</v>
      </c>
      <c r="O2279">
        <v>1</v>
      </c>
      <c r="P2279" t="s">
        <v>3546</v>
      </c>
      <c r="Q2279">
        <v>2</v>
      </c>
      <c r="R2279" t="b">
        <v>1</v>
      </c>
    </row>
    <row r="2280" spans="1:18" hidden="1">
      <c r="A2280" t="s">
        <v>3105</v>
      </c>
      <c r="B2280" t="s">
        <v>5783</v>
      </c>
      <c r="C2280" t="s">
        <v>5784</v>
      </c>
      <c r="E2280">
        <v>0</v>
      </c>
      <c r="F2280">
        <v>0</v>
      </c>
      <c r="G2280">
        <v>2</v>
      </c>
      <c r="H2280">
        <v>3</v>
      </c>
      <c r="J2280" t="s">
        <v>93</v>
      </c>
      <c r="K2280" t="b">
        <v>1</v>
      </c>
      <c r="L2280">
        <f t="shared" si="35"/>
        <v>2</v>
      </c>
      <c r="M2280">
        <f t="shared" si="35"/>
        <v>3</v>
      </c>
      <c r="N2280" t="b">
        <v>0</v>
      </c>
      <c r="O2280">
        <v>0</v>
      </c>
      <c r="Q2280">
        <v>0</v>
      </c>
      <c r="R2280" t="b">
        <v>0</v>
      </c>
    </row>
    <row r="2281" spans="1:18">
      <c r="A2281" t="s">
        <v>59</v>
      </c>
      <c r="B2281" t="s">
        <v>5785</v>
      </c>
      <c r="C2281" t="s">
        <v>5786</v>
      </c>
      <c r="E2281">
        <v>0</v>
      </c>
      <c r="F2281">
        <v>0</v>
      </c>
      <c r="G2281">
        <v>2</v>
      </c>
      <c r="H2281">
        <v>3</v>
      </c>
      <c r="J2281" t="s">
        <v>22</v>
      </c>
      <c r="K2281" t="b">
        <v>1</v>
      </c>
      <c r="L2281">
        <f t="shared" si="35"/>
        <v>2</v>
      </c>
      <c r="M2281">
        <f t="shared" si="35"/>
        <v>3</v>
      </c>
      <c r="N2281" t="b">
        <v>0</v>
      </c>
      <c r="O2281">
        <v>1</v>
      </c>
      <c r="P2281" t="s">
        <v>4898</v>
      </c>
      <c r="Q2281">
        <v>2</v>
      </c>
      <c r="R2281" t="b">
        <v>1</v>
      </c>
    </row>
    <row r="2282" spans="1:18" hidden="1">
      <c r="A2282" t="s">
        <v>59</v>
      </c>
      <c r="B2282" t="s">
        <v>5787</v>
      </c>
      <c r="C2282" t="s">
        <v>5788</v>
      </c>
      <c r="E2282">
        <v>0</v>
      </c>
      <c r="F2282">
        <v>0</v>
      </c>
      <c r="G2282">
        <v>2</v>
      </c>
      <c r="H2282">
        <v>3</v>
      </c>
      <c r="J2282" t="s">
        <v>93</v>
      </c>
      <c r="K2282" t="b">
        <v>1</v>
      </c>
      <c r="L2282">
        <f t="shared" si="35"/>
        <v>2</v>
      </c>
      <c r="M2282">
        <f t="shared" si="35"/>
        <v>3</v>
      </c>
      <c r="N2282" t="b">
        <v>0</v>
      </c>
      <c r="O2282">
        <v>0</v>
      </c>
      <c r="Q2282">
        <v>0</v>
      </c>
      <c r="R2282" t="b">
        <v>0</v>
      </c>
    </row>
    <row r="2283" spans="1:18" hidden="1">
      <c r="A2283" t="s">
        <v>1424</v>
      </c>
      <c r="B2283" t="s">
        <v>5789</v>
      </c>
      <c r="C2283" t="s">
        <v>5790</v>
      </c>
      <c r="E2283">
        <v>1</v>
      </c>
      <c r="F2283">
        <v>1</v>
      </c>
      <c r="G2283">
        <v>1</v>
      </c>
      <c r="H2283">
        <v>2</v>
      </c>
      <c r="J2283" t="s">
        <v>93</v>
      </c>
      <c r="K2283" t="b">
        <v>0</v>
      </c>
      <c r="L2283">
        <f t="shared" si="35"/>
        <v>2</v>
      </c>
      <c r="M2283">
        <f t="shared" si="35"/>
        <v>3</v>
      </c>
      <c r="N2283" t="b">
        <v>0</v>
      </c>
      <c r="O2283">
        <v>0</v>
      </c>
      <c r="Q2283">
        <v>0</v>
      </c>
      <c r="R2283" t="b">
        <v>0</v>
      </c>
    </row>
    <row r="2284" spans="1:18" hidden="1">
      <c r="A2284" t="s">
        <v>3511</v>
      </c>
      <c r="B2284" t="s">
        <v>5791</v>
      </c>
      <c r="C2284" t="s">
        <v>5792</v>
      </c>
      <c r="E2284">
        <v>1</v>
      </c>
      <c r="F2284">
        <v>2</v>
      </c>
      <c r="G2284">
        <v>1</v>
      </c>
      <c r="H2284">
        <v>1</v>
      </c>
      <c r="J2284" t="s">
        <v>93</v>
      </c>
      <c r="K2284" t="b">
        <v>0</v>
      </c>
      <c r="L2284">
        <f t="shared" si="35"/>
        <v>2</v>
      </c>
      <c r="M2284">
        <f t="shared" si="35"/>
        <v>3</v>
      </c>
      <c r="N2284" t="b">
        <v>0</v>
      </c>
      <c r="O2284">
        <v>0</v>
      </c>
      <c r="Q2284">
        <v>0</v>
      </c>
      <c r="R2284" t="b">
        <v>0</v>
      </c>
    </row>
    <row r="2285" spans="1:18" hidden="1">
      <c r="A2285" t="s">
        <v>3810</v>
      </c>
      <c r="B2285" t="s">
        <v>5793</v>
      </c>
      <c r="C2285" t="s">
        <v>5794</v>
      </c>
      <c r="E2285">
        <v>0</v>
      </c>
      <c r="F2285">
        <v>0</v>
      </c>
      <c r="G2285">
        <v>2</v>
      </c>
      <c r="H2285">
        <v>3</v>
      </c>
      <c r="J2285" t="s">
        <v>93</v>
      </c>
      <c r="K2285" t="b">
        <v>0</v>
      </c>
      <c r="L2285">
        <f t="shared" si="35"/>
        <v>2</v>
      </c>
      <c r="M2285">
        <f t="shared" si="35"/>
        <v>3</v>
      </c>
      <c r="N2285" t="b">
        <v>0</v>
      </c>
      <c r="O2285">
        <v>0</v>
      </c>
      <c r="Q2285">
        <v>0</v>
      </c>
      <c r="R2285" t="b">
        <v>0</v>
      </c>
    </row>
    <row r="2286" spans="1:18" hidden="1">
      <c r="A2286" t="s">
        <v>3810</v>
      </c>
      <c r="B2286" t="s">
        <v>5795</v>
      </c>
      <c r="C2286" t="s">
        <v>5796</v>
      </c>
      <c r="E2286">
        <v>2</v>
      </c>
      <c r="F2286">
        <v>3</v>
      </c>
      <c r="G2286">
        <v>0</v>
      </c>
      <c r="H2286">
        <v>0</v>
      </c>
      <c r="J2286" t="s">
        <v>93</v>
      </c>
      <c r="K2286" t="b">
        <v>0</v>
      </c>
      <c r="L2286">
        <f t="shared" si="35"/>
        <v>2</v>
      </c>
      <c r="M2286">
        <f t="shared" si="35"/>
        <v>3</v>
      </c>
      <c r="N2286" t="b">
        <v>0</v>
      </c>
      <c r="O2286">
        <v>0</v>
      </c>
      <c r="Q2286">
        <v>0</v>
      </c>
      <c r="R2286" t="b">
        <v>0</v>
      </c>
    </row>
    <row r="2287" spans="1:18">
      <c r="A2287" t="s">
        <v>1384</v>
      </c>
      <c r="B2287" t="s">
        <v>5797</v>
      </c>
      <c r="C2287" t="s">
        <v>5798</v>
      </c>
      <c r="E2287">
        <v>0</v>
      </c>
      <c r="F2287">
        <v>0</v>
      </c>
      <c r="G2287">
        <v>2</v>
      </c>
      <c r="H2287">
        <v>3</v>
      </c>
      <c r="J2287" t="s">
        <v>22</v>
      </c>
      <c r="K2287" t="b">
        <v>1</v>
      </c>
      <c r="L2287">
        <f t="shared" si="35"/>
        <v>2</v>
      </c>
      <c r="M2287">
        <f t="shared" si="35"/>
        <v>3</v>
      </c>
      <c r="N2287" t="b">
        <v>0</v>
      </c>
      <c r="O2287">
        <v>1</v>
      </c>
      <c r="P2287" t="s">
        <v>5799</v>
      </c>
      <c r="Q2287">
        <v>2</v>
      </c>
      <c r="R2287" t="b">
        <v>1</v>
      </c>
    </row>
    <row r="2288" spans="1:18">
      <c r="A2288" t="s">
        <v>115</v>
      </c>
      <c r="B2288" t="s">
        <v>5800</v>
      </c>
      <c r="C2288" t="s">
        <v>5801</v>
      </c>
      <c r="E2288">
        <v>0</v>
      </c>
      <c r="F2288">
        <v>0</v>
      </c>
      <c r="G2288">
        <v>2</v>
      </c>
      <c r="H2288">
        <v>3</v>
      </c>
      <c r="J2288" t="s">
        <v>22</v>
      </c>
      <c r="K2288" t="b">
        <v>1</v>
      </c>
      <c r="L2288">
        <f t="shared" si="35"/>
        <v>2</v>
      </c>
      <c r="M2288">
        <f t="shared" si="35"/>
        <v>3</v>
      </c>
      <c r="N2288" t="b">
        <v>0</v>
      </c>
      <c r="O2288">
        <v>1</v>
      </c>
      <c r="P2288" t="s">
        <v>5802</v>
      </c>
      <c r="Q2288">
        <v>2</v>
      </c>
      <c r="R2288" t="b">
        <v>1</v>
      </c>
    </row>
    <row r="2289" spans="1:18">
      <c r="A2289" t="s">
        <v>1929</v>
      </c>
      <c r="B2289" t="s">
        <v>5803</v>
      </c>
      <c r="C2289" t="s">
        <v>5804</v>
      </c>
      <c r="E2289">
        <v>0</v>
      </c>
      <c r="F2289">
        <v>0</v>
      </c>
      <c r="G2289">
        <v>2</v>
      </c>
      <c r="H2289">
        <v>2</v>
      </c>
      <c r="J2289" t="s">
        <v>22</v>
      </c>
      <c r="K2289" t="b">
        <v>1</v>
      </c>
      <c r="L2289">
        <f t="shared" si="35"/>
        <v>2</v>
      </c>
      <c r="M2289">
        <f t="shared" si="35"/>
        <v>2</v>
      </c>
      <c r="N2289" t="b">
        <v>0</v>
      </c>
      <c r="O2289">
        <v>0</v>
      </c>
      <c r="Q2289">
        <v>0</v>
      </c>
      <c r="R2289" t="b">
        <v>0</v>
      </c>
    </row>
    <row r="2290" spans="1:18" hidden="1">
      <c r="A2290" t="s">
        <v>768</v>
      </c>
      <c r="B2290" t="s">
        <v>5805</v>
      </c>
      <c r="C2290" t="s">
        <v>5806</v>
      </c>
      <c r="E2290">
        <v>0</v>
      </c>
      <c r="F2290">
        <v>0</v>
      </c>
      <c r="G2290">
        <v>2</v>
      </c>
      <c r="H2290">
        <v>2</v>
      </c>
      <c r="J2290" t="s">
        <v>93</v>
      </c>
      <c r="K2290" t="b">
        <v>0</v>
      </c>
      <c r="L2290">
        <f t="shared" si="35"/>
        <v>2</v>
      </c>
      <c r="M2290">
        <f t="shared" si="35"/>
        <v>2</v>
      </c>
      <c r="N2290" t="b">
        <v>0</v>
      </c>
      <c r="O2290">
        <v>0</v>
      </c>
      <c r="Q2290">
        <v>0</v>
      </c>
      <c r="R2290" t="b">
        <v>0</v>
      </c>
    </row>
    <row r="2291" spans="1:18" hidden="1">
      <c r="A2291" t="s">
        <v>5807</v>
      </c>
      <c r="B2291" t="s">
        <v>5808</v>
      </c>
      <c r="C2291" t="s">
        <v>5809</v>
      </c>
      <c r="E2291">
        <v>1</v>
      </c>
      <c r="F2291">
        <v>1</v>
      </c>
      <c r="G2291">
        <v>1</v>
      </c>
      <c r="H2291">
        <v>1</v>
      </c>
      <c r="J2291" t="s">
        <v>93</v>
      </c>
      <c r="K2291" t="b">
        <v>0</v>
      </c>
      <c r="L2291">
        <f t="shared" si="35"/>
        <v>2</v>
      </c>
      <c r="M2291">
        <f t="shared" si="35"/>
        <v>2</v>
      </c>
      <c r="N2291" t="b">
        <v>0</v>
      </c>
      <c r="O2291">
        <v>0</v>
      </c>
      <c r="Q2291">
        <v>0</v>
      </c>
      <c r="R2291" t="b">
        <v>0</v>
      </c>
    </row>
    <row r="2292" spans="1:18">
      <c r="A2292" t="s">
        <v>1384</v>
      </c>
      <c r="B2292" t="s">
        <v>5810</v>
      </c>
      <c r="C2292" t="s">
        <v>5811</v>
      </c>
      <c r="E2292">
        <v>1</v>
      </c>
      <c r="F2292">
        <v>0</v>
      </c>
      <c r="G2292">
        <v>1</v>
      </c>
      <c r="H2292">
        <v>2</v>
      </c>
      <c r="J2292" t="s">
        <v>22</v>
      </c>
      <c r="K2292" t="b">
        <v>1</v>
      </c>
      <c r="L2292">
        <f t="shared" si="35"/>
        <v>2</v>
      </c>
      <c r="M2292">
        <f t="shared" si="35"/>
        <v>2</v>
      </c>
      <c r="N2292" t="b">
        <v>0</v>
      </c>
      <c r="O2292">
        <v>1</v>
      </c>
      <c r="P2292" t="s">
        <v>5812</v>
      </c>
      <c r="Q2292">
        <v>2</v>
      </c>
      <c r="R2292" t="b">
        <v>1</v>
      </c>
    </row>
    <row r="2293" spans="1:18">
      <c r="A2293" t="s">
        <v>1384</v>
      </c>
      <c r="B2293" t="s">
        <v>5813</v>
      </c>
      <c r="C2293" t="s">
        <v>5814</v>
      </c>
      <c r="E2293">
        <v>2</v>
      </c>
      <c r="F2293">
        <v>3</v>
      </c>
      <c r="G2293">
        <v>0</v>
      </c>
      <c r="H2293">
        <v>0</v>
      </c>
      <c r="J2293" t="s">
        <v>22</v>
      </c>
      <c r="K2293" t="b">
        <v>1</v>
      </c>
      <c r="L2293">
        <f t="shared" si="35"/>
        <v>2</v>
      </c>
      <c r="M2293">
        <f t="shared" si="35"/>
        <v>3</v>
      </c>
      <c r="N2293" t="b">
        <v>0</v>
      </c>
      <c r="O2293">
        <v>1</v>
      </c>
      <c r="P2293" t="s">
        <v>5815</v>
      </c>
      <c r="Q2293">
        <v>2</v>
      </c>
      <c r="R2293" t="b">
        <v>1</v>
      </c>
    </row>
    <row r="2294" spans="1:18" hidden="1">
      <c r="A2294" t="s">
        <v>5807</v>
      </c>
      <c r="B2294" t="s">
        <v>5816</v>
      </c>
      <c r="C2294" t="s">
        <v>5817</v>
      </c>
      <c r="E2294">
        <v>1</v>
      </c>
      <c r="F2294">
        <v>1</v>
      </c>
      <c r="G2294">
        <v>1</v>
      </c>
      <c r="H2294">
        <v>1</v>
      </c>
      <c r="J2294" t="s">
        <v>93</v>
      </c>
      <c r="K2294" t="b">
        <v>0</v>
      </c>
      <c r="L2294">
        <f t="shared" si="35"/>
        <v>2</v>
      </c>
      <c r="M2294">
        <f t="shared" si="35"/>
        <v>2</v>
      </c>
      <c r="N2294" t="b">
        <v>0</v>
      </c>
      <c r="O2294">
        <v>0</v>
      </c>
      <c r="Q2294">
        <v>0</v>
      </c>
      <c r="R2294" t="b">
        <v>0</v>
      </c>
    </row>
    <row r="2295" spans="1:18" hidden="1">
      <c r="A2295" t="s">
        <v>5807</v>
      </c>
      <c r="B2295" t="s">
        <v>5818</v>
      </c>
      <c r="C2295" t="s">
        <v>5819</v>
      </c>
      <c r="E2295">
        <v>1</v>
      </c>
      <c r="F2295">
        <v>1</v>
      </c>
      <c r="G2295">
        <v>1</v>
      </c>
      <c r="H2295">
        <v>1</v>
      </c>
      <c r="J2295" t="s">
        <v>93</v>
      </c>
      <c r="K2295" t="b">
        <v>0</v>
      </c>
      <c r="L2295">
        <f t="shared" si="35"/>
        <v>2</v>
      </c>
      <c r="M2295">
        <f t="shared" si="35"/>
        <v>2</v>
      </c>
      <c r="N2295" t="b">
        <v>0</v>
      </c>
      <c r="O2295">
        <v>0</v>
      </c>
      <c r="Q2295">
        <v>0</v>
      </c>
      <c r="R2295" t="b">
        <v>0</v>
      </c>
    </row>
    <row r="2296" spans="1:18" hidden="1">
      <c r="A2296" t="s">
        <v>2540</v>
      </c>
      <c r="B2296" t="s">
        <v>5820</v>
      </c>
      <c r="C2296" t="s">
        <v>5821</v>
      </c>
      <c r="E2296">
        <v>1</v>
      </c>
      <c r="F2296">
        <v>1</v>
      </c>
      <c r="G2296">
        <v>1</v>
      </c>
      <c r="H2296">
        <v>1</v>
      </c>
      <c r="J2296" t="s">
        <v>93</v>
      </c>
      <c r="K2296" t="b">
        <v>0</v>
      </c>
      <c r="L2296">
        <f t="shared" si="35"/>
        <v>2</v>
      </c>
      <c r="M2296">
        <f t="shared" si="35"/>
        <v>2</v>
      </c>
      <c r="N2296" t="b">
        <v>0</v>
      </c>
      <c r="O2296">
        <v>0</v>
      </c>
      <c r="Q2296">
        <v>0</v>
      </c>
      <c r="R2296" t="b">
        <v>0</v>
      </c>
    </row>
    <row r="2297" spans="1:18">
      <c r="A2297" t="s">
        <v>1384</v>
      </c>
      <c r="B2297" t="s">
        <v>5822</v>
      </c>
      <c r="C2297" t="s">
        <v>5823</v>
      </c>
      <c r="E2297">
        <v>2</v>
      </c>
      <c r="F2297">
        <v>4</v>
      </c>
      <c r="G2297">
        <v>0</v>
      </c>
      <c r="H2297">
        <v>0</v>
      </c>
      <c r="J2297" t="s">
        <v>22</v>
      </c>
      <c r="K2297" t="b">
        <v>1</v>
      </c>
      <c r="L2297">
        <f t="shared" si="35"/>
        <v>2</v>
      </c>
      <c r="M2297">
        <f t="shared" si="35"/>
        <v>4</v>
      </c>
      <c r="N2297" t="b">
        <v>0</v>
      </c>
      <c r="O2297">
        <v>1</v>
      </c>
      <c r="P2297" t="s">
        <v>5824</v>
      </c>
      <c r="Q2297">
        <v>2</v>
      </c>
      <c r="R2297" t="b">
        <v>1</v>
      </c>
    </row>
    <row r="2298" spans="1:18" hidden="1">
      <c r="A2298" t="s">
        <v>2540</v>
      </c>
      <c r="B2298" t="s">
        <v>5825</v>
      </c>
      <c r="C2298" t="s">
        <v>5826</v>
      </c>
      <c r="E2298">
        <v>1</v>
      </c>
      <c r="F2298">
        <v>1</v>
      </c>
      <c r="G2298">
        <v>1</v>
      </c>
      <c r="H2298">
        <v>1</v>
      </c>
      <c r="J2298" t="s">
        <v>93</v>
      </c>
      <c r="K2298" t="b">
        <v>0</v>
      </c>
      <c r="L2298">
        <f t="shared" si="35"/>
        <v>2</v>
      </c>
      <c r="M2298">
        <f t="shared" si="35"/>
        <v>2</v>
      </c>
      <c r="N2298" t="b">
        <v>0</v>
      </c>
      <c r="O2298">
        <v>0</v>
      </c>
      <c r="Q2298">
        <v>0</v>
      </c>
      <c r="R2298" t="b">
        <v>0</v>
      </c>
    </row>
    <row r="2299" spans="1:18">
      <c r="A2299" t="s">
        <v>205</v>
      </c>
      <c r="B2299" t="s">
        <v>5827</v>
      </c>
      <c r="C2299" t="s">
        <v>5828</v>
      </c>
      <c r="E2299">
        <v>0</v>
      </c>
      <c r="F2299">
        <v>0</v>
      </c>
      <c r="G2299">
        <v>2</v>
      </c>
      <c r="H2299">
        <v>2</v>
      </c>
      <c r="J2299" t="s">
        <v>22</v>
      </c>
      <c r="K2299" t="b">
        <v>1</v>
      </c>
      <c r="L2299">
        <f t="shared" si="35"/>
        <v>2</v>
      </c>
      <c r="M2299">
        <f t="shared" si="35"/>
        <v>2</v>
      </c>
      <c r="N2299" t="b">
        <v>0</v>
      </c>
      <c r="O2299">
        <v>1</v>
      </c>
      <c r="P2299" t="s">
        <v>3756</v>
      </c>
      <c r="Q2299">
        <v>2</v>
      </c>
      <c r="R2299" t="b">
        <v>1</v>
      </c>
    </row>
    <row r="2300" spans="1:18">
      <c r="A2300" t="s">
        <v>205</v>
      </c>
      <c r="B2300" t="s">
        <v>5829</v>
      </c>
      <c r="C2300" t="s">
        <v>5830</v>
      </c>
      <c r="E2300">
        <v>0</v>
      </c>
      <c r="F2300">
        <v>0</v>
      </c>
      <c r="G2300">
        <v>2</v>
      </c>
      <c r="H2300">
        <v>2</v>
      </c>
      <c r="J2300" t="s">
        <v>22</v>
      </c>
      <c r="K2300" t="b">
        <v>1</v>
      </c>
      <c r="L2300">
        <f t="shared" si="35"/>
        <v>2</v>
      </c>
      <c r="M2300">
        <f t="shared" si="35"/>
        <v>2</v>
      </c>
      <c r="N2300" t="b">
        <v>0</v>
      </c>
      <c r="O2300">
        <v>1</v>
      </c>
      <c r="P2300" t="s">
        <v>3906</v>
      </c>
      <c r="Q2300">
        <v>2</v>
      </c>
      <c r="R2300" t="b">
        <v>1</v>
      </c>
    </row>
    <row r="2301" spans="1:18" hidden="1">
      <c r="A2301" t="s">
        <v>2477</v>
      </c>
      <c r="B2301" t="s">
        <v>5831</v>
      </c>
      <c r="C2301" t="s">
        <v>5832</v>
      </c>
      <c r="E2301">
        <v>0</v>
      </c>
      <c r="F2301">
        <v>0</v>
      </c>
      <c r="G2301">
        <v>2</v>
      </c>
      <c r="H2301">
        <v>2</v>
      </c>
      <c r="J2301" t="s">
        <v>93</v>
      </c>
      <c r="K2301" t="b">
        <v>0</v>
      </c>
      <c r="L2301">
        <f t="shared" si="35"/>
        <v>2</v>
      </c>
      <c r="M2301">
        <f t="shared" si="35"/>
        <v>2</v>
      </c>
      <c r="N2301" t="b">
        <v>0</v>
      </c>
      <c r="O2301">
        <v>0</v>
      </c>
      <c r="Q2301">
        <v>0</v>
      </c>
      <c r="R2301" t="b">
        <v>0</v>
      </c>
    </row>
    <row r="2302" spans="1:18" hidden="1">
      <c r="A2302" t="s">
        <v>37</v>
      </c>
      <c r="B2302" t="s">
        <v>5833</v>
      </c>
      <c r="C2302" t="s">
        <v>5834</v>
      </c>
      <c r="E2302">
        <v>0</v>
      </c>
      <c r="F2302">
        <v>0</v>
      </c>
      <c r="G2302">
        <v>2</v>
      </c>
      <c r="H2302">
        <v>2</v>
      </c>
      <c r="J2302" t="s">
        <v>93</v>
      </c>
      <c r="K2302" t="b">
        <v>1</v>
      </c>
      <c r="L2302">
        <f t="shared" si="35"/>
        <v>2</v>
      </c>
      <c r="M2302">
        <f t="shared" si="35"/>
        <v>2</v>
      </c>
      <c r="N2302" t="b">
        <v>0</v>
      </c>
      <c r="O2302">
        <v>0</v>
      </c>
      <c r="Q2302">
        <v>0</v>
      </c>
      <c r="R2302" t="b">
        <v>0</v>
      </c>
    </row>
    <row r="2303" spans="1:18">
      <c r="A2303" t="s">
        <v>1143</v>
      </c>
      <c r="B2303" t="s">
        <v>5835</v>
      </c>
      <c r="C2303" t="s">
        <v>5836</v>
      </c>
      <c r="E2303">
        <v>0</v>
      </c>
      <c r="F2303">
        <v>0</v>
      </c>
      <c r="G2303">
        <v>2</v>
      </c>
      <c r="H2303">
        <v>2</v>
      </c>
      <c r="J2303" t="s">
        <v>22</v>
      </c>
      <c r="K2303" t="b">
        <v>1</v>
      </c>
      <c r="L2303">
        <f t="shared" si="35"/>
        <v>2</v>
      </c>
      <c r="M2303">
        <f t="shared" si="35"/>
        <v>2</v>
      </c>
      <c r="N2303" t="b">
        <v>0</v>
      </c>
      <c r="O2303">
        <v>1</v>
      </c>
      <c r="P2303" t="s">
        <v>5837</v>
      </c>
      <c r="Q2303">
        <v>2</v>
      </c>
      <c r="R2303" t="b">
        <v>1</v>
      </c>
    </row>
    <row r="2304" spans="1:18" hidden="1">
      <c r="A2304" t="s">
        <v>3810</v>
      </c>
      <c r="B2304" t="s">
        <v>5838</v>
      </c>
      <c r="C2304" t="s">
        <v>5839</v>
      </c>
      <c r="E2304">
        <v>0</v>
      </c>
      <c r="F2304">
        <v>0</v>
      </c>
      <c r="G2304">
        <v>2</v>
      </c>
      <c r="H2304">
        <v>2</v>
      </c>
      <c r="J2304" t="s">
        <v>93</v>
      </c>
      <c r="K2304" t="b">
        <v>0</v>
      </c>
      <c r="L2304">
        <f t="shared" si="35"/>
        <v>2</v>
      </c>
      <c r="M2304">
        <f t="shared" si="35"/>
        <v>2</v>
      </c>
      <c r="N2304" t="b">
        <v>0</v>
      </c>
      <c r="O2304">
        <v>0</v>
      </c>
      <c r="Q2304">
        <v>0</v>
      </c>
      <c r="R2304" t="b">
        <v>0</v>
      </c>
    </row>
    <row r="2305" spans="1:18" hidden="1">
      <c r="A2305" t="s">
        <v>3810</v>
      </c>
      <c r="B2305" t="s">
        <v>5840</v>
      </c>
      <c r="C2305" t="s">
        <v>5841</v>
      </c>
      <c r="E2305">
        <v>0</v>
      </c>
      <c r="F2305">
        <v>0</v>
      </c>
      <c r="G2305">
        <v>2</v>
      </c>
      <c r="H2305">
        <v>2</v>
      </c>
      <c r="J2305" t="s">
        <v>93</v>
      </c>
      <c r="K2305" t="b">
        <v>0</v>
      </c>
      <c r="L2305">
        <f t="shared" si="35"/>
        <v>2</v>
      </c>
      <c r="M2305">
        <f t="shared" si="35"/>
        <v>2</v>
      </c>
      <c r="N2305" t="b">
        <v>0</v>
      </c>
      <c r="O2305">
        <v>0</v>
      </c>
      <c r="Q2305">
        <v>0</v>
      </c>
      <c r="R2305" t="b">
        <v>0</v>
      </c>
    </row>
    <row r="2306" spans="1:18" hidden="1">
      <c r="A2306" t="s">
        <v>3810</v>
      </c>
      <c r="B2306" t="s">
        <v>5842</v>
      </c>
      <c r="C2306" t="s">
        <v>5843</v>
      </c>
      <c r="E2306">
        <v>0</v>
      </c>
      <c r="F2306">
        <v>0</v>
      </c>
      <c r="G2306">
        <v>2</v>
      </c>
      <c r="H2306">
        <v>2</v>
      </c>
      <c r="J2306" t="s">
        <v>93</v>
      </c>
      <c r="K2306" t="b">
        <v>0</v>
      </c>
      <c r="L2306">
        <f t="shared" si="35"/>
        <v>2</v>
      </c>
      <c r="M2306">
        <f t="shared" si="35"/>
        <v>2</v>
      </c>
      <c r="N2306" t="b">
        <v>0</v>
      </c>
      <c r="O2306">
        <v>0</v>
      </c>
      <c r="Q2306">
        <v>0</v>
      </c>
      <c r="R2306" t="b">
        <v>0</v>
      </c>
    </row>
    <row r="2307" spans="1:18" hidden="1">
      <c r="A2307" t="s">
        <v>3810</v>
      </c>
      <c r="B2307" t="s">
        <v>5844</v>
      </c>
      <c r="C2307" t="s">
        <v>5845</v>
      </c>
      <c r="E2307">
        <v>0</v>
      </c>
      <c r="F2307">
        <v>0</v>
      </c>
      <c r="G2307">
        <v>2</v>
      </c>
      <c r="H2307">
        <v>2</v>
      </c>
      <c r="J2307" t="s">
        <v>93</v>
      </c>
      <c r="K2307" t="b">
        <v>0</v>
      </c>
      <c r="L2307">
        <f t="shared" ref="L2307:M2370" si="36">E2307+G2307</f>
        <v>2</v>
      </c>
      <c r="M2307">
        <f t="shared" si="36"/>
        <v>2</v>
      </c>
      <c r="N2307" t="b">
        <v>0</v>
      </c>
      <c r="O2307">
        <v>0</v>
      </c>
      <c r="Q2307">
        <v>0</v>
      </c>
      <c r="R2307" t="b">
        <v>0</v>
      </c>
    </row>
    <row r="2308" spans="1:18" hidden="1">
      <c r="A2308" t="s">
        <v>192</v>
      </c>
      <c r="B2308" t="s">
        <v>5846</v>
      </c>
      <c r="C2308" t="s">
        <v>5847</v>
      </c>
      <c r="E2308">
        <v>0</v>
      </c>
      <c r="F2308">
        <v>0</v>
      </c>
      <c r="G2308">
        <v>2</v>
      </c>
      <c r="H2308">
        <v>2</v>
      </c>
      <c r="J2308" t="s">
        <v>93</v>
      </c>
      <c r="K2308" t="b">
        <v>1</v>
      </c>
      <c r="L2308">
        <f t="shared" si="36"/>
        <v>2</v>
      </c>
      <c r="M2308">
        <f t="shared" si="36"/>
        <v>2</v>
      </c>
      <c r="N2308" t="b">
        <v>0</v>
      </c>
      <c r="O2308">
        <v>0.5</v>
      </c>
      <c r="P2308" t="s">
        <v>5008</v>
      </c>
      <c r="Q2308">
        <v>2</v>
      </c>
      <c r="R2308" t="b">
        <v>1</v>
      </c>
    </row>
    <row r="2309" spans="1:18" hidden="1">
      <c r="A2309" t="s">
        <v>192</v>
      </c>
      <c r="B2309" t="s">
        <v>5848</v>
      </c>
      <c r="C2309" t="s">
        <v>5849</v>
      </c>
      <c r="E2309">
        <v>0</v>
      </c>
      <c r="F2309">
        <v>0</v>
      </c>
      <c r="G2309">
        <v>2</v>
      </c>
      <c r="H2309">
        <v>2</v>
      </c>
      <c r="J2309" t="s">
        <v>93</v>
      </c>
      <c r="K2309" t="b">
        <v>1</v>
      </c>
      <c r="L2309">
        <f t="shared" si="36"/>
        <v>2</v>
      </c>
      <c r="M2309">
        <f t="shared" si="36"/>
        <v>2</v>
      </c>
      <c r="N2309" t="b">
        <v>0</v>
      </c>
      <c r="O2309">
        <v>0.5</v>
      </c>
      <c r="P2309" t="s">
        <v>5471</v>
      </c>
      <c r="Q2309">
        <v>2</v>
      </c>
      <c r="R2309" t="b">
        <v>1</v>
      </c>
    </row>
    <row r="2310" spans="1:18" hidden="1">
      <c r="A2310" t="s">
        <v>192</v>
      </c>
      <c r="B2310" t="s">
        <v>5850</v>
      </c>
      <c r="C2310" t="s">
        <v>5851</v>
      </c>
      <c r="E2310">
        <v>0</v>
      </c>
      <c r="F2310">
        <v>0</v>
      </c>
      <c r="G2310">
        <v>2</v>
      </c>
      <c r="H2310">
        <v>2</v>
      </c>
      <c r="J2310" t="s">
        <v>93</v>
      </c>
      <c r="K2310" t="b">
        <v>1</v>
      </c>
      <c r="L2310">
        <f t="shared" si="36"/>
        <v>2</v>
      </c>
      <c r="M2310">
        <f t="shared" si="36"/>
        <v>2</v>
      </c>
      <c r="N2310" t="b">
        <v>0</v>
      </c>
      <c r="O2310">
        <v>0.5</v>
      </c>
      <c r="P2310" t="s">
        <v>4305</v>
      </c>
      <c r="Q2310">
        <v>2</v>
      </c>
      <c r="R2310" t="b">
        <v>1</v>
      </c>
    </row>
    <row r="2311" spans="1:18" hidden="1">
      <c r="A2311" t="s">
        <v>4404</v>
      </c>
      <c r="B2311" t="s">
        <v>5852</v>
      </c>
      <c r="C2311" t="s">
        <v>5853</v>
      </c>
      <c r="E2311">
        <v>2</v>
      </c>
      <c r="F2311">
        <v>0</v>
      </c>
      <c r="G2311">
        <v>0</v>
      </c>
      <c r="H2311">
        <v>0</v>
      </c>
      <c r="J2311" t="s">
        <v>93</v>
      </c>
      <c r="K2311" t="b">
        <v>0</v>
      </c>
      <c r="L2311">
        <f t="shared" si="36"/>
        <v>2</v>
      </c>
      <c r="M2311">
        <f t="shared" si="36"/>
        <v>0</v>
      </c>
      <c r="N2311" t="b">
        <v>1</v>
      </c>
      <c r="O2311">
        <v>0</v>
      </c>
      <c r="Q2311">
        <v>0</v>
      </c>
      <c r="R2311" t="b">
        <v>0</v>
      </c>
    </row>
    <row r="2312" spans="1:18" hidden="1">
      <c r="A2312" t="s">
        <v>115</v>
      </c>
      <c r="B2312" t="s">
        <v>5854</v>
      </c>
      <c r="C2312" t="s">
        <v>5855</v>
      </c>
      <c r="E2312">
        <v>2</v>
      </c>
      <c r="F2312">
        <v>43</v>
      </c>
      <c r="G2312">
        <v>0</v>
      </c>
      <c r="H2312">
        <v>0</v>
      </c>
      <c r="J2312" t="s">
        <v>93</v>
      </c>
      <c r="K2312" t="b">
        <v>1</v>
      </c>
      <c r="L2312">
        <f t="shared" si="36"/>
        <v>2</v>
      </c>
      <c r="M2312">
        <f t="shared" si="36"/>
        <v>43</v>
      </c>
      <c r="N2312" t="b">
        <v>0</v>
      </c>
      <c r="O2312">
        <v>0</v>
      </c>
      <c r="Q2312">
        <v>0</v>
      </c>
      <c r="R2312" t="b">
        <v>0</v>
      </c>
    </row>
    <row r="2313" spans="1:18" hidden="1">
      <c r="A2313" t="s">
        <v>115</v>
      </c>
      <c r="B2313" t="s">
        <v>5856</v>
      </c>
      <c r="C2313" t="s">
        <v>5857</v>
      </c>
      <c r="E2313">
        <v>2</v>
      </c>
      <c r="F2313">
        <v>43</v>
      </c>
      <c r="G2313">
        <v>0</v>
      </c>
      <c r="H2313">
        <v>0</v>
      </c>
      <c r="J2313" t="s">
        <v>93</v>
      </c>
      <c r="K2313" t="b">
        <v>1</v>
      </c>
      <c r="L2313">
        <f t="shared" si="36"/>
        <v>2</v>
      </c>
      <c r="M2313">
        <f t="shared" si="36"/>
        <v>43</v>
      </c>
      <c r="N2313" t="b">
        <v>0</v>
      </c>
      <c r="O2313">
        <v>0.33329999999999999</v>
      </c>
      <c r="P2313" t="s">
        <v>5858</v>
      </c>
      <c r="Q2313">
        <v>4</v>
      </c>
      <c r="R2313" t="b">
        <v>1</v>
      </c>
    </row>
    <row r="2314" spans="1:18" hidden="1">
      <c r="A2314" t="s">
        <v>192</v>
      </c>
      <c r="B2314" t="s">
        <v>5859</v>
      </c>
      <c r="C2314" t="s">
        <v>5860</v>
      </c>
      <c r="E2314">
        <v>2</v>
      </c>
      <c r="F2314">
        <v>0</v>
      </c>
      <c r="G2314">
        <v>0</v>
      </c>
      <c r="H2314">
        <v>0</v>
      </c>
      <c r="J2314" t="s">
        <v>93</v>
      </c>
      <c r="K2314" t="b">
        <v>1</v>
      </c>
      <c r="L2314">
        <f t="shared" si="36"/>
        <v>2</v>
      </c>
      <c r="M2314">
        <f t="shared" si="36"/>
        <v>0</v>
      </c>
      <c r="N2314" t="b">
        <v>0</v>
      </c>
      <c r="O2314">
        <v>0</v>
      </c>
      <c r="Q2314">
        <v>0</v>
      </c>
      <c r="R2314" t="b">
        <v>0</v>
      </c>
    </row>
    <row r="2315" spans="1:18" hidden="1">
      <c r="A2315" t="s">
        <v>192</v>
      </c>
      <c r="B2315" t="s">
        <v>5861</v>
      </c>
      <c r="C2315" t="s">
        <v>5862</v>
      </c>
      <c r="E2315">
        <v>2</v>
      </c>
      <c r="F2315">
        <v>0</v>
      </c>
      <c r="G2315">
        <v>0</v>
      </c>
      <c r="H2315">
        <v>0</v>
      </c>
      <c r="J2315" t="s">
        <v>93</v>
      </c>
      <c r="K2315" t="b">
        <v>1</v>
      </c>
      <c r="L2315">
        <f t="shared" si="36"/>
        <v>2</v>
      </c>
      <c r="M2315">
        <f t="shared" si="36"/>
        <v>0</v>
      </c>
      <c r="N2315" t="b">
        <v>0</v>
      </c>
      <c r="O2315">
        <v>0</v>
      </c>
      <c r="Q2315">
        <v>0</v>
      </c>
      <c r="R2315" t="b">
        <v>0</v>
      </c>
    </row>
    <row r="2316" spans="1:18" hidden="1">
      <c r="A2316" t="s">
        <v>192</v>
      </c>
      <c r="B2316" t="s">
        <v>5863</v>
      </c>
      <c r="C2316" t="s">
        <v>5864</v>
      </c>
      <c r="E2316">
        <v>1</v>
      </c>
      <c r="F2316">
        <v>0</v>
      </c>
      <c r="G2316">
        <v>1</v>
      </c>
      <c r="H2316">
        <v>1</v>
      </c>
      <c r="J2316" t="s">
        <v>93</v>
      </c>
      <c r="K2316" t="b">
        <v>1</v>
      </c>
      <c r="L2316">
        <f t="shared" si="36"/>
        <v>2</v>
      </c>
      <c r="M2316">
        <f t="shared" si="36"/>
        <v>1</v>
      </c>
      <c r="N2316" t="b">
        <v>0</v>
      </c>
      <c r="O2316">
        <v>0</v>
      </c>
      <c r="Q2316">
        <v>0</v>
      </c>
      <c r="R2316" t="b">
        <v>0</v>
      </c>
    </row>
    <row r="2317" spans="1:18" hidden="1">
      <c r="A2317" t="s">
        <v>192</v>
      </c>
      <c r="B2317" t="s">
        <v>5865</v>
      </c>
      <c r="C2317" t="s">
        <v>5866</v>
      </c>
      <c r="E2317">
        <v>2</v>
      </c>
      <c r="F2317">
        <v>0</v>
      </c>
      <c r="G2317">
        <v>0</v>
      </c>
      <c r="H2317">
        <v>0</v>
      </c>
      <c r="J2317" t="s">
        <v>93</v>
      </c>
      <c r="K2317" t="b">
        <v>1</v>
      </c>
      <c r="L2317">
        <f t="shared" si="36"/>
        <v>2</v>
      </c>
      <c r="M2317">
        <f t="shared" si="36"/>
        <v>0</v>
      </c>
      <c r="N2317" t="b">
        <v>0</v>
      </c>
      <c r="O2317">
        <v>0</v>
      </c>
      <c r="Q2317">
        <v>0</v>
      </c>
      <c r="R2317" t="b">
        <v>0</v>
      </c>
    </row>
    <row r="2318" spans="1:18" hidden="1">
      <c r="A2318" t="s">
        <v>192</v>
      </c>
      <c r="B2318" t="s">
        <v>5867</v>
      </c>
      <c r="C2318" t="s">
        <v>5868</v>
      </c>
      <c r="E2318">
        <v>1</v>
      </c>
      <c r="F2318">
        <v>4</v>
      </c>
      <c r="G2318">
        <v>1</v>
      </c>
      <c r="H2318">
        <v>1</v>
      </c>
      <c r="J2318" t="s">
        <v>93</v>
      </c>
      <c r="K2318" t="b">
        <v>1</v>
      </c>
      <c r="L2318">
        <f t="shared" si="36"/>
        <v>2</v>
      </c>
      <c r="M2318">
        <f t="shared" si="36"/>
        <v>5</v>
      </c>
      <c r="N2318" t="b">
        <v>0</v>
      </c>
      <c r="O2318">
        <v>0</v>
      </c>
      <c r="Q2318">
        <v>0</v>
      </c>
      <c r="R2318" t="b">
        <v>0</v>
      </c>
    </row>
    <row r="2319" spans="1:18" hidden="1">
      <c r="A2319" t="s">
        <v>192</v>
      </c>
      <c r="B2319" t="s">
        <v>5869</v>
      </c>
      <c r="C2319" t="s">
        <v>5870</v>
      </c>
      <c r="E2319">
        <v>2</v>
      </c>
      <c r="F2319">
        <v>0</v>
      </c>
      <c r="G2319">
        <v>0</v>
      </c>
      <c r="H2319">
        <v>0</v>
      </c>
      <c r="J2319" t="s">
        <v>93</v>
      </c>
      <c r="K2319" t="b">
        <v>1</v>
      </c>
      <c r="L2319">
        <f t="shared" si="36"/>
        <v>2</v>
      </c>
      <c r="M2319">
        <f t="shared" si="36"/>
        <v>0</v>
      </c>
      <c r="N2319" t="b">
        <v>0</v>
      </c>
      <c r="O2319">
        <v>0.5</v>
      </c>
      <c r="P2319" t="s">
        <v>1350</v>
      </c>
      <c r="Q2319">
        <v>12</v>
      </c>
      <c r="R2319" t="b">
        <v>1</v>
      </c>
    </row>
    <row r="2320" spans="1:18" hidden="1">
      <c r="A2320" t="s">
        <v>192</v>
      </c>
      <c r="B2320" t="s">
        <v>5871</v>
      </c>
      <c r="C2320" t="s">
        <v>5872</v>
      </c>
      <c r="E2320">
        <v>2</v>
      </c>
      <c r="F2320">
        <v>2</v>
      </c>
      <c r="G2320">
        <v>0</v>
      </c>
      <c r="H2320">
        <v>0</v>
      </c>
      <c r="J2320" t="s">
        <v>93</v>
      </c>
      <c r="K2320" t="b">
        <v>1</v>
      </c>
      <c r="L2320">
        <f t="shared" si="36"/>
        <v>2</v>
      </c>
      <c r="M2320">
        <f t="shared" si="36"/>
        <v>2</v>
      </c>
      <c r="N2320" t="b">
        <v>0</v>
      </c>
      <c r="O2320">
        <v>0.5</v>
      </c>
      <c r="P2320" t="s">
        <v>1350</v>
      </c>
      <c r="Q2320">
        <v>12</v>
      </c>
      <c r="R2320" t="b">
        <v>1</v>
      </c>
    </row>
    <row r="2321" spans="1:18" hidden="1">
      <c r="A2321" t="s">
        <v>192</v>
      </c>
      <c r="B2321" t="s">
        <v>5873</v>
      </c>
      <c r="C2321" t="s">
        <v>5874</v>
      </c>
      <c r="E2321">
        <v>2</v>
      </c>
      <c r="F2321">
        <v>1</v>
      </c>
      <c r="G2321">
        <v>0</v>
      </c>
      <c r="H2321">
        <v>0</v>
      </c>
      <c r="J2321" t="s">
        <v>93</v>
      </c>
      <c r="K2321" t="b">
        <v>1</v>
      </c>
      <c r="L2321">
        <f t="shared" si="36"/>
        <v>2</v>
      </c>
      <c r="M2321">
        <f t="shared" si="36"/>
        <v>1</v>
      </c>
      <c r="N2321" t="b">
        <v>0</v>
      </c>
      <c r="O2321">
        <v>0</v>
      </c>
      <c r="Q2321">
        <v>0</v>
      </c>
      <c r="R2321" t="b">
        <v>0</v>
      </c>
    </row>
    <row r="2322" spans="1:18" hidden="1">
      <c r="A2322" t="s">
        <v>192</v>
      </c>
      <c r="B2322" t="s">
        <v>5875</v>
      </c>
      <c r="C2322" t="s">
        <v>5876</v>
      </c>
      <c r="E2322">
        <v>2</v>
      </c>
      <c r="F2322">
        <v>10</v>
      </c>
      <c r="G2322">
        <v>0</v>
      </c>
      <c r="H2322">
        <v>0</v>
      </c>
      <c r="J2322" t="s">
        <v>93</v>
      </c>
      <c r="K2322" t="b">
        <v>1</v>
      </c>
      <c r="L2322">
        <f t="shared" si="36"/>
        <v>2</v>
      </c>
      <c r="M2322">
        <f t="shared" si="36"/>
        <v>10</v>
      </c>
      <c r="N2322" t="b">
        <v>0</v>
      </c>
      <c r="O2322">
        <v>0</v>
      </c>
      <c r="Q2322">
        <v>0</v>
      </c>
      <c r="R2322" t="b">
        <v>0</v>
      </c>
    </row>
    <row r="2323" spans="1:18">
      <c r="A2323" t="s">
        <v>192</v>
      </c>
      <c r="B2323" t="s">
        <v>5877</v>
      </c>
      <c r="C2323" t="s">
        <v>5878</v>
      </c>
      <c r="E2323">
        <v>1</v>
      </c>
      <c r="F2323">
        <v>0</v>
      </c>
      <c r="G2323">
        <v>1</v>
      </c>
      <c r="H2323">
        <v>1</v>
      </c>
      <c r="J2323" t="s">
        <v>22</v>
      </c>
      <c r="K2323" t="b">
        <v>1</v>
      </c>
      <c r="L2323">
        <f t="shared" si="36"/>
        <v>2</v>
      </c>
      <c r="M2323">
        <f t="shared" si="36"/>
        <v>1</v>
      </c>
      <c r="N2323" t="b">
        <v>0</v>
      </c>
      <c r="O2323">
        <v>1</v>
      </c>
      <c r="P2323" t="s">
        <v>5879</v>
      </c>
      <c r="Q2323">
        <v>2</v>
      </c>
      <c r="R2323" t="b">
        <v>1</v>
      </c>
    </row>
    <row r="2324" spans="1:18" hidden="1">
      <c r="A2324" t="s">
        <v>192</v>
      </c>
      <c r="B2324" t="s">
        <v>5880</v>
      </c>
      <c r="C2324" t="s">
        <v>5881</v>
      </c>
      <c r="E2324">
        <v>1</v>
      </c>
      <c r="F2324">
        <v>0</v>
      </c>
      <c r="G2324">
        <v>1</v>
      </c>
      <c r="H2324">
        <v>1</v>
      </c>
      <c r="J2324" t="s">
        <v>93</v>
      </c>
      <c r="K2324" t="b">
        <v>1</v>
      </c>
      <c r="L2324">
        <f t="shared" si="36"/>
        <v>2</v>
      </c>
      <c r="M2324">
        <f t="shared" si="36"/>
        <v>1</v>
      </c>
      <c r="N2324" t="b">
        <v>0</v>
      </c>
      <c r="O2324">
        <v>0</v>
      </c>
      <c r="Q2324">
        <v>0</v>
      </c>
      <c r="R2324" t="b">
        <v>0</v>
      </c>
    </row>
    <row r="2325" spans="1:18">
      <c r="A2325" t="s">
        <v>192</v>
      </c>
      <c r="B2325" t="s">
        <v>5882</v>
      </c>
      <c r="C2325" t="s">
        <v>5883</v>
      </c>
      <c r="E2325">
        <v>1</v>
      </c>
      <c r="F2325">
        <v>2</v>
      </c>
      <c r="G2325">
        <v>1</v>
      </c>
      <c r="H2325">
        <v>1</v>
      </c>
      <c r="J2325" t="s">
        <v>22</v>
      </c>
      <c r="K2325" t="b">
        <v>1</v>
      </c>
      <c r="L2325">
        <f t="shared" si="36"/>
        <v>2</v>
      </c>
      <c r="M2325">
        <f t="shared" si="36"/>
        <v>3</v>
      </c>
      <c r="N2325" t="b">
        <v>0</v>
      </c>
      <c r="O2325">
        <v>1</v>
      </c>
      <c r="P2325" t="s">
        <v>5884</v>
      </c>
      <c r="Q2325">
        <v>2</v>
      </c>
      <c r="R2325" t="b">
        <v>1</v>
      </c>
    </row>
    <row r="2326" spans="1:18" hidden="1">
      <c r="A2326" t="s">
        <v>87</v>
      </c>
      <c r="B2326" t="s">
        <v>5885</v>
      </c>
      <c r="C2326" t="s">
        <v>5886</v>
      </c>
      <c r="E2326">
        <v>2</v>
      </c>
      <c r="F2326">
        <v>0</v>
      </c>
      <c r="G2326">
        <v>0</v>
      </c>
      <c r="H2326">
        <v>0</v>
      </c>
      <c r="J2326" t="s">
        <v>93</v>
      </c>
      <c r="K2326" t="b">
        <v>1</v>
      </c>
      <c r="L2326">
        <f t="shared" si="36"/>
        <v>2</v>
      </c>
      <c r="M2326">
        <f t="shared" si="36"/>
        <v>0</v>
      </c>
      <c r="N2326" t="b">
        <v>0</v>
      </c>
      <c r="O2326">
        <v>0</v>
      </c>
      <c r="Q2326">
        <v>0</v>
      </c>
      <c r="R2326" t="b">
        <v>0</v>
      </c>
    </row>
    <row r="2327" spans="1:18" hidden="1">
      <c r="A2327" t="s">
        <v>2901</v>
      </c>
      <c r="B2327" t="s">
        <v>5887</v>
      </c>
      <c r="C2327" t="s">
        <v>5888</v>
      </c>
      <c r="E2327">
        <v>1</v>
      </c>
      <c r="F2327">
        <v>0</v>
      </c>
      <c r="G2327">
        <v>1</v>
      </c>
      <c r="H2327">
        <v>1</v>
      </c>
      <c r="J2327" t="s">
        <v>93</v>
      </c>
      <c r="K2327" t="b">
        <v>0</v>
      </c>
      <c r="L2327">
        <f t="shared" si="36"/>
        <v>2</v>
      </c>
      <c r="M2327">
        <f t="shared" si="36"/>
        <v>1</v>
      </c>
      <c r="N2327" t="b">
        <v>1</v>
      </c>
      <c r="O2327">
        <v>0</v>
      </c>
      <c r="Q2327">
        <v>0</v>
      </c>
      <c r="R2327" t="b">
        <v>0</v>
      </c>
    </row>
    <row r="2328" spans="1:18" hidden="1">
      <c r="A2328" t="s">
        <v>361</v>
      </c>
      <c r="B2328" t="s">
        <v>5889</v>
      </c>
      <c r="C2328" t="s">
        <v>5890</v>
      </c>
      <c r="D2328" t="s">
        <v>519</v>
      </c>
      <c r="E2328">
        <v>2</v>
      </c>
      <c r="F2328">
        <v>1</v>
      </c>
      <c r="G2328">
        <v>0</v>
      </c>
      <c r="H2328">
        <v>0</v>
      </c>
      <c r="I2328" t="s">
        <v>520</v>
      </c>
      <c r="J2328" t="s">
        <v>93</v>
      </c>
      <c r="K2328" t="b">
        <v>0</v>
      </c>
      <c r="L2328">
        <f t="shared" si="36"/>
        <v>2</v>
      </c>
      <c r="M2328">
        <f t="shared" si="36"/>
        <v>1</v>
      </c>
      <c r="N2328" t="b">
        <v>1</v>
      </c>
      <c r="O2328">
        <v>0</v>
      </c>
      <c r="Q2328">
        <v>0</v>
      </c>
      <c r="R2328" t="b">
        <v>0</v>
      </c>
    </row>
    <row r="2329" spans="1:18" hidden="1">
      <c r="A2329" t="s">
        <v>19</v>
      </c>
      <c r="B2329" t="s">
        <v>5891</v>
      </c>
      <c r="C2329" t="s">
        <v>5892</v>
      </c>
      <c r="E2329">
        <v>2</v>
      </c>
      <c r="F2329">
        <v>1</v>
      </c>
      <c r="G2329">
        <v>0</v>
      </c>
      <c r="H2329">
        <v>0</v>
      </c>
      <c r="J2329" t="s">
        <v>93</v>
      </c>
      <c r="K2329" t="b">
        <v>1</v>
      </c>
      <c r="L2329">
        <f t="shared" si="36"/>
        <v>2</v>
      </c>
      <c r="M2329">
        <f t="shared" si="36"/>
        <v>1</v>
      </c>
      <c r="N2329" t="b">
        <v>0</v>
      </c>
      <c r="O2329">
        <v>0.5</v>
      </c>
      <c r="P2329" t="s">
        <v>1061</v>
      </c>
      <c r="Q2329">
        <v>8</v>
      </c>
      <c r="R2329" t="b">
        <v>1</v>
      </c>
    </row>
    <row r="2330" spans="1:18">
      <c r="A2330" t="s">
        <v>545</v>
      </c>
      <c r="B2330" t="s">
        <v>5893</v>
      </c>
      <c r="C2330" t="s">
        <v>5894</v>
      </c>
      <c r="E2330">
        <v>2</v>
      </c>
      <c r="F2330">
        <v>4</v>
      </c>
      <c r="G2330">
        <v>0</v>
      </c>
      <c r="H2330">
        <v>0</v>
      </c>
      <c r="J2330" t="s">
        <v>22</v>
      </c>
      <c r="K2330" t="b">
        <v>1</v>
      </c>
      <c r="L2330">
        <f t="shared" si="36"/>
        <v>2</v>
      </c>
      <c r="M2330">
        <f t="shared" si="36"/>
        <v>4</v>
      </c>
      <c r="N2330" t="b">
        <v>0</v>
      </c>
      <c r="O2330">
        <v>1</v>
      </c>
      <c r="P2330" t="s">
        <v>5895</v>
      </c>
      <c r="Q2330">
        <v>2</v>
      </c>
      <c r="R2330" t="b">
        <v>1</v>
      </c>
    </row>
    <row r="2331" spans="1:18">
      <c r="A2331" t="s">
        <v>573</v>
      </c>
      <c r="B2331" t="s">
        <v>5896</v>
      </c>
      <c r="C2331" t="s">
        <v>5897</v>
      </c>
      <c r="E2331">
        <v>1</v>
      </c>
      <c r="F2331">
        <v>0</v>
      </c>
      <c r="G2331">
        <v>0</v>
      </c>
      <c r="H2331">
        <v>0</v>
      </c>
      <c r="J2331" t="s">
        <v>22</v>
      </c>
      <c r="K2331" t="b">
        <v>1</v>
      </c>
      <c r="L2331">
        <f t="shared" si="36"/>
        <v>1</v>
      </c>
      <c r="M2331">
        <f t="shared" si="36"/>
        <v>0</v>
      </c>
      <c r="N2331" t="b">
        <v>0</v>
      </c>
      <c r="O2331">
        <v>1</v>
      </c>
      <c r="P2331" t="s">
        <v>5898</v>
      </c>
      <c r="Q2331">
        <v>2</v>
      </c>
      <c r="R2331" t="b">
        <v>1</v>
      </c>
    </row>
    <row r="2332" spans="1:18">
      <c r="A2332" t="s">
        <v>573</v>
      </c>
      <c r="B2332" t="s">
        <v>5899</v>
      </c>
      <c r="C2332" t="s">
        <v>5900</v>
      </c>
      <c r="E2332">
        <v>1</v>
      </c>
      <c r="F2332">
        <v>4</v>
      </c>
      <c r="G2332">
        <v>0</v>
      </c>
      <c r="H2332">
        <v>0</v>
      </c>
      <c r="J2332" t="s">
        <v>22</v>
      </c>
      <c r="K2332" t="b">
        <v>1</v>
      </c>
      <c r="L2332">
        <f t="shared" si="36"/>
        <v>1</v>
      </c>
      <c r="M2332">
        <f t="shared" si="36"/>
        <v>4</v>
      </c>
      <c r="N2332" t="b">
        <v>0</v>
      </c>
      <c r="O2332">
        <v>0</v>
      </c>
      <c r="Q2332">
        <v>0</v>
      </c>
      <c r="R2332" t="b">
        <v>0</v>
      </c>
    </row>
    <row r="2333" spans="1:18">
      <c r="A2333" t="s">
        <v>2346</v>
      </c>
      <c r="B2333" t="s">
        <v>5901</v>
      </c>
      <c r="C2333" t="s">
        <v>5902</v>
      </c>
      <c r="E2333">
        <v>1</v>
      </c>
      <c r="F2333">
        <v>2</v>
      </c>
      <c r="G2333">
        <v>0</v>
      </c>
      <c r="H2333">
        <v>0</v>
      </c>
      <c r="J2333" t="s">
        <v>22</v>
      </c>
      <c r="K2333" t="b">
        <v>1</v>
      </c>
      <c r="L2333">
        <f t="shared" si="36"/>
        <v>1</v>
      </c>
      <c r="M2333">
        <f t="shared" si="36"/>
        <v>2</v>
      </c>
      <c r="N2333" t="b">
        <v>0</v>
      </c>
      <c r="O2333">
        <v>1</v>
      </c>
      <c r="P2333" t="s">
        <v>5903</v>
      </c>
      <c r="Q2333">
        <v>2</v>
      </c>
      <c r="R2333" t="b">
        <v>1</v>
      </c>
    </row>
    <row r="2334" spans="1:18">
      <c r="A2334" t="s">
        <v>235</v>
      </c>
      <c r="B2334" t="s">
        <v>5904</v>
      </c>
      <c r="C2334" t="s">
        <v>5905</v>
      </c>
      <c r="E2334">
        <v>1</v>
      </c>
      <c r="F2334">
        <v>2</v>
      </c>
      <c r="G2334">
        <v>0</v>
      </c>
      <c r="H2334">
        <v>0</v>
      </c>
      <c r="J2334" t="s">
        <v>22</v>
      </c>
      <c r="K2334" t="b">
        <v>1</v>
      </c>
      <c r="L2334">
        <f t="shared" si="36"/>
        <v>1</v>
      </c>
      <c r="M2334">
        <f t="shared" si="36"/>
        <v>2</v>
      </c>
      <c r="N2334" t="b">
        <v>0</v>
      </c>
      <c r="O2334">
        <v>1</v>
      </c>
      <c r="P2334" t="s">
        <v>5906</v>
      </c>
      <c r="Q2334">
        <v>2</v>
      </c>
      <c r="R2334" t="b">
        <v>1</v>
      </c>
    </row>
    <row r="2335" spans="1:18" hidden="1">
      <c r="A2335" t="s">
        <v>235</v>
      </c>
      <c r="B2335" t="s">
        <v>5907</v>
      </c>
      <c r="C2335" t="s">
        <v>5908</v>
      </c>
      <c r="E2335">
        <v>1</v>
      </c>
      <c r="F2335">
        <v>9</v>
      </c>
      <c r="G2335">
        <v>0</v>
      </c>
      <c r="H2335">
        <v>0</v>
      </c>
      <c r="J2335" t="s">
        <v>93</v>
      </c>
      <c r="K2335" t="b">
        <v>1</v>
      </c>
      <c r="L2335">
        <f t="shared" si="36"/>
        <v>1</v>
      </c>
      <c r="M2335">
        <f t="shared" si="36"/>
        <v>9</v>
      </c>
      <c r="N2335" t="b">
        <v>0</v>
      </c>
      <c r="O2335">
        <v>0</v>
      </c>
      <c r="Q2335">
        <v>0</v>
      </c>
      <c r="R2335" t="b">
        <v>0</v>
      </c>
    </row>
    <row r="2336" spans="1:18">
      <c r="A2336" t="s">
        <v>1191</v>
      </c>
      <c r="B2336" t="s">
        <v>5909</v>
      </c>
      <c r="C2336" t="s">
        <v>5910</v>
      </c>
      <c r="E2336">
        <v>1</v>
      </c>
      <c r="F2336">
        <v>0</v>
      </c>
      <c r="G2336">
        <v>0</v>
      </c>
      <c r="H2336">
        <v>0</v>
      </c>
      <c r="J2336" t="s">
        <v>22</v>
      </c>
      <c r="K2336" t="b">
        <v>1</v>
      </c>
      <c r="L2336">
        <f t="shared" si="36"/>
        <v>1</v>
      </c>
      <c r="M2336">
        <f t="shared" si="36"/>
        <v>0</v>
      </c>
      <c r="N2336" t="b">
        <v>0</v>
      </c>
      <c r="O2336">
        <v>1</v>
      </c>
      <c r="P2336" t="s">
        <v>5911</v>
      </c>
      <c r="Q2336">
        <v>2</v>
      </c>
      <c r="R2336" t="b">
        <v>1</v>
      </c>
    </row>
    <row r="2337" spans="1:18">
      <c r="A2337" t="s">
        <v>1191</v>
      </c>
      <c r="B2337" t="s">
        <v>5912</v>
      </c>
      <c r="C2337" t="s">
        <v>5913</v>
      </c>
      <c r="E2337">
        <v>1</v>
      </c>
      <c r="F2337">
        <v>1</v>
      </c>
      <c r="G2337">
        <v>0</v>
      </c>
      <c r="H2337">
        <v>0</v>
      </c>
      <c r="J2337" t="s">
        <v>22</v>
      </c>
      <c r="K2337" t="b">
        <v>1</v>
      </c>
      <c r="L2337">
        <f t="shared" si="36"/>
        <v>1</v>
      </c>
      <c r="M2337">
        <f t="shared" si="36"/>
        <v>1</v>
      </c>
      <c r="N2337" t="b">
        <v>0</v>
      </c>
      <c r="O2337">
        <v>1</v>
      </c>
      <c r="P2337" t="s">
        <v>5914</v>
      </c>
      <c r="Q2337">
        <v>2</v>
      </c>
      <c r="R2337" t="b">
        <v>1</v>
      </c>
    </row>
    <row r="2338" spans="1:18" hidden="1">
      <c r="A2338" t="s">
        <v>1191</v>
      </c>
      <c r="B2338" t="s">
        <v>5915</v>
      </c>
      <c r="C2338" t="s">
        <v>5916</v>
      </c>
      <c r="E2338">
        <v>1</v>
      </c>
      <c r="F2338">
        <v>6</v>
      </c>
      <c r="G2338">
        <v>0</v>
      </c>
      <c r="H2338">
        <v>0</v>
      </c>
      <c r="J2338" t="s">
        <v>93</v>
      </c>
      <c r="K2338" t="b">
        <v>1</v>
      </c>
      <c r="L2338">
        <f t="shared" si="36"/>
        <v>1</v>
      </c>
      <c r="M2338">
        <f t="shared" si="36"/>
        <v>6</v>
      </c>
      <c r="N2338" t="b">
        <v>0</v>
      </c>
      <c r="O2338">
        <v>0</v>
      </c>
      <c r="Q2338">
        <v>0</v>
      </c>
      <c r="R2338" t="b">
        <v>0</v>
      </c>
    </row>
    <row r="2339" spans="1:18">
      <c r="A2339" t="s">
        <v>1191</v>
      </c>
      <c r="B2339" t="s">
        <v>5917</v>
      </c>
      <c r="C2339" t="s">
        <v>5918</v>
      </c>
      <c r="E2339">
        <v>1</v>
      </c>
      <c r="F2339">
        <v>1</v>
      </c>
      <c r="G2339">
        <v>0</v>
      </c>
      <c r="H2339">
        <v>0</v>
      </c>
      <c r="J2339" t="s">
        <v>22</v>
      </c>
      <c r="K2339" t="b">
        <v>1</v>
      </c>
      <c r="L2339">
        <f t="shared" si="36"/>
        <v>1</v>
      </c>
      <c r="M2339">
        <f t="shared" si="36"/>
        <v>1</v>
      </c>
      <c r="N2339" t="b">
        <v>0</v>
      </c>
      <c r="O2339">
        <v>1</v>
      </c>
      <c r="P2339" t="s">
        <v>5919</v>
      </c>
      <c r="Q2339">
        <v>2</v>
      </c>
      <c r="R2339" t="b">
        <v>1</v>
      </c>
    </row>
    <row r="2340" spans="1:18" hidden="1">
      <c r="A2340" t="s">
        <v>1191</v>
      </c>
      <c r="B2340" t="s">
        <v>5920</v>
      </c>
      <c r="C2340" t="s">
        <v>5921</v>
      </c>
      <c r="E2340">
        <v>1</v>
      </c>
      <c r="F2340">
        <v>1</v>
      </c>
      <c r="G2340">
        <v>0</v>
      </c>
      <c r="H2340">
        <v>0</v>
      </c>
      <c r="J2340" t="s">
        <v>93</v>
      </c>
      <c r="K2340" t="b">
        <v>1</v>
      </c>
      <c r="L2340">
        <f t="shared" si="36"/>
        <v>1</v>
      </c>
      <c r="M2340">
        <f t="shared" si="36"/>
        <v>1</v>
      </c>
      <c r="N2340" t="b">
        <v>0</v>
      </c>
      <c r="O2340">
        <v>0</v>
      </c>
      <c r="Q2340">
        <v>0</v>
      </c>
      <c r="R2340" t="b">
        <v>0</v>
      </c>
    </row>
    <row r="2341" spans="1:18" hidden="1">
      <c r="A2341" t="s">
        <v>1191</v>
      </c>
      <c r="B2341" t="s">
        <v>5922</v>
      </c>
      <c r="C2341" t="s">
        <v>5923</v>
      </c>
      <c r="E2341">
        <v>1</v>
      </c>
      <c r="F2341">
        <v>1</v>
      </c>
      <c r="G2341">
        <v>0</v>
      </c>
      <c r="H2341">
        <v>0</v>
      </c>
      <c r="J2341" t="s">
        <v>93</v>
      </c>
      <c r="K2341" t="b">
        <v>1</v>
      </c>
      <c r="L2341">
        <f t="shared" si="36"/>
        <v>1</v>
      </c>
      <c r="M2341">
        <f t="shared" si="36"/>
        <v>1</v>
      </c>
      <c r="N2341" t="b">
        <v>0</v>
      </c>
      <c r="O2341">
        <v>0.33329999999999999</v>
      </c>
      <c r="P2341" t="s">
        <v>5924</v>
      </c>
      <c r="Q2341">
        <v>8</v>
      </c>
      <c r="R2341" t="b">
        <v>1</v>
      </c>
    </row>
    <row r="2342" spans="1:18" hidden="1">
      <c r="A2342" t="s">
        <v>1191</v>
      </c>
      <c r="B2342" t="s">
        <v>5925</v>
      </c>
      <c r="C2342" t="s">
        <v>5926</v>
      </c>
      <c r="E2342">
        <v>1</v>
      </c>
      <c r="F2342">
        <v>1</v>
      </c>
      <c r="G2342">
        <v>0</v>
      </c>
      <c r="H2342">
        <v>0</v>
      </c>
      <c r="J2342" t="s">
        <v>93</v>
      </c>
      <c r="K2342" t="b">
        <v>1</v>
      </c>
      <c r="L2342">
        <f t="shared" si="36"/>
        <v>1</v>
      </c>
      <c r="M2342">
        <f t="shared" si="36"/>
        <v>1</v>
      </c>
      <c r="N2342" t="b">
        <v>0</v>
      </c>
      <c r="O2342">
        <v>0</v>
      </c>
      <c r="Q2342">
        <v>0</v>
      </c>
      <c r="R2342" t="b">
        <v>0</v>
      </c>
    </row>
    <row r="2343" spans="1:18" hidden="1">
      <c r="A2343" t="s">
        <v>1191</v>
      </c>
      <c r="B2343" t="s">
        <v>5927</v>
      </c>
      <c r="C2343" t="s">
        <v>5928</v>
      </c>
      <c r="E2343">
        <v>1</v>
      </c>
      <c r="F2343">
        <v>1</v>
      </c>
      <c r="G2343">
        <v>0</v>
      </c>
      <c r="H2343">
        <v>0</v>
      </c>
      <c r="J2343" t="s">
        <v>93</v>
      </c>
      <c r="K2343" t="b">
        <v>1</v>
      </c>
      <c r="L2343">
        <f t="shared" si="36"/>
        <v>1</v>
      </c>
      <c r="M2343">
        <f t="shared" si="36"/>
        <v>1</v>
      </c>
      <c r="N2343" t="b">
        <v>0</v>
      </c>
      <c r="O2343">
        <v>0</v>
      </c>
      <c r="Q2343">
        <v>0</v>
      </c>
      <c r="R2343" t="b">
        <v>0</v>
      </c>
    </row>
    <row r="2344" spans="1:18">
      <c r="A2344" t="s">
        <v>1191</v>
      </c>
      <c r="B2344" t="s">
        <v>5929</v>
      </c>
      <c r="C2344" t="s">
        <v>5930</v>
      </c>
      <c r="E2344">
        <v>1</v>
      </c>
      <c r="F2344">
        <v>1</v>
      </c>
      <c r="G2344">
        <v>0</v>
      </c>
      <c r="H2344">
        <v>0</v>
      </c>
      <c r="J2344" t="s">
        <v>22</v>
      </c>
      <c r="K2344" t="b">
        <v>1</v>
      </c>
      <c r="L2344">
        <f t="shared" si="36"/>
        <v>1</v>
      </c>
      <c r="M2344">
        <f t="shared" si="36"/>
        <v>1</v>
      </c>
      <c r="N2344" t="b">
        <v>0</v>
      </c>
      <c r="O2344">
        <v>1</v>
      </c>
      <c r="P2344" t="s">
        <v>5931</v>
      </c>
      <c r="Q2344">
        <v>2</v>
      </c>
      <c r="R2344" t="b">
        <v>1</v>
      </c>
    </row>
    <row r="2345" spans="1:18">
      <c r="A2345" t="s">
        <v>1191</v>
      </c>
      <c r="B2345" t="s">
        <v>5932</v>
      </c>
      <c r="C2345" t="s">
        <v>5933</v>
      </c>
      <c r="E2345">
        <v>1</v>
      </c>
      <c r="F2345">
        <v>3</v>
      </c>
      <c r="G2345">
        <v>0</v>
      </c>
      <c r="H2345">
        <v>0</v>
      </c>
      <c r="J2345" t="s">
        <v>22</v>
      </c>
      <c r="K2345" t="b">
        <v>1</v>
      </c>
      <c r="L2345">
        <f t="shared" si="36"/>
        <v>1</v>
      </c>
      <c r="M2345">
        <f t="shared" si="36"/>
        <v>3</v>
      </c>
      <c r="N2345" t="b">
        <v>0</v>
      </c>
      <c r="O2345">
        <v>1</v>
      </c>
      <c r="P2345" t="s">
        <v>5934</v>
      </c>
      <c r="Q2345">
        <v>2</v>
      </c>
      <c r="R2345" t="b">
        <v>1</v>
      </c>
    </row>
    <row r="2346" spans="1:18">
      <c r="A2346" t="s">
        <v>1191</v>
      </c>
      <c r="B2346" t="s">
        <v>5935</v>
      </c>
      <c r="C2346" t="s">
        <v>5936</v>
      </c>
      <c r="E2346">
        <v>1</v>
      </c>
      <c r="F2346">
        <v>2</v>
      </c>
      <c r="G2346">
        <v>0</v>
      </c>
      <c r="H2346">
        <v>0</v>
      </c>
      <c r="J2346" t="s">
        <v>22</v>
      </c>
      <c r="K2346" t="b">
        <v>1</v>
      </c>
      <c r="L2346">
        <f t="shared" si="36"/>
        <v>1</v>
      </c>
      <c r="M2346">
        <f t="shared" si="36"/>
        <v>2</v>
      </c>
      <c r="N2346" t="b">
        <v>0</v>
      </c>
      <c r="O2346">
        <v>1</v>
      </c>
      <c r="P2346" t="s">
        <v>5937</v>
      </c>
      <c r="Q2346">
        <v>2</v>
      </c>
      <c r="R2346" t="b">
        <v>1</v>
      </c>
    </row>
    <row r="2347" spans="1:18">
      <c r="A2347" t="s">
        <v>1191</v>
      </c>
      <c r="B2347" t="s">
        <v>5938</v>
      </c>
      <c r="C2347" t="s">
        <v>5939</v>
      </c>
      <c r="E2347">
        <v>1</v>
      </c>
      <c r="F2347">
        <v>2</v>
      </c>
      <c r="G2347">
        <v>0</v>
      </c>
      <c r="H2347">
        <v>0</v>
      </c>
      <c r="J2347" t="s">
        <v>22</v>
      </c>
      <c r="K2347" t="b">
        <v>1</v>
      </c>
      <c r="L2347">
        <f t="shared" si="36"/>
        <v>1</v>
      </c>
      <c r="M2347">
        <f t="shared" si="36"/>
        <v>2</v>
      </c>
      <c r="N2347" t="b">
        <v>0</v>
      </c>
      <c r="O2347">
        <v>1</v>
      </c>
      <c r="P2347" t="s">
        <v>5940</v>
      </c>
      <c r="Q2347">
        <v>2</v>
      </c>
      <c r="R2347" t="b">
        <v>1</v>
      </c>
    </row>
    <row r="2348" spans="1:18">
      <c r="A2348" t="s">
        <v>1191</v>
      </c>
      <c r="B2348" t="s">
        <v>5941</v>
      </c>
      <c r="C2348" t="s">
        <v>5942</v>
      </c>
      <c r="E2348">
        <v>1</v>
      </c>
      <c r="F2348">
        <v>2</v>
      </c>
      <c r="G2348">
        <v>0</v>
      </c>
      <c r="H2348">
        <v>0</v>
      </c>
      <c r="J2348" t="s">
        <v>22</v>
      </c>
      <c r="K2348" t="b">
        <v>1</v>
      </c>
      <c r="L2348">
        <f t="shared" si="36"/>
        <v>1</v>
      </c>
      <c r="M2348">
        <f t="shared" si="36"/>
        <v>2</v>
      </c>
      <c r="N2348" t="b">
        <v>0</v>
      </c>
      <c r="O2348">
        <v>1</v>
      </c>
      <c r="P2348" t="s">
        <v>5943</v>
      </c>
      <c r="Q2348">
        <v>2</v>
      </c>
      <c r="R2348" t="b">
        <v>1</v>
      </c>
    </row>
    <row r="2349" spans="1:18">
      <c r="A2349" t="s">
        <v>1191</v>
      </c>
      <c r="B2349" t="s">
        <v>5944</v>
      </c>
      <c r="C2349" t="s">
        <v>5945</v>
      </c>
      <c r="E2349">
        <v>1</v>
      </c>
      <c r="F2349">
        <v>2</v>
      </c>
      <c r="G2349">
        <v>0</v>
      </c>
      <c r="H2349">
        <v>0</v>
      </c>
      <c r="J2349" t="s">
        <v>22</v>
      </c>
      <c r="K2349" t="b">
        <v>1</v>
      </c>
      <c r="L2349">
        <f t="shared" si="36"/>
        <v>1</v>
      </c>
      <c r="M2349">
        <f t="shared" si="36"/>
        <v>2</v>
      </c>
      <c r="N2349" t="b">
        <v>0</v>
      </c>
      <c r="O2349">
        <v>1</v>
      </c>
      <c r="P2349" t="s">
        <v>5946</v>
      </c>
      <c r="Q2349">
        <v>2</v>
      </c>
      <c r="R2349" t="b">
        <v>1</v>
      </c>
    </row>
    <row r="2350" spans="1:18">
      <c r="A2350" t="s">
        <v>1191</v>
      </c>
      <c r="B2350" t="s">
        <v>5947</v>
      </c>
      <c r="C2350" t="s">
        <v>5948</v>
      </c>
      <c r="E2350">
        <v>1</v>
      </c>
      <c r="F2350">
        <v>2</v>
      </c>
      <c r="G2350">
        <v>0</v>
      </c>
      <c r="H2350">
        <v>0</v>
      </c>
      <c r="J2350" t="s">
        <v>22</v>
      </c>
      <c r="K2350" t="b">
        <v>1</v>
      </c>
      <c r="L2350">
        <f t="shared" si="36"/>
        <v>1</v>
      </c>
      <c r="M2350">
        <f t="shared" si="36"/>
        <v>2</v>
      </c>
      <c r="N2350" t="b">
        <v>0</v>
      </c>
      <c r="O2350">
        <v>1</v>
      </c>
      <c r="P2350" t="s">
        <v>5949</v>
      </c>
      <c r="Q2350">
        <v>2</v>
      </c>
      <c r="R2350" t="b">
        <v>1</v>
      </c>
    </row>
    <row r="2351" spans="1:18">
      <c r="A2351" t="s">
        <v>1191</v>
      </c>
      <c r="B2351" t="s">
        <v>5950</v>
      </c>
      <c r="C2351" t="s">
        <v>5951</v>
      </c>
      <c r="E2351">
        <v>1</v>
      </c>
      <c r="F2351">
        <v>2</v>
      </c>
      <c r="G2351">
        <v>0</v>
      </c>
      <c r="H2351">
        <v>0</v>
      </c>
      <c r="J2351" t="s">
        <v>22</v>
      </c>
      <c r="K2351" t="b">
        <v>1</v>
      </c>
      <c r="L2351">
        <f t="shared" si="36"/>
        <v>1</v>
      </c>
      <c r="M2351">
        <f t="shared" si="36"/>
        <v>2</v>
      </c>
      <c r="N2351" t="b">
        <v>0</v>
      </c>
      <c r="O2351">
        <v>1</v>
      </c>
      <c r="P2351" t="s">
        <v>5952</v>
      </c>
      <c r="Q2351">
        <v>2</v>
      </c>
      <c r="R2351" t="b">
        <v>1</v>
      </c>
    </row>
    <row r="2352" spans="1:18" hidden="1">
      <c r="A2352" t="s">
        <v>102</v>
      </c>
      <c r="B2352" t="s">
        <v>5953</v>
      </c>
      <c r="C2352" t="s">
        <v>5954</v>
      </c>
      <c r="E2352">
        <v>1</v>
      </c>
      <c r="F2352">
        <v>0</v>
      </c>
      <c r="G2352">
        <v>0</v>
      </c>
      <c r="H2352">
        <v>0</v>
      </c>
      <c r="J2352" t="s">
        <v>93</v>
      </c>
      <c r="K2352" t="b">
        <v>1</v>
      </c>
      <c r="L2352">
        <f t="shared" si="36"/>
        <v>1</v>
      </c>
      <c r="M2352">
        <f t="shared" si="36"/>
        <v>0</v>
      </c>
      <c r="N2352" t="b">
        <v>0</v>
      </c>
      <c r="O2352">
        <v>0.33329999999999999</v>
      </c>
      <c r="P2352" t="s">
        <v>153</v>
      </c>
      <c r="Q2352">
        <v>2</v>
      </c>
      <c r="R2352" t="b">
        <v>1</v>
      </c>
    </row>
    <row r="2353" spans="1:18" hidden="1">
      <c r="A2353" t="s">
        <v>102</v>
      </c>
      <c r="B2353" t="s">
        <v>5955</v>
      </c>
      <c r="C2353" t="s">
        <v>5956</v>
      </c>
      <c r="E2353">
        <v>1</v>
      </c>
      <c r="F2353">
        <v>0</v>
      </c>
      <c r="G2353">
        <v>0</v>
      </c>
      <c r="H2353">
        <v>0</v>
      </c>
      <c r="J2353" t="s">
        <v>93</v>
      </c>
      <c r="K2353" t="b">
        <v>1</v>
      </c>
      <c r="L2353">
        <f t="shared" si="36"/>
        <v>1</v>
      </c>
      <c r="M2353">
        <f t="shared" si="36"/>
        <v>0</v>
      </c>
      <c r="N2353" t="b">
        <v>0</v>
      </c>
      <c r="O2353">
        <v>0.33329999999999999</v>
      </c>
      <c r="P2353" t="s">
        <v>159</v>
      </c>
      <c r="Q2353">
        <v>2</v>
      </c>
      <c r="R2353" t="b">
        <v>1</v>
      </c>
    </row>
    <row r="2354" spans="1:18" hidden="1">
      <c r="A2354" t="s">
        <v>3801</v>
      </c>
      <c r="B2354" t="s">
        <v>5957</v>
      </c>
      <c r="C2354" t="s">
        <v>5958</v>
      </c>
      <c r="E2354">
        <v>1</v>
      </c>
      <c r="F2354">
        <v>2</v>
      </c>
      <c r="G2354">
        <v>0</v>
      </c>
      <c r="H2354">
        <v>0</v>
      </c>
      <c r="J2354" t="s">
        <v>93</v>
      </c>
      <c r="K2354" t="b">
        <v>1</v>
      </c>
      <c r="L2354">
        <f t="shared" si="36"/>
        <v>1</v>
      </c>
      <c r="M2354">
        <f t="shared" si="36"/>
        <v>2</v>
      </c>
      <c r="N2354" t="b">
        <v>0</v>
      </c>
      <c r="O2354">
        <v>0</v>
      </c>
      <c r="Q2354">
        <v>0</v>
      </c>
      <c r="R2354" t="b">
        <v>0</v>
      </c>
    </row>
    <row r="2355" spans="1:18">
      <c r="A2355" t="s">
        <v>24</v>
      </c>
      <c r="B2355" t="s">
        <v>5959</v>
      </c>
      <c r="C2355" t="s">
        <v>5960</v>
      </c>
      <c r="E2355">
        <v>1</v>
      </c>
      <c r="F2355">
        <v>4</v>
      </c>
      <c r="G2355">
        <v>0</v>
      </c>
      <c r="H2355">
        <v>0</v>
      </c>
      <c r="J2355" t="s">
        <v>22</v>
      </c>
      <c r="K2355" t="b">
        <v>1</v>
      </c>
      <c r="L2355">
        <f t="shared" si="36"/>
        <v>1</v>
      </c>
      <c r="M2355">
        <f t="shared" si="36"/>
        <v>4</v>
      </c>
      <c r="N2355" t="b">
        <v>0</v>
      </c>
      <c r="O2355">
        <v>0</v>
      </c>
      <c r="Q2355">
        <v>0</v>
      </c>
      <c r="R2355" t="b">
        <v>0</v>
      </c>
    </row>
    <row r="2356" spans="1:18" hidden="1">
      <c r="A2356" t="s">
        <v>24</v>
      </c>
      <c r="B2356" t="s">
        <v>5961</v>
      </c>
      <c r="C2356" t="s">
        <v>5962</v>
      </c>
      <c r="E2356">
        <v>1</v>
      </c>
      <c r="F2356">
        <v>10</v>
      </c>
      <c r="G2356">
        <v>0</v>
      </c>
      <c r="H2356">
        <v>0</v>
      </c>
      <c r="J2356" t="s">
        <v>93</v>
      </c>
      <c r="K2356" t="b">
        <v>1</v>
      </c>
      <c r="L2356">
        <f t="shared" si="36"/>
        <v>1</v>
      </c>
      <c r="M2356">
        <f t="shared" si="36"/>
        <v>10</v>
      </c>
      <c r="N2356" t="b">
        <v>0</v>
      </c>
      <c r="O2356">
        <v>0.33329999999999999</v>
      </c>
      <c r="P2356" t="s">
        <v>3647</v>
      </c>
      <c r="Q2356">
        <v>4</v>
      </c>
      <c r="R2356" t="b">
        <v>1</v>
      </c>
    </row>
    <row r="2357" spans="1:18" hidden="1">
      <c r="A2357" t="s">
        <v>24</v>
      </c>
      <c r="B2357" t="s">
        <v>5963</v>
      </c>
      <c r="C2357" t="s">
        <v>5964</v>
      </c>
      <c r="E2357">
        <v>1</v>
      </c>
      <c r="F2357">
        <v>10</v>
      </c>
      <c r="G2357">
        <v>0</v>
      </c>
      <c r="H2357">
        <v>0</v>
      </c>
      <c r="J2357" t="s">
        <v>93</v>
      </c>
      <c r="K2357" t="b">
        <v>1</v>
      </c>
      <c r="L2357">
        <f t="shared" si="36"/>
        <v>1</v>
      </c>
      <c r="M2357">
        <f t="shared" si="36"/>
        <v>10</v>
      </c>
      <c r="N2357" t="b">
        <v>0</v>
      </c>
      <c r="O2357">
        <v>0</v>
      </c>
      <c r="Q2357">
        <v>0</v>
      </c>
      <c r="R2357" t="b">
        <v>0</v>
      </c>
    </row>
    <row r="2358" spans="1:18">
      <c r="A2358" t="s">
        <v>24</v>
      </c>
      <c r="B2358" t="s">
        <v>5965</v>
      </c>
      <c r="C2358" t="s">
        <v>5966</v>
      </c>
      <c r="E2358">
        <v>1</v>
      </c>
      <c r="F2358">
        <v>1</v>
      </c>
      <c r="G2358">
        <v>0</v>
      </c>
      <c r="H2358">
        <v>0</v>
      </c>
      <c r="J2358" t="s">
        <v>22</v>
      </c>
      <c r="K2358" t="b">
        <v>1</v>
      </c>
      <c r="L2358">
        <f t="shared" si="36"/>
        <v>1</v>
      </c>
      <c r="M2358">
        <f t="shared" si="36"/>
        <v>1</v>
      </c>
      <c r="N2358" t="b">
        <v>0</v>
      </c>
      <c r="O2358">
        <v>1</v>
      </c>
      <c r="P2358" t="s">
        <v>5967</v>
      </c>
      <c r="Q2358">
        <v>2</v>
      </c>
      <c r="R2358" t="b">
        <v>1</v>
      </c>
    </row>
    <row r="2359" spans="1:18">
      <c r="A2359" t="s">
        <v>24</v>
      </c>
      <c r="B2359" t="s">
        <v>5968</v>
      </c>
      <c r="C2359" t="s">
        <v>5969</v>
      </c>
      <c r="E2359">
        <v>1</v>
      </c>
      <c r="F2359">
        <v>1</v>
      </c>
      <c r="G2359">
        <v>0</v>
      </c>
      <c r="H2359">
        <v>0</v>
      </c>
      <c r="J2359" t="s">
        <v>22</v>
      </c>
      <c r="K2359" t="b">
        <v>1</v>
      </c>
      <c r="L2359">
        <f t="shared" si="36"/>
        <v>1</v>
      </c>
      <c r="M2359">
        <f t="shared" si="36"/>
        <v>1</v>
      </c>
      <c r="N2359" t="b">
        <v>0</v>
      </c>
      <c r="O2359">
        <v>1</v>
      </c>
      <c r="P2359" t="s">
        <v>3919</v>
      </c>
      <c r="Q2359">
        <v>2</v>
      </c>
      <c r="R2359" t="b">
        <v>1</v>
      </c>
    </row>
    <row r="2360" spans="1:18" hidden="1">
      <c r="A2360" t="s">
        <v>24</v>
      </c>
      <c r="B2360" t="s">
        <v>5970</v>
      </c>
      <c r="C2360" t="s">
        <v>5971</v>
      </c>
      <c r="E2360">
        <v>1</v>
      </c>
      <c r="F2360">
        <v>3</v>
      </c>
      <c r="G2360">
        <v>0</v>
      </c>
      <c r="H2360">
        <v>0</v>
      </c>
      <c r="J2360" t="s">
        <v>93</v>
      </c>
      <c r="K2360" t="b">
        <v>1</v>
      </c>
      <c r="L2360">
        <f t="shared" si="36"/>
        <v>1</v>
      </c>
      <c r="M2360">
        <f t="shared" si="36"/>
        <v>3</v>
      </c>
      <c r="N2360" t="b">
        <v>0</v>
      </c>
      <c r="O2360">
        <v>0</v>
      </c>
      <c r="Q2360">
        <v>0</v>
      </c>
      <c r="R2360" t="b">
        <v>0</v>
      </c>
    </row>
    <row r="2361" spans="1:18" hidden="1">
      <c r="A2361" t="s">
        <v>24</v>
      </c>
      <c r="B2361" t="s">
        <v>5972</v>
      </c>
      <c r="C2361" t="s">
        <v>5973</v>
      </c>
      <c r="E2361">
        <v>1</v>
      </c>
      <c r="F2361">
        <v>1</v>
      </c>
      <c r="G2361">
        <v>0</v>
      </c>
      <c r="H2361">
        <v>0</v>
      </c>
      <c r="J2361" t="s">
        <v>93</v>
      </c>
      <c r="K2361" t="b">
        <v>1</v>
      </c>
      <c r="L2361">
        <f t="shared" si="36"/>
        <v>1</v>
      </c>
      <c r="M2361">
        <f t="shared" si="36"/>
        <v>1</v>
      </c>
      <c r="N2361" t="b">
        <v>0</v>
      </c>
      <c r="O2361">
        <v>0</v>
      </c>
      <c r="Q2361">
        <v>0</v>
      </c>
      <c r="R2361" t="b">
        <v>0</v>
      </c>
    </row>
    <row r="2362" spans="1:18" hidden="1">
      <c r="A2362" t="s">
        <v>24</v>
      </c>
      <c r="B2362" t="s">
        <v>5974</v>
      </c>
      <c r="C2362" t="s">
        <v>5975</v>
      </c>
      <c r="E2362">
        <v>1</v>
      </c>
      <c r="F2362">
        <v>1</v>
      </c>
      <c r="G2362">
        <v>0</v>
      </c>
      <c r="H2362">
        <v>0</v>
      </c>
      <c r="J2362" t="s">
        <v>93</v>
      </c>
      <c r="K2362" t="b">
        <v>1</v>
      </c>
      <c r="L2362">
        <f t="shared" si="36"/>
        <v>1</v>
      </c>
      <c r="M2362">
        <f t="shared" si="36"/>
        <v>1</v>
      </c>
      <c r="N2362" t="b">
        <v>0</v>
      </c>
      <c r="O2362">
        <v>0</v>
      </c>
      <c r="Q2362">
        <v>0</v>
      </c>
      <c r="R2362" t="b">
        <v>0</v>
      </c>
    </row>
    <row r="2363" spans="1:18" hidden="1">
      <c r="A2363" t="s">
        <v>24</v>
      </c>
      <c r="B2363" t="s">
        <v>5976</v>
      </c>
      <c r="C2363" t="s">
        <v>5977</v>
      </c>
      <c r="E2363">
        <v>1</v>
      </c>
      <c r="F2363">
        <v>1</v>
      </c>
      <c r="G2363">
        <v>0</v>
      </c>
      <c r="H2363">
        <v>0</v>
      </c>
      <c r="J2363" t="s">
        <v>93</v>
      </c>
      <c r="K2363" t="b">
        <v>1</v>
      </c>
      <c r="L2363">
        <f t="shared" si="36"/>
        <v>1</v>
      </c>
      <c r="M2363">
        <f t="shared" si="36"/>
        <v>1</v>
      </c>
      <c r="N2363" t="b">
        <v>0</v>
      </c>
      <c r="O2363">
        <v>0</v>
      </c>
      <c r="Q2363">
        <v>0</v>
      </c>
      <c r="R2363" t="b">
        <v>0</v>
      </c>
    </row>
    <row r="2364" spans="1:18">
      <c r="A2364" t="s">
        <v>24</v>
      </c>
      <c r="B2364" t="s">
        <v>5978</v>
      </c>
      <c r="C2364" t="s">
        <v>5979</v>
      </c>
      <c r="E2364">
        <v>1</v>
      </c>
      <c r="F2364">
        <v>0</v>
      </c>
      <c r="G2364">
        <v>0</v>
      </c>
      <c r="H2364">
        <v>0</v>
      </c>
      <c r="J2364" t="s">
        <v>4749</v>
      </c>
      <c r="K2364" t="b">
        <v>1</v>
      </c>
      <c r="L2364">
        <f t="shared" si="36"/>
        <v>1</v>
      </c>
      <c r="M2364">
        <f t="shared" si="36"/>
        <v>0</v>
      </c>
      <c r="N2364" t="b">
        <v>0</v>
      </c>
      <c r="O2364">
        <v>0.5</v>
      </c>
      <c r="P2364" t="s">
        <v>5980</v>
      </c>
      <c r="Q2364">
        <v>2</v>
      </c>
      <c r="R2364" t="b">
        <v>1</v>
      </c>
    </row>
    <row r="2365" spans="1:18" hidden="1">
      <c r="A2365" t="s">
        <v>24</v>
      </c>
      <c r="B2365" t="s">
        <v>5981</v>
      </c>
      <c r="C2365" t="s">
        <v>5982</v>
      </c>
      <c r="E2365">
        <v>1</v>
      </c>
      <c r="F2365">
        <v>1</v>
      </c>
      <c r="G2365">
        <v>0</v>
      </c>
      <c r="H2365">
        <v>0</v>
      </c>
      <c r="J2365" t="s">
        <v>93</v>
      </c>
      <c r="K2365" t="b">
        <v>1</v>
      </c>
      <c r="L2365">
        <f t="shared" si="36"/>
        <v>1</v>
      </c>
      <c r="M2365">
        <f t="shared" si="36"/>
        <v>1</v>
      </c>
      <c r="N2365" t="b">
        <v>0</v>
      </c>
      <c r="O2365">
        <v>0</v>
      </c>
      <c r="Q2365">
        <v>0</v>
      </c>
      <c r="R2365" t="b">
        <v>0</v>
      </c>
    </row>
    <row r="2366" spans="1:18" hidden="1">
      <c r="A2366" t="s">
        <v>24</v>
      </c>
      <c r="B2366" t="s">
        <v>5983</v>
      </c>
      <c r="C2366" t="s">
        <v>5984</v>
      </c>
      <c r="E2366">
        <v>1</v>
      </c>
      <c r="F2366">
        <v>0</v>
      </c>
      <c r="G2366">
        <v>0</v>
      </c>
      <c r="H2366">
        <v>0</v>
      </c>
      <c r="J2366" t="s">
        <v>93</v>
      </c>
      <c r="K2366" t="b">
        <v>1</v>
      </c>
      <c r="L2366">
        <f t="shared" si="36"/>
        <v>1</v>
      </c>
      <c r="M2366">
        <f t="shared" si="36"/>
        <v>0</v>
      </c>
      <c r="N2366" t="b">
        <v>0</v>
      </c>
      <c r="O2366">
        <v>0</v>
      </c>
      <c r="Q2366">
        <v>0</v>
      </c>
      <c r="R2366" t="b">
        <v>0</v>
      </c>
    </row>
    <row r="2367" spans="1:18" hidden="1">
      <c r="A2367" t="s">
        <v>24</v>
      </c>
      <c r="B2367" t="s">
        <v>5985</v>
      </c>
      <c r="C2367" t="s">
        <v>5986</v>
      </c>
      <c r="E2367">
        <v>1</v>
      </c>
      <c r="F2367">
        <v>0</v>
      </c>
      <c r="G2367">
        <v>0</v>
      </c>
      <c r="H2367">
        <v>0</v>
      </c>
      <c r="J2367" t="s">
        <v>93</v>
      </c>
      <c r="K2367" t="b">
        <v>1</v>
      </c>
      <c r="L2367">
        <f t="shared" si="36"/>
        <v>1</v>
      </c>
      <c r="M2367">
        <f t="shared" si="36"/>
        <v>0</v>
      </c>
      <c r="N2367" t="b">
        <v>0</v>
      </c>
      <c r="O2367">
        <v>0</v>
      </c>
      <c r="Q2367">
        <v>0</v>
      </c>
      <c r="R2367" t="b">
        <v>0</v>
      </c>
    </row>
    <row r="2368" spans="1:18" hidden="1">
      <c r="A2368" t="s">
        <v>24</v>
      </c>
      <c r="B2368" t="s">
        <v>5987</v>
      </c>
      <c r="C2368" t="s">
        <v>5988</v>
      </c>
      <c r="E2368">
        <v>1</v>
      </c>
      <c r="F2368">
        <v>0</v>
      </c>
      <c r="G2368">
        <v>0</v>
      </c>
      <c r="H2368">
        <v>0</v>
      </c>
      <c r="J2368" t="s">
        <v>93</v>
      </c>
      <c r="K2368" t="b">
        <v>1</v>
      </c>
      <c r="L2368">
        <f t="shared" si="36"/>
        <v>1</v>
      </c>
      <c r="M2368">
        <f t="shared" si="36"/>
        <v>0</v>
      </c>
      <c r="N2368" t="b">
        <v>0</v>
      </c>
      <c r="O2368">
        <v>0</v>
      </c>
      <c r="Q2368">
        <v>0</v>
      </c>
      <c r="R2368" t="b">
        <v>0</v>
      </c>
    </row>
    <row r="2369" spans="1:18" hidden="1">
      <c r="A2369" t="s">
        <v>24</v>
      </c>
      <c r="B2369" t="s">
        <v>5989</v>
      </c>
      <c r="C2369" t="s">
        <v>5990</v>
      </c>
      <c r="E2369">
        <v>1</v>
      </c>
      <c r="F2369">
        <v>1</v>
      </c>
      <c r="G2369">
        <v>0</v>
      </c>
      <c r="H2369">
        <v>0</v>
      </c>
      <c r="J2369" t="s">
        <v>93</v>
      </c>
      <c r="K2369" t="b">
        <v>1</v>
      </c>
      <c r="L2369">
        <f t="shared" si="36"/>
        <v>1</v>
      </c>
      <c r="M2369">
        <f t="shared" si="36"/>
        <v>1</v>
      </c>
      <c r="N2369" t="b">
        <v>0</v>
      </c>
      <c r="O2369">
        <v>0.5</v>
      </c>
      <c r="P2369" t="s">
        <v>5991</v>
      </c>
      <c r="Q2369">
        <v>4</v>
      </c>
      <c r="R2369" t="b">
        <v>1</v>
      </c>
    </row>
    <row r="2370" spans="1:18" hidden="1">
      <c r="A2370" t="s">
        <v>24</v>
      </c>
      <c r="B2370" t="s">
        <v>5992</v>
      </c>
      <c r="C2370" t="s">
        <v>5993</v>
      </c>
      <c r="E2370">
        <v>1</v>
      </c>
      <c r="F2370">
        <v>41</v>
      </c>
      <c r="G2370">
        <v>0</v>
      </c>
      <c r="H2370">
        <v>0</v>
      </c>
      <c r="J2370" t="s">
        <v>93</v>
      </c>
      <c r="K2370" t="b">
        <v>1</v>
      </c>
      <c r="L2370">
        <f t="shared" si="36"/>
        <v>1</v>
      </c>
      <c r="M2370">
        <f t="shared" si="36"/>
        <v>41</v>
      </c>
      <c r="N2370" t="b">
        <v>0</v>
      </c>
      <c r="O2370">
        <v>0</v>
      </c>
      <c r="Q2370">
        <v>0</v>
      </c>
      <c r="R2370" t="b">
        <v>0</v>
      </c>
    </row>
    <row r="2371" spans="1:18" hidden="1">
      <c r="A2371" t="s">
        <v>24</v>
      </c>
      <c r="B2371" t="s">
        <v>5994</v>
      </c>
      <c r="C2371" t="s">
        <v>5995</v>
      </c>
      <c r="E2371">
        <v>1</v>
      </c>
      <c r="F2371">
        <v>3</v>
      </c>
      <c r="G2371">
        <v>0</v>
      </c>
      <c r="H2371">
        <v>0</v>
      </c>
      <c r="J2371" t="s">
        <v>93</v>
      </c>
      <c r="K2371" t="b">
        <v>1</v>
      </c>
      <c r="L2371">
        <f t="shared" ref="L2371:M2434" si="37">E2371+G2371</f>
        <v>1</v>
      </c>
      <c r="M2371">
        <f t="shared" si="37"/>
        <v>3</v>
      </c>
      <c r="N2371" t="b">
        <v>0</v>
      </c>
      <c r="O2371">
        <v>0</v>
      </c>
      <c r="Q2371">
        <v>0</v>
      </c>
      <c r="R2371" t="b">
        <v>0</v>
      </c>
    </row>
    <row r="2372" spans="1:18" hidden="1">
      <c r="A2372" t="s">
        <v>24</v>
      </c>
      <c r="B2372" t="s">
        <v>5996</v>
      </c>
      <c r="C2372" t="s">
        <v>5997</v>
      </c>
      <c r="E2372">
        <v>1</v>
      </c>
      <c r="F2372">
        <v>1</v>
      </c>
      <c r="G2372">
        <v>0</v>
      </c>
      <c r="H2372">
        <v>0</v>
      </c>
      <c r="J2372" t="s">
        <v>93</v>
      </c>
      <c r="K2372" t="b">
        <v>1</v>
      </c>
      <c r="L2372">
        <f t="shared" si="37"/>
        <v>1</v>
      </c>
      <c r="M2372">
        <f t="shared" si="37"/>
        <v>1</v>
      </c>
      <c r="N2372" t="b">
        <v>0</v>
      </c>
      <c r="O2372">
        <v>0</v>
      </c>
      <c r="Q2372">
        <v>0</v>
      </c>
      <c r="R2372" t="b">
        <v>0</v>
      </c>
    </row>
    <row r="2373" spans="1:18" hidden="1">
      <c r="A2373" t="s">
        <v>24</v>
      </c>
      <c r="B2373" t="s">
        <v>5998</v>
      </c>
      <c r="C2373" t="s">
        <v>5999</v>
      </c>
      <c r="E2373">
        <v>1</v>
      </c>
      <c r="F2373">
        <v>2</v>
      </c>
      <c r="G2373">
        <v>0</v>
      </c>
      <c r="H2373">
        <v>0</v>
      </c>
      <c r="J2373" t="s">
        <v>93</v>
      </c>
      <c r="K2373" t="b">
        <v>1</v>
      </c>
      <c r="L2373">
        <f t="shared" si="37"/>
        <v>1</v>
      </c>
      <c r="M2373">
        <f t="shared" si="37"/>
        <v>2</v>
      </c>
      <c r="N2373" t="b">
        <v>0</v>
      </c>
      <c r="O2373">
        <v>0</v>
      </c>
      <c r="Q2373">
        <v>0</v>
      </c>
      <c r="R2373" t="b">
        <v>0</v>
      </c>
    </row>
    <row r="2374" spans="1:18" hidden="1">
      <c r="A2374" t="s">
        <v>24</v>
      </c>
      <c r="B2374" t="s">
        <v>6000</v>
      </c>
      <c r="C2374" t="s">
        <v>6001</v>
      </c>
      <c r="E2374">
        <v>1</v>
      </c>
      <c r="F2374">
        <v>2</v>
      </c>
      <c r="G2374">
        <v>0</v>
      </c>
      <c r="H2374">
        <v>0</v>
      </c>
      <c r="J2374" t="s">
        <v>93</v>
      </c>
      <c r="K2374" t="b">
        <v>1</v>
      </c>
      <c r="L2374">
        <f t="shared" si="37"/>
        <v>1</v>
      </c>
      <c r="M2374">
        <f t="shared" si="37"/>
        <v>2</v>
      </c>
      <c r="N2374" t="b">
        <v>0</v>
      </c>
      <c r="O2374">
        <v>0</v>
      </c>
      <c r="Q2374">
        <v>0</v>
      </c>
      <c r="R2374" t="b">
        <v>0</v>
      </c>
    </row>
    <row r="2375" spans="1:18" hidden="1">
      <c r="A2375" t="s">
        <v>24</v>
      </c>
      <c r="B2375" t="s">
        <v>6002</v>
      </c>
      <c r="C2375" t="s">
        <v>6003</v>
      </c>
      <c r="E2375">
        <v>1</v>
      </c>
      <c r="F2375">
        <v>1</v>
      </c>
      <c r="G2375">
        <v>0</v>
      </c>
      <c r="H2375">
        <v>0</v>
      </c>
      <c r="J2375" t="s">
        <v>93</v>
      </c>
      <c r="K2375" t="b">
        <v>1</v>
      </c>
      <c r="L2375">
        <f t="shared" si="37"/>
        <v>1</v>
      </c>
      <c r="M2375">
        <f t="shared" si="37"/>
        <v>1</v>
      </c>
      <c r="N2375" t="b">
        <v>0</v>
      </c>
      <c r="O2375">
        <v>0</v>
      </c>
      <c r="Q2375">
        <v>0</v>
      </c>
      <c r="R2375" t="b">
        <v>0</v>
      </c>
    </row>
    <row r="2376" spans="1:18" hidden="1">
      <c r="A2376" t="s">
        <v>24</v>
      </c>
      <c r="B2376" t="s">
        <v>6004</v>
      </c>
      <c r="C2376" t="s">
        <v>6005</v>
      </c>
      <c r="E2376">
        <v>1</v>
      </c>
      <c r="F2376">
        <v>2</v>
      </c>
      <c r="G2376">
        <v>0</v>
      </c>
      <c r="H2376">
        <v>0</v>
      </c>
      <c r="J2376" t="s">
        <v>999</v>
      </c>
      <c r="K2376" t="b">
        <v>1</v>
      </c>
      <c r="L2376">
        <f t="shared" si="37"/>
        <v>1</v>
      </c>
      <c r="M2376">
        <f t="shared" si="37"/>
        <v>2</v>
      </c>
      <c r="N2376" t="b">
        <v>0</v>
      </c>
      <c r="O2376">
        <v>0</v>
      </c>
      <c r="Q2376">
        <v>0</v>
      </c>
      <c r="R2376" t="b">
        <v>0</v>
      </c>
    </row>
    <row r="2377" spans="1:18" hidden="1">
      <c r="A2377" t="s">
        <v>24</v>
      </c>
      <c r="B2377" t="s">
        <v>6006</v>
      </c>
      <c r="C2377" t="s">
        <v>6007</v>
      </c>
      <c r="E2377">
        <v>1</v>
      </c>
      <c r="F2377">
        <v>0</v>
      </c>
      <c r="G2377">
        <v>0</v>
      </c>
      <c r="H2377">
        <v>0</v>
      </c>
      <c r="J2377" t="s">
        <v>999</v>
      </c>
      <c r="K2377" t="b">
        <v>1</v>
      </c>
      <c r="L2377">
        <f t="shared" si="37"/>
        <v>1</v>
      </c>
      <c r="M2377">
        <f t="shared" si="37"/>
        <v>0</v>
      </c>
      <c r="N2377" t="b">
        <v>0</v>
      </c>
      <c r="O2377">
        <v>0.33329999999999999</v>
      </c>
      <c r="P2377" t="s">
        <v>3098</v>
      </c>
      <c r="Q2377">
        <v>2</v>
      </c>
      <c r="R2377" t="b">
        <v>1</v>
      </c>
    </row>
    <row r="2378" spans="1:18" hidden="1">
      <c r="A2378" t="s">
        <v>24</v>
      </c>
      <c r="B2378" t="s">
        <v>6008</v>
      </c>
      <c r="C2378" t="s">
        <v>6009</v>
      </c>
      <c r="E2378">
        <v>1</v>
      </c>
      <c r="F2378">
        <v>0</v>
      </c>
      <c r="G2378">
        <v>0</v>
      </c>
      <c r="H2378">
        <v>0</v>
      </c>
      <c r="J2378" t="s">
        <v>999</v>
      </c>
      <c r="K2378" t="b">
        <v>1</v>
      </c>
      <c r="L2378">
        <f t="shared" si="37"/>
        <v>1</v>
      </c>
      <c r="M2378">
        <f t="shared" si="37"/>
        <v>0</v>
      </c>
      <c r="N2378" t="b">
        <v>0</v>
      </c>
      <c r="O2378">
        <v>0</v>
      </c>
      <c r="Q2378">
        <v>0</v>
      </c>
      <c r="R2378" t="b">
        <v>0</v>
      </c>
    </row>
    <row r="2379" spans="1:18" hidden="1">
      <c r="A2379" t="s">
        <v>205</v>
      </c>
      <c r="B2379" t="s">
        <v>6010</v>
      </c>
      <c r="C2379" t="s">
        <v>6011</v>
      </c>
      <c r="E2379">
        <v>1</v>
      </c>
      <c r="F2379">
        <v>0</v>
      </c>
      <c r="G2379">
        <v>0</v>
      </c>
      <c r="H2379">
        <v>0</v>
      </c>
      <c r="J2379" t="s">
        <v>999</v>
      </c>
      <c r="K2379" t="b">
        <v>1</v>
      </c>
      <c r="L2379">
        <f t="shared" si="37"/>
        <v>1</v>
      </c>
      <c r="M2379">
        <f t="shared" si="37"/>
        <v>0</v>
      </c>
      <c r="N2379" t="b">
        <v>0</v>
      </c>
      <c r="O2379">
        <v>0</v>
      </c>
      <c r="Q2379">
        <v>0</v>
      </c>
      <c r="R2379" t="b">
        <v>0</v>
      </c>
    </row>
    <row r="2380" spans="1:18">
      <c r="A2380" t="s">
        <v>205</v>
      </c>
      <c r="B2380" t="s">
        <v>6012</v>
      </c>
      <c r="C2380" t="s">
        <v>6013</v>
      </c>
      <c r="E2380">
        <v>1</v>
      </c>
      <c r="F2380">
        <v>0</v>
      </c>
      <c r="G2380">
        <v>0</v>
      </c>
      <c r="H2380">
        <v>0</v>
      </c>
      <c r="J2380" t="s">
        <v>22</v>
      </c>
      <c r="K2380" t="b">
        <v>1</v>
      </c>
      <c r="L2380">
        <f t="shared" si="37"/>
        <v>1</v>
      </c>
      <c r="M2380">
        <f t="shared" si="37"/>
        <v>0</v>
      </c>
      <c r="N2380" t="b">
        <v>0</v>
      </c>
      <c r="O2380">
        <v>1</v>
      </c>
      <c r="P2380" t="s">
        <v>4119</v>
      </c>
      <c r="Q2380">
        <v>2</v>
      </c>
      <c r="R2380" t="b">
        <v>1</v>
      </c>
    </row>
    <row r="2381" spans="1:18">
      <c r="A2381" t="s">
        <v>205</v>
      </c>
      <c r="B2381" t="s">
        <v>6014</v>
      </c>
      <c r="C2381" t="s">
        <v>6015</v>
      </c>
      <c r="E2381">
        <v>1</v>
      </c>
      <c r="F2381">
        <v>0</v>
      </c>
      <c r="G2381">
        <v>0</v>
      </c>
      <c r="H2381">
        <v>0</v>
      </c>
      <c r="J2381" t="s">
        <v>22</v>
      </c>
      <c r="K2381" t="b">
        <v>1</v>
      </c>
      <c r="L2381">
        <f t="shared" si="37"/>
        <v>1</v>
      </c>
      <c r="M2381">
        <f t="shared" si="37"/>
        <v>0</v>
      </c>
      <c r="N2381" t="b">
        <v>0</v>
      </c>
      <c r="O2381">
        <v>1</v>
      </c>
      <c r="P2381" t="s">
        <v>4246</v>
      </c>
      <c r="Q2381">
        <v>2</v>
      </c>
      <c r="R2381" t="b">
        <v>1</v>
      </c>
    </row>
    <row r="2382" spans="1:18">
      <c r="A2382" t="s">
        <v>205</v>
      </c>
      <c r="B2382" t="s">
        <v>6016</v>
      </c>
      <c r="C2382" t="s">
        <v>6017</v>
      </c>
      <c r="E2382">
        <v>1</v>
      </c>
      <c r="F2382">
        <v>0</v>
      </c>
      <c r="G2382">
        <v>0</v>
      </c>
      <c r="H2382">
        <v>0</v>
      </c>
      <c r="J2382" t="s">
        <v>22</v>
      </c>
      <c r="K2382" t="b">
        <v>1</v>
      </c>
      <c r="L2382">
        <f t="shared" si="37"/>
        <v>1</v>
      </c>
      <c r="M2382">
        <f t="shared" si="37"/>
        <v>0</v>
      </c>
      <c r="N2382" t="b">
        <v>0</v>
      </c>
      <c r="O2382">
        <v>1</v>
      </c>
      <c r="P2382" t="s">
        <v>4249</v>
      </c>
      <c r="Q2382">
        <v>2</v>
      </c>
      <c r="R2382" t="b">
        <v>1</v>
      </c>
    </row>
    <row r="2383" spans="1:18" hidden="1">
      <c r="A2383" t="s">
        <v>205</v>
      </c>
      <c r="B2383" t="s">
        <v>6018</v>
      </c>
      <c r="C2383" t="s">
        <v>6019</v>
      </c>
      <c r="E2383">
        <v>1</v>
      </c>
      <c r="F2383">
        <v>8</v>
      </c>
      <c r="G2383">
        <v>0</v>
      </c>
      <c r="H2383">
        <v>0</v>
      </c>
      <c r="J2383" t="s">
        <v>999</v>
      </c>
      <c r="K2383" t="b">
        <v>1</v>
      </c>
      <c r="L2383">
        <f t="shared" si="37"/>
        <v>1</v>
      </c>
      <c r="M2383">
        <f t="shared" si="37"/>
        <v>8</v>
      </c>
      <c r="N2383" t="b">
        <v>0</v>
      </c>
      <c r="O2383">
        <v>0.5</v>
      </c>
      <c r="P2383" t="s">
        <v>210</v>
      </c>
      <c r="Q2383">
        <v>18</v>
      </c>
      <c r="R2383" t="b">
        <v>1</v>
      </c>
    </row>
    <row r="2384" spans="1:18" hidden="1">
      <c r="A2384" t="s">
        <v>205</v>
      </c>
      <c r="B2384" t="s">
        <v>6020</v>
      </c>
      <c r="C2384" t="s">
        <v>6021</v>
      </c>
      <c r="E2384">
        <v>1</v>
      </c>
      <c r="F2384">
        <v>1</v>
      </c>
      <c r="G2384">
        <v>0</v>
      </c>
      <c r="H2384">
        <v>0</v>
      </c>
      <c r="J2384" t="s">
        <v>93</v>
      </c>
      <c r="K2384" t="b">
        <v>1</v>
      </c>
      <c r="L2384">
        <f t="shared" si="37"/>
        <v>1</v>
      </c>
      <c r="M2384">
        <f t="shared" si="37"/>
        <v>1</v>
      </c>
      <c r="N2384" t="b">
        <v>0</v>
      </c>
      <c r="O2384">
        <v>0</v>
      </c>
      <c r="Q2384">
        <v>0</v>
      </c>
      <c r="R2384" t="b">
        <v>0</v>
      </c>
    </row>
    <row r="2385" spans="1:18" hidden="1">
      <c r="A2385" t="s">
        <v>205</v>
      </c>
      <c r="B2385" t="s">
        <v>6022</v>
      </c>
      <c r="C2385" t="s">
        <v>6023</v>
      </c>
      <c r="E2385">
        <v>1</v>
      </c>
      <c r="F2385">
        <v>1</v>
      </c>
      <c r="G2385">
        <v>0</v>
      </c>
      <c r="H2385">
        <v>0</v>
      </c>
      <c r="J2385" t="s">
        <v>999</v>
      </c>
      <c r="K2385" t="b">
        <v>1</v>
      </c>
      <c r="L2385">
        <f t="shared" si="37"/>
        <v>1</v>
      </c>
      <c r="M2385">
        <f t="shared" si="37"/>
        <v>1</v>
      </c>
      <c r="N2385" t="b">
        <v>0</v>
      </c>
      <c r="O2385">
        <v>0</v>
      </c>
      <c r="Q2385">
        <v>0</v>
      </c>
      <c r="R2385" t="b">
        <v>0</v>
      </c>
    </row>
    <row r="2386" spans="1:18" hidden="1">
      <c r="A2386" t="s">
        <v>205</v>
      </c>
      <c r="B2386" t="s">
        <v>6024</v>
      </c>
      <c r="C2386" t="s">
        <v>6025</v>
      </c>
      <c r="E2386">
        <v>1</v>
      </c>
      <c r="F2386">
        <v>1</v>
      </c>
      <c r="G2386">
        <v>0</v>
      </c>
      <c r="H2386">
        <v>0</v>
      </c>
      <c r="J2386" t="s">
        <v>999</v>
      </c>
      <c r="K2386" t="b">
        <v>1</v>
      </c>
      <c r="L2386">
        <f t="shared" si="37"/>
        <v>1</v>
      </c>
      <c r="M2386">
        <f t="shared" si="37"/>
        <v>1</v>
      </c>
      <c r="N2386" t="b">
        <v>0</v>
      </c>
      <c r="O2386">
        <v>0.5</v>
      </c>
      <c r="P2386" t="s">
        <v>5991</v>
      </c>
      <c r="Q2386">
        <v>4</v>
      </c>
      <c r="R2386" t="b">
        <v>1</v>
      </c>
    </row>
    <row r="2387" spans="1:18" hidden="1">
      <c r="A2387" t="s">
        <v>205</v>
      </c>
      <c r="B2387" t="s">
        <v>6026</v>
      </c>
      <c r="C2387" t="s">
        <v>6027</v>
      </c>
      <c r="E2387">
        <v>1</v>
      </c>
      <c r="F2387">
        <v>1</v>
      </c>
      <c r="G2387">
        <v>0</v>
      </c>
      <c r="H2387">
        <v>0</v>
      </c>
      <c r="J2387" t="s">
        <v>93</v>
      </c>
      <c r="K2387" t="b">
        <v>1</v>
      </c>
      <c r="L2387">
        <f t="shared" si="37"/>
        <v>1</v>
      </c>
      <c r="M2387">
        <f t="shared" si="37"/>
        <v>1</v>
      </c>
      <c r="N2387" t="b">
        <v>0</v>
      </c>
      <c r="O2387">
        <v>0</v>
      </c>
      <c r="Q2387">
        <v>0</v>
      </c>
      <c r="R2387" t="b">
        <v>0</v>
      </c>
    </row>
    <row r="2388" spans="1:18" hidden="1">
      <c r="A2388" t="s">
        <v>205</v>
      </c>
      <c r="B2388" t="s">
        <v>6028</v>
      </c>
      <c r="C2388" t="s">
        <v>6029</v>
      </c>
      <c r="E2388">
        <v>1</v>
      </c>
      <c r="F2388">
        <v>1</v>
      </c>
      <c r="G2388">
        <v>0</v>
      </c>
      <c r="H2388">
        <v>0</v>
      </c>
      <c r="J2388" t="s">
        <v>93</v>
      </c>
      <c r="K2388" t="b">
        <v>1</v>
      </c>
      <c r="L2388">
        <f t="shared" si="37"/>
        <v>1</v>
      </c>
      <c r="M2388">
        <f t="shared" si="37"/>
        <v>1</v>
      </c>
      <c r="N2388" t="b">
        <v>0</v>
      </c>
      <c r="O2388">
        <v>0</v>
      </c>
      <c r="Q2388">
        <v>0</v>
      </c>
      <c r="R2388" t="b">
        <v>0</v>
      </c>
    </row>
    <row r="2389" spans="1:18" hidden="1">
      <c r="A2389" t="s">
        <v>205</v>
      </c>
      <c r="B2389" t="s">
        <v>6030</v>
      </c>
      <c r="C2389" t="s">
        <v>6031</v>
      </c>
      <c r="E2389">
        <v>1</v>
      </c>
      <c r="F2389">
        <v>0</v>
      </c>
      <c r="G2389">
        <v>0</v>
      </c>
      <c r="H2389">
        <v>0</v>
      </c>
      <c r="J2389" t="s">
        <v>93</v>
      </c>
      <c r="K2389" t="b">
        <v>1</v>
      </c>
      <c r="L2389">
        <f t="shared" si="37"/>
        <v>1</v>
      </c>
      <c r="M2389">
        <f t="shared" si="37"/>
        <v>0</v>
      </c>
      <c r="N2389" t="b">
        <v>0</v>
      </c>
      <c r="O2389">
        <v>0</v>
      </c>
      <c r="Q2389">
        <v>0</v>
      </c>
      <c r="R2389" t="b">
        <v>0</v>
      </c>
    </row>
    <row r="2390" spans="1:18" hidden="1">
      <c r="A2390" t="s">
        <v>205</v>
      </c>
      <c r="B2390" t="s">
        <v>6032</v>
      </c>
      <c r="C2390" t="s">
        <v>6033</v>
      </c>
      <c r="E2390">
        <v>1</v>
      </c>
      <c r="F2390">
        <v>2</v>
      </c>
      <c r="G2390">
        <v>0</v>
      </c>
      <c r="H2390">
        <v>0</v>
      </c>
      <c r="J2390" t="s">
        <v>999</v>
      </c>
      <c r="K2390" t="b">
        <v>1</v>
      </c>
      <c r="L2390">
        <f t="shared" si="37"/>
        <v>1</v>
      </c>
      <c r="M2390">
        <f t="shared" si="37"/>
        <v>2</v>
      </c>
      <c r="N2390" t="b">
        <v>0</v>
      </c>
      <c r="O2390">
        <v>0.33329999999999999</v>
      </c>
      <c r="P2390" t="s">
        <v>2754</v>
      </c>
      <c r="Q2390">
        <v>2</v>
      </c>
      <c r="R2390" t="b">
        <v>1</v>
      </c>
    </row>
    <row r="2391" spans="1:18">
      <c r="A2391" t="s">
        <v>205</v>
      </c>
      <c r="B2391" t="s">
        <v>6034</v>
      </c>
      <c r="C2391" t="s">
        <v>6035</v>
      </c>
      <c r="E2391">
        <v>1</v>
      </c>
      <c r="F2391">
        <v>0</v>
      </c>
      <c r="G2391">
        <v>0</v>
      </c>
      <c r="H2391">
        <v>0</v>
      </c>
      <c r="J2391" t="s">
        <v>22</v>
      </c>
      <c r="K2391" t="b">
        <v>1</v>
      </c>
      <c r="L2391">
        <f t="shared" si="37"/>
        <v>1</v>
      </c>
      <c r="M2391">
        <f t="shared" si="37"/>
        <v>0</v>
      </c>
      <c r="N2391" t="b">
        <v>0</v>
      </c>
      <c r="O2391">
        <v>1</v>
      </c>
      <c r="P2391" t="s">
        <v>1883</v>
      </c>
      <c r="Q2391">
        <v>2</v>
      </c>
      <c r="R2391" t="b">
        <v>1</v>
      </c>
    </row>
    <row r="2392" spans="1:18" hidden="1">
      <c r="A2392" t="s">
        <v>3105</v>
      </c>
      <c r="B2392" t="s">
        <v>6036</v>
      </c>
      <c r="C2392" t="s">
        <v>6037</v>
      </c>
      <c r="E2392">
        <v>1</v>
      </c>
      <c r="F2392">
        <v>1</v>
      </c>
      <c r="G2392">
        <v>0</v>
      </c>
      <c r="H2392">
        <v>0</v>
      </c>
      <c r="J2392" t="s">
        <v>93</v>
      </c>
      <c r="K2392" t="b">
        <v>1</v>
      </c>
      <c r="L2392">
        <f t="shared" si="37"/>
        <v>1</v>
      </c>
      <c r="M2392">
        <f t="shared" si="37"/>
        <v>1</v>
      </c>
      <c r="N2392" t="b">
        <v>0</v>
      </c>
      <c r="O2392">
        <v>0</v>
      </c>
      <c r="Q2392">
        <v>0</v>
      </c>
      <c r="R2392" t="b">
        <v>0</v>
      </c>
    </row>
    <row r="2393" spans="1:18" hidden="1">
      <c r="A2393" t="s">
        <v>3105</v>
      </c>
      <c r="B2393" t="s">
        <v>6038</v>
      </c>
      <c r="C2393" t="s">
        <v>6039</v>
      </c>
      <c r="E2393">
        <v>1</v>
      </c>
      <c r="F2393">
        <v>4</v>
      </c>
      <c r="G2393">
        <v>0</v>
      </c>
      <c r="H2393">
        <v>0</v>
      </c>
      <c r="J2393" t="s">
        <v>93</v>
      </c>
      <c r="K2393" t="b">
        <v>1</v>
      </c>
      <c r="L2393">
        <f t="shared" si="37"/>
        <v>1</v>
      </c>
      <c r="M2393">
        <f t="shared" si="37"/>
        <v>4</v>
      </c>
      <c r="N2393" t="b">
        <v>0</v>
      </c>
      <c r="O2393">
        <v>0</v>
      </c>
      <c r="Q2393">
        <v>0</v>
      </c>
      <c r="R2393" t="b">
        <v>0</v>
      </c>
    </row>
    <row r="2394" spans="1:18" hidden="1">
      <c r="A2394" t="s">
        <v>2472</v>
      </c>
      <c r="B2394" t="s">
        <v>6040</v>
      </c>
      <c r="C2394" t="s">
        <v>6041</v>
      </c>
      <c r="E2394">
        <v>1</v>
      </c>
      <c r="F2394">
        <v>2</v>
      </c>
      <c r="G2394">
        <v>0</v>
      </c>
      <c r="H2394">
        <v>0</v>
      </c>
      <c r="J2394" t="s">
        <v>93</v>
      </c>
      <c r="K2394" t="b">
        <v>1</v>
      </c>
      <c r="L2394">
        <f t="shared" si="37"/>
        <v>1</v>
      </c>
      <c r="M2394">
        <f t="shared" si="37"/>
        <v>2</v>
      </c>
      <c r="N2394" t="b">
        <v>0</v>
      </c>
      <c r="O2394">
        <v>0</v>
      </c>
      <c r="Q2394">
        <v>0</v>
      </c>
      <c r="R2394" t="b">
        <v>0</v>
      </c>
    </row>
    <row r="2395" spans="1:18" hidden="1">
      <c r="A2395" t="s">
        <v>59</v>
      </c>
      <c r="B2395" t="s">
        <v>6042</v>
      </c>
      <c r="C2395" t="s">
        <v>6043</v>
      </c>
      <c r="E2395">
        <v>1</v>
      </c>
      <c r="F2395">
        <v>2</v>
      </c>
      <c r="G2395">
        <v>0</v>
      </c>
      <c r="H2395">
        <v>0</v>
      </c>
      <c r="J2395" t="s">
        <v>999</v>
      </c>
      <c r="K2395" t="b">
        <v>1</v>
      </c>
      <c r="L2395">
        <f t="shared" si="37"/>
        <v>1</v>
      </c>
      <c r="M2395">
        <f t="shared" si="37"/>
        <v>2</v>
      </c>
      <c r="N2395" t="b">
        <v>0</v>
      </c>
      <c r="O2395">
        <v>0</v>
      </c>
      <c r="Q2395">
        <v>0</v>
      </c>
      <c r="R2395" t="b">
        <v>0</v>
      </c>
    </row>
    <row r="2396" spans="1:18" hidden="1">
      <c r="A2396" t="s">
        <v>59</v>
      </c>
      <c r="B2396" t="s">
        <v>6044</v>
      </c>
      <c r="C2396" t="s">
        <v>6045</v>
      </c>
      <c r="E2396">
        <v>1</v>
      </c>
      <c r="F2396">
        <v>1</v>
      </c>
      <c r="G2396">
        <v>0</v>
      </c>
      <c r="H2396">
        <v>0</v>
      </c>
      <c r="J2396" t="s">
        <v>93</v>
      </c>
      <c r="K2396" t="b">
        <v>1</v>
      </c>
      <c r="L2396">
        <f t="shared" si="37"/>
        <v>1</v>
      </c>
      <c r="M2396">
        <f t="shared" si="37"/>
        <v>1</v>
      </c>
      <c r="N2396" t="b">
        <v>0</v>
      </c>
      <c r="O2396">
        <v>0</v>
      </c>
      <c r="Q2396">
        <v>0</v>
      </c>
      <c r="R2396" t="b">
        <v>0</v>
      </c>
    </row>
    <row r="2397" spans="1:18" hidden="1">
      <c r="A2397" t="s">
        <v>59</v>
      </c>
      <c r="B2397" t="s">
        <v>6046</v>
      </c>
      <c r="C2397" t="s">
        <v>6047</v>
      </c>
      <c r="E2397">
        <v>1</v>
      </c>
      <c r="F2397">
        <v>1</v>
      </c>
      <c r="G2397">
        <v>0</v>
      </c>
      <c r="H2397">
        <v>0</v>
      </c>
      <c r="J2397" t="s">
        <v>93</v>
      </c>
      <c r="K2397" t="b">
        <v>1</v>
      </c>
      <c r="L2397">
        <f t="shared" si="37"/>
        <v>1</v>
      </c>
      <c r="M2397">
        <f t="shared" si="37"/>
        <v>1</v>
      </c>
      <c r="N2397" t="b">
        <v>0</v>
      </c>
      <c r="O2397">
        <v>0</v>
      </c>
      <c r="Q2397">
        <v>0</v>
      </c>
      <c r="R2397" t="b">
        <v>0</v>
      </c>
    </row>
    <row r="2398" spans="1:18" hidden="1">
      <c r="A2398" t="s">
        <v>59</v>
      </c>
      <c r="B2398" t="s">
        <v>6048</v>
      </c>
      <c r="C2398" t="s">
        <v>6049</v>
      </c>
      <c r="E2398">
        <v>1</v>
      </c>
      <c r="F2398">
        <v>1</v>
      </c>
      <c r="G2398">
        <v>0</v>
      </c>
      <c r="H2398">
        <v>0</v>
      </c>
      <c r="J2398" t="s">
        <v>93</v>
      </c>
      <c r="K2398" t="b">
        <v>1</v>
      </c>
      <c r="L2398">
        <f t="shared" si="37"/>
        <v>1</v>
      </c>
      <c r="M2398">
        <f t="shared" si="37"/>
        <v>1</v>
      </c>
      <c r="N2398" t="b">
        <v>0</v>
      </c>
      <c r="O2398">
        <v>0</v>
      </c>
      <c r="Q2398">
        <v>0</v>
      </c>
      <c r="R2398" t="b">
        <v>0</v>
      </c>
    </row>
    <row r="2399" spans="1:18">
      <c r="A2399" t="s">
        <v>59</v>
      </c>
      <c r="B2399" t="s">
        <v>6050</v>
      </c>
      <c r="C2399" t="s">
        <v>6051</v>
      </c>
      <c r="E2399">
        <v>1</v>
      </c>
      <c r="F2399">
        <v>2</v>
      </c>
      <c r="G2399">
        <v>0</v>
      </c>
      <c r="H2399">
        <v>0</v>
      </c>
      <c r="J2399" t="s">
        <v>22</v>
      </c>
      <c r="K2399" t="b">
        <v>1</v>
      </c>
      <c r="L2399">
        <f t="shared" si="37"/>
        <v>1</v>
      </c>
      <c r="M2399">
        <f t="shared" si="37"/>
        <v>2</v>
      </c>
      <c r="N2399" t="b">
        <v>0</v>
      </c>
      <c r="O2399">
        <v>1</v>
      </c>
      <c r="P2399" t="s">
        <v>6052</v>
      </c>
      <c r="Q2399">
        <v>2</v>
      </c>
      <c r="R2399" t="b">
        <v>1</v>
      </c>
    </row>
    <row r="2400" spans="1:18" hidden="1">
      <c r="A2400" t="s">
        <v>59</v>
      </c>
      <c r="B2400" t="s">
        <v>6053</v>
      </c>
      <c r="C2400" t="s">
        <v>6054</v>
      </c>
      <c r="E2400">
        <v>1</v>
      </c>
      <c r="F2400">
        <v>6</v>
      </c>
      <c r="G2400">
        <v>0</v>
      </c>
      <c r="H2400">
        <v>0</v>
      </c>
      <c r="J2400" t="s">
        <v>93</v>
      </c>
      <c r="K2400" t="b">
        <v>1</v>
      </c>
      <c r="L2400">
        <f t="shared" si="37"/>
        <v>1</v>
      </c>
      <c r="M2400">
        <f t="shared" si="37"/>
        <v>6</v>
      </c>
      <c r="N2400" t="b">
        <v>0</v>
      </c>
      <c r="O2400">
        <v>0</v>
      </c>
      <c r="Q2400">
        <v>0</v>
      </c>
      <c r="R2400" t="b">
        <v>0</v>
      </c>
    </row>
    <row r="2401" spans="1:18" hidden="1">
      <c r="A2401" t="s">
        <v>59</v>
      </c>
      <c r="B2401" t="s">
        <v>6055</v>
      </c>
      <c r="C2401" t="s">
        <v>6056</v>
      </c>
      <c r="E2401">
        <v>1</v>
      </c>
      <c r="F2401">
        <v>0</v>
      </c>
      <c r="G2401">
        <v>0</v>
      </c>
      <c r="H2401">
        <v>0</v>
      </c>
      <c r="J2401" t="s">
        <v>93</v>
      </c>
      <c r="K2401" t="b">
        <v>1</v>
      </c>
      <c r="L2401">
        <f t="shared" si="37"/>
        <v>1</v>
      </c>
      <c r="M2401">
        <f t="shared" si="37"/>
        <v>0</v>
      </c>
      <c r="N2401" t="b">
        <v>0</v>
      </c>
      <c r="O2401">
        <v>0</v>
      </c>
      <c r="Q2401">
        <v>0</v>
      </c>
      <c r="R2401" t="b">
        <v>0</v>
      </c>
    </row>
    <row r="2402" spans="1:18" hidden="1">
      <c r="A2402" t="s">
        <v>4021</v>
      </c>
      <c r="B2402" t="s">
        <v>6057</v>
      </c>
      <c r="C2402" t="s">
        <v>6058</v>
      </c>
      <c r="E2402">
        <v>0</v>
      </c>
      <c r="F2402">
        <v>0</v>
      </c>
      <c r="G2402">
        <v>1</v>
      </c>
      <c r="H2402">
        <v>219</v>
      </c>
      <c r="J2402" t="s">
        <v>93</v>
      </c>
      <c r="K2402" t="b">
        <v>0</v>
      </c>
      <c r="L2402">
        <f t="shared" si="37"/>
        <v>1</v>
      </c>
      <c r="M2402">
        <f t="shared" si="37"/>
        <v>219</v>
      </c>
      <c r="N2402" t="b">
        <v>0</v>
      </c>
      <c r="O2402">
        <v>0</v>
      </c>
      <c r="Q2402">
        <v>0</v>
      </c>
      <c r="R2402" t="b">
        <v>0</v>
      </c>
    </row>
    <row r="2403" spans="1:18" hidden="1">
      <c r="A2403" t="s">
        <v>5344</v>
      </c>
      <c r="B2403" t="s">
        <v>6059</v>
      </c>
      <c r="C2403" t="s">
        <v>6060</v>
      </c>
      <c r="E2403">
        <v>1</v>
      </c>
      <c r="F2403">
        <v>0</v>
      </c>
      <c r="G2403">
        <v>0</v>
      </c>
      <c r="H2403">
        <v>0</v>
      </c>
      <c r="J2403" t="s">
        <v>93</v>
      </c>
      <c r="K2403" t="b">
        <v>0</v>
      </c>
      <c r="L2403">
        <f t="shared" si="37"/>
        <v>1</v>
      </c>
      <c r="M2403">
        <f t="shared" si="37"/>
        <v>0</v>
      </c>
      <c r="N2403" t="b">
        <v>1</v>
      </c>
      <c r="O2403">
        <v>0</v>
      </c>
      <c r="Q2403">
        <v>0</v>
      </c>
      <c r="R2403" t="b">
        <v>0</v>
      </c>
    </row>
    <row r="2404" spans="1:18" hidden="1">
      <c r="A2404" t="s">
        <v>2919</v>
      </c>
      <c r="B2404" t="s">
        <v>6061</v>
      </c>
      <c r="C2404" t="s">
        <v>6062</v>
      </c>
      <c r="E2404">
        <v>1</v>
      </c>
      <c r="F2404">
        <v>0</v>
      </c>
      <c r="G2404">
        <v>0</v>
      </c>
      <c r="H2404">
        <v>0</v>
      </c>
      <c r="J2404" t="s">
        <v>93</v>
      </c>
      <c r="K2404" t="b">
        <v>0</v>
      </c>
      <c r="L2404">
        <f t="shared" si="37"/>
        <v>1</v>
      </c>
      <c r="M2404">
        <f t="shared" si="37"/>
        <v>0</v>
      </c>
      <c r="N2404" t="b">
        <v>1</v>
      </c>
      <c r="O2404">
        <v>0</v>
      </c>
      <c r="Q2404">
        <v>0</v>
      </c>
      <c r="R2404" t="b">
        <v>0</v>
      </c>
    </row>
    <row r="2405" spans="1:18">
      <c r="A2405" t="s">
        <v>30</v>
      </c>
      <c r="B2405" t="s">
        <v>6063</v>
      </c>
      <c r="C2405" t="s">
        <v>6064</v>
      </c>
      <c r="E2405">
        <v>0</v>
      </c>
      <c r="F2405">
        <v>0</v>
      </c>
      <c r="G2405">
        <v>1</v>
      </c>
      <c r="H2405">
        <v>55</v>
      </c>
      <c r="J2405" t="s">
        <v>22</v>
      </c>
      <c r="K2405" t="b">
        <v>1</v>
      </c>
      <c r="L2405">
        <f t="shared" si="37"/>
        <v>1</v>
      </c>
      <c r="M2405">
        <f t="shared" si="37"/>
        <v>55</v>
      </c>
      <c r="N2405" t="b">
        <v>0</v>
      </c>
      <c r="O2405">
        <v>1</v>
      </c>
      <c r="P2405" t="s">
        <v>6065</v>
      </c>
      <c r="Q2405">
        <v>2</v>
      </c>
      <c r="R2405" t="b">
        <v>1</v>
      </c>
    </row>
    <row r="2406" spans="1:18" hidden="1">
      <c r="A2406" t="s">
        <v>37</v>
      </c>
      <c r="B2406" t="s">
        <v>6066</v>
      </c>
      <c r="C2406" t="s">
        <v>6067</v>
      </c>
      <c r="E2406">
        <v>1</v>
      </c>
      <c r="F2406">
        <v>0</v>
      </c>
      <c r="G2406">
        <v>0</v>
      </c>
      <c r="H2406">
        <v>0</v>
      </c>
      <c r="J2406" t="s">
        <v>93</v>
      </c>
      <c r="K2406" t="b">
        <v>1</v>
      </c>
      <c r="L2406">
        <f t="shared" si="37"/>
        <v>1</v>
      </c>
      <c r="M2406">
        <f t="shared" si="37"/>
        <v>0</v>
      </c>
      <c r="N2406" t="b">
        <v>0</v>
      </c>
      <c r="O2406">
        <v>0</v>
      </c>
      <c r="Q2406">
        <v>0</v>
      </c>
      <c r="R2406" t="b">
        <v>0</v>
      </c>
    </row>
    <row r="2407" spans="1:18" hidden="1">
      <c r="A2407" t="s">
        <v>3911</v>
      </c>
      <c r="B2407" t="s">
        <v>6068</v>
      </c>
      <c r="C2407" t="s">
        <v>6069</v>
      </c>
      <c r="E2407">
        <v>1</v>
      </c>
      <c r="F2407">
        <v>41</v>
      </c>
      <c r="G2407">
        <v>0</v>
      </c>
      <c r="H2407">
        <v>0</v>
      </c>
      <c r="J2407" t="s">
        <v>93</v>
      </c>
      <c r="K2407" t="b">
        <v>0</v>
      </c>
      <c r="L2407">
        <f t="shared" si="37"/>
        <v>1</v>
      </c>
      <c r="M2407">
        <f t="shared" si="37"/>
        <v>41</v>
      </c>
      <c r="N2407" t="b">
        <v>0</v>
      </c>
      <c r="O2407">
        <v>0</v>
      </c>
      <c r="Q2407">
        <v>0</v>
      </c>
      <c r="R2407" t="b">
        <v>0</v>
      </c>
    </row>
    <row r="2408" spans="1:18">
      <c r="A2408" t="s">
        <v>1739</v>
      </c>
      <c r="B2408" t="s">
        <v>6070</v>
      </c>
      <c r="C2408" t="s">
        <v>6071</v>
      </c>
      <c r="E2408">
        <v>1</v>
      </c>
      <c r="F2408">
        <v>55</v>
      </c>
      <c r="G2408">
        <v>0</v>
      </c>
      <c r="H2408">
        <v>0</v>
      </c>
      <c r="J2408" t="s">
        <v>22</v>
      </c>
      <c r="K2408" t="b">
        <v>1</v>
      </c>
      <c r="L2408">
        <f t="shared" si="37"/>
        <v>1</v>
      </c>
      <c r="M2408">
        <f t="shared" si="37"/>
        <v>55</v>
      </c>
      <c r="N2408" t="b">
        <v>0</v>
      </c>
      <c r="O2408">
        <v>1</v>
      </c>
      <c r="P2408" t="s">
        <v>6072</v>
      </c>
      <c r="Q2408">
        <v>2</v>
      </c>
      <c r="R2408" t="b">
        <v>1</v>
      </c>
    </row>
    <row r="2409" spans="1:18" hidden="1">
      <c r="A2409" t="s">
        <v>3514</v>
      </c>
      <c r="B2409" t="s">
        <v>6073</v>
      </c>
      <c r="C2409" t="s">
        <v>6074</v>
      </c>
      <c r="E2409">
        <v>1</v>
      </c>
      <c r="F2409">
        <v>0</v>
      </c>
      <c r="G2409">
        <v>0</v>
      </c>
      <c r="H2409">
        <v>0</v>
      </c>
      <c r="J2409" t="s">
        <v>93</v>
      </c>
      <c r="K2409" t="b">
        <v>0</v>
      </c>
      <c r="L2409">
        <f t="shared" si="37"/>
        <v>1</v>
      </c>
      <c r="M2409">
        <f t="shared" si="37"/>
        <v>0</v>
      </c>
      <c r="N2409" t="b">
        <v>1</v>
      </c>
      <c r="O2409">
        <v>0</v>
      </c>
      <c r="Q2409">
        <v>0</v>
      </c>
      <c r="R2409" t="b">
        <v>0</v>
      </c>
    </row>
    <row r="2410" spans="1:18" hidden="1">
      <c r="A2410" t="s">
        <v>1191</v>
      </c>
      <c r="B2410" t="s">
        <v>6075</v>
      </c>
      <c r="C2410" t="s">
        <v>6076</v>
      </c>
      <c r="E2410">
        <v>0</v>
      </c>
      <c r="F2410">
        <v>0</v>
      </c>
      <c r="G2410">
        <v>1</v>
      </c>
      <c r="H2410">
        <v>22</v>
      </c>
      <c r="J2410" t="s">
        <v>93</v>
      </c>
      <c r="K2410" t="b">
        <v>1</v>
      </c>
      <c r="L2410">
        <f t="shared" si="37"/>
        <v>1</v>
      </c>
      <c r="M2410">
        <f t="shared" si="37"/>
        <v>22</v>
      </c>
      <c r="N2410" t="b">
        <v>0</v>
      </c>
      <c r="O2410">
        <v>0</v>
      </c>
      <c r="Q2410">
        <v>0</v>
      </c>
      <c r="R2410" t="b">
        <v>0</v>
      </c>
    </row>
    <row r="2411" spans="1:18" hidden="1">
      <c r="A2411" t="s">
        <v>3015</v>
      </c>
      <c r="B2411" t="s">
        <v>6077</v>
      </c>
      <c r="C2411" t="s">
        <v>6078</v>
      </c>
      <c r="E2411">
        <v>1</v>
      </c>
      <c r="F2411">
        <v>0</v>
      </c>
      <c r="G2411">
        <v>0</v>
      </c>
      <c r="H2411">
        <v>0</v>
      </c>
      <c r="J2411" t="s">
        <v>93</v>
      </c>
      <c r="K2411" t="b">
        <v>0</v>
      </c>
      <c r="L2411">
        <f t="shared" si="37"/>
        <v>1</v>
      </c>
      <c r="M2411">
        <f t="shared" si="37"/>
        <v>0</v>
      </c>
      <c r="N2411" t="b">
        <v>1</v>
      </c>
      <c r="O2411">
        <v>0</v>
      </c>
      <c r="Q2411">
        <v>0</v>
      </c>
      <c r="R2411" t="b">
        <v>0</v>
      </c>
    </row>
    <row r="2412" spans="1:18" hidden="1">
      <c r="A2412" t="s">
        <v>940</v>
      </c>
      <c r="B2412" t="s">
        <v>6079</v>
      </c>
      <c r="C2412" t="s">
        <v>6080</v>
      </c>
      <c r="E2412">
        <v>0</v>
      </c>
      <c r="F2412">
        <v>0</v>
      </c>
      <c r="G2412">
        <v>1</v>
      </c>
      <c r="H2412">
        <v>15</v>
      </c>
      <c r="J2412" t="s">
        <v>93</v>
      </c>
      <c r="K2412" t="b">
        <v>0</v>
      </c>
      <c r="L2412">
        <f t="shared" si="37"/>
        <v>1</v>
      </c>
      <c r="M2412">
        <f t="shared" si="37"/>
        <v>15</v>
      </c>
      <c r="N2412" t="b">
        <v>0</v>
      </c>
      <c r="O2412">
        <v>0</v>
      </c>
      <c r="Q2412">
        <v>0</v>
      </c>
      <c r="R2412" t="b">
        <v>0</v>
      </c>
    </row>
    <row r="2413" spans="1:18" hidden="1">
      <c r="A2413" t="s">
        <v>4370</v>
      </c>
      <c r="B2413" t="s">
        <v>6081</v>
      </c>
      <c r="C2413" t="s">
        <v>6082</v>
      </c>
      <c r="E2413">
        <v>1</v>
      </c>
      <c r="F2413">
        <v>14</v>
      </c>
      <c r="G2413">
        <v>0</v>
      </c>
      <c r="H2413">
        <v>0</v>
      </c>
      <c r="J2413" t="s">
        <v>93</v>
      </c>
      <c r="K2413" t="b">
        <v>0</v>
      </c>
      <c r="L2413">
        <f t="shared" si="37"/>
        <v>1</v>
      </c>
      <c r="M2413">
        <f t="shared" si="37"/>
        <v>14</v>
      </c>
      <c r="N2413" t="b">
        <v>0</v>
      </c>
      <c r="O2413">
        <v>0</v>
      </c>
      <c r="Q2413">
        <v>0</v>
      </c>
      <c r="R2413" t="b">
        <v>0</v>
      </c>
    </row>
    <row r="2414" spans="1:18" hidden="1">
      <c r="A2414" t="s">
        <v>1143</v>
      </c>
      <c r="B2414" t="s">
        <v>6083</v>
      </c>
      <c r="C2414" s="2" t="s">
        <v>6084</v>
      </c>
      <c r="D2414" s="2"/>
      <c r="E2414">
        <v>0</v>
      </c>
      <c r="F2414">
        <v>0</v>
      </c>
      <c r="G2414">
        <v>1</v>
      </c>
      <c r="H2414">
        <v>9</v>
      </c>
      <c r="J2414" t="s">
        <v>93</v>
      </c>
      <c r="K2414" t="b">
        <v>1</v>
      </c>
      <c r="L2414">
        <f t="shared" si="37"/>
        <v>1</v>
      </c>
      <c r="M2414">
        <f t="shared" si="37"/>
        <v>9</v>
      </c>
      <c r="N2414" t="b">
        <v>0</v>
      </c>
      <c r="O2414">
        <v>0</v>
      </c>
      <c r="Q2414">
        <v>0</v>
      </c>
      <c r="R2414" t="b">
        <v>0</v>
      </c>
    </row>
    <row r="2415" spans="1:18">
      <c r="A2415" t="s">
        <v>1143</v>
      </c>
      <c r="B2415" t="s">
        <v>6085</v>
      </c>
      <c r="C2415" t="s">
        <v>6086</v>
      </c>
      <c r="E2415">
        <v>0</v>
      </c>
      <c r="F2415">
        <v>0</v>
      </c>
      <c r="G2415">
        <v>1</v>
      </c>
      <c r="H2415">
        <v>9</v>
      </c>
      <c r="J2415" t="s">
        <v>22</v>
      </c>
      <c r="K2415" t="b">
        <v>1</v>
      </c>
      <c r="L2415">
        <f t="shared" si="37"/>
        <v>1</v>
      </c>
      <c r="M2415">
        <f t="shared" si="37"/>
        <v>9</v>
      </c>
      <c r="N2415" t="b">
        <v>0</v>
      </c>
      <c r="O2415">
        <v>1</v>
      </c>
      <c r="P2415" t="s">
        <v>6087</v>
      </c>
      <c r="Q2415">
        <v>2</v>
      </c>
      <c r="R2415" t="b">
        <v>1</v>
      </c>
    </row>
    <row r="2416" spans="1:18" hidden="1">
      <c r="A2416" t="s">
        <v>1143</v>
      </c>
      <c r="B2416" t="s">
        <v>6088</v>
      </c>
      <c r="C2416" t="s">
        <v>6089</v>
      </c>
      <c r="E2416">
        <v>0</v>
      </c>
      <c r="F2416">
        <v>0</v>
      </c>
      <c r="G2416">
        <v>1</v>
      </c>
      <c r="H2416">
        <v>2</v>
      </c>
      <c r="J2416" t="s">
        <v>93</v>
      </c>
      <c r="K2416" t="b">
        <v>1</v>
      </c>
      <c r="L2416">
        <f t="shared" si="37"/>
        <v>1</v>
      </c>
      <c r="M2416">
        <f t="shared" si="37"/>
        <v>2</v>
      </c>
      <c r="N2416" t="b">
        <v>0</v>
      </c>
      <c r="O2416">
        <v>0</v>
      </c>
      <c r="Q2416">
        <v>0</v>
      </c>
      <c r="R2416" t="b">
        <v>0</v>
      </c>
    </row>
    <row r="2417" spans="1:18">
      <c r="A2417" t="s">
        <v>1143</v>
      </c>
      <c r="B2417" t="s">
        <v>6090</v>
      </c>
      <c r="C2417" t="s">
        <v>6091</v>
      </c>
      <c r="E2417">
        <v>0</v>
      </c>
      <c r="F2417">
        <v>0</v>
      </c>
      <c r="G2417">
        <v>1</v>
      </c>
      <c r="H2417">
        <v>5</v>
      </c>
      <c r="J2417" t="s">
        <v>22</v>
      </c>
      <c r="K2417" t="b">
        <v>1</v>
      </c>
      <c r="L2417">
        <f t="shared" si="37"/>
        <v>1</v>
      </c>
      <c r="M2417">
        <f t="shared" si="37"/>
        <v>5</v>
      </c>
      <c r="N2417" t="b">
        <v>0</v>
      </c>
      <c r="O2417">
        <v>1</v>
      </c>
      <c r="P2417" t="s">
        <v>6092</v>
      </c>
      <c r="Q2417">
        <v>2</v>
      </c>
      <c r="R2417" t="b">
        <v>1</v>
      </c>
    </row>
    <row r="2418" spans="1:18" hidden="1">
      <c r="A2418" t="s">
        <v>1143</v>
      </c>
      <c r="B2418" t="s">
        <v>6093</v>
      </c>
      <c r="C2418" t="s">
        <v>6094</v>
      </c>
      <c r="E2418">
        <v>0</v>
      </c>
      <c r="F2418">
        <v>0</v>
      </c>
      <c r="G2418">
        <v>1</v>
      </c>
      <c r="H2418">
        <v>10</v>
      </c>
      <c r="J2418" t="s">
        <v>93</v>
      </c>
      <c r="K2418" t="b">
        <v>1</v>
      </c>
      <c r="L2418">
        <f t="shared" si="37"/>
        <v>1</v>
      </c>
      <c r="M2418">
        <f t="shared" si="37"/>
        <v>10</v>
      </c>
      <c r="N2418" t="b">
        <v>0</v>
      </c>
      <c r="O2418">
        <v>0.25</v>
      </c>
      <c r="P2418" t="s">
        <v>6095</v>
      </c>
      <c r="Q2418">
        <v>8</v>
      </c>
      <c r="R2418" t="b">
        <v>1</v>
      </c>
    </row>
    <row r="2419" spans="1:18" hidden="1">
      <c r="A2419" t="s">
        <v>1143</v>
      </c>
      <c r="B2419" t="s">
        <v>6096</v>
      </c>
      <c r="C2419" t="s">
        <v>6097</v>
      </c>
      <c r="E2419">
        <v>0</v>
      </c>
      <c r="F2419">
        <v>0</v>
      </c>
      <c r="G2419">
        <v>1</v>
      </c>
      <c r="H2419">
        <v>1</v>
      </c>
      <c r="J2419" t="s">
        <v>93</v>
      </c>
      <c r="K2419" t="b">
        <v>1</v>
      </c>
      <c r="L2419">
        <f t="shared" si="37"/>
        <v>1</v>
      </c>
      <c r="M2419">
        <f t="shared" si="37"/>
        <v>1</v>
      </c>
      <c r="N2419" t="b">
        <v>0</v>
      </c>
      <c r="O2419">
        <v>0.25</v>
      </c>
      <c r="P2419" t="s">
        <v>6098</v>
      </c>
      <c r="Q2419">
        <v>8</v>
      </c>
      <c r="R2419" t="b">
        <v>1</v>
      </c>
    </row>
    <row r="2420" spans="1:18" hidden="1">
      <c r="A2420" t="s">
        <v>1143</v>
      </c>
      <c r="B2420" t="s">
        <v>6099</v>
      </c>
      <c r="C2420" t="s">
        <v>6100</v>
      </c>
      <c r="E2420">
        <v>0</v>
      </c>
      <c r="F2420">
        <v>0</v>
      </c>
      <c r="G2420">
        <v>1</v>
      </c>
      <c r="H2420">
        <v>1</v>
      </c>
      <c r="J2420" t="s">
        <v>93</v>
      </c>
      <c r="K2420" t="b">
        <v>1</v>
      </c>
      <c r="L2420">
        <f t="shared" si="37"/>
        <v>1</v>
      </c>
      <c r="M2420">
        <f t="shared" si="37"/>
        <v>1</v>
      </c>
      <c r="N2420" t="b">
        <v>0</v>
      </c>
      <c r="O2420">
        <v>0</v>
      </c>
      <c r="Q2420">
        <v>0</v>
      </c>
      <c r="R2420" t="b">
        <v>0</v>
      </c>
    </row>
    <row r="2421" spans="1:18" hidden="1">
      <c r="A2421" t="s">
        <v>1143</v>
      </c>
      <c r="B2421" t="s">
        <v>6101</v>
      </c>
      <c r="C2421" t="s">
        <v>6102</v>
      </c>
      <c r="E2421">
        <v>0</v>
      </c>
      <c r="F2421">
        <v>0</v>
      </c>
      <c r="G2421">
        <v>1</v>
      </c>
      <c r="H2421">
        <v>1</v>
      </c>
      <c r="J2421" t="s">
        <v>93</v>
      </c>
      <c r="K2421" t="b">
        <v>1</v>
      </c>
      <c r="L2421">
        <f t="shared" si="37"/>
        <v>1</v>
      </c>
      <c r="M2421">
        <f t="shared" si="37"/>
        <v>1</v>
      </c>
      <c r="N2421" t="b">
        <v>0</v>
      </c>
      <c r="O2421">
        <v>0</v>
      </c>
      <c r="Q2421">
        <v>0</v>
      </c>
      <c r="R2421" t="b">
        <v>0</v>
      </c>
    </row>
    <row r="2422" spans="1:18" hidden="1">
      <c r="A2422" t="s">
        <v>1143</v>
      </c>
      <c r="B2422" t="s">
        <v>6103</v>
      </c>
      <c r="C2422" t="s">
        <v>6104</v>
      </c>
      <c r="E2422">
        <v>0</v>
      </c>
      <c r="F2422">
        <v>0</v>
      </c>
      <c r="G2422">
        <v>1</v>
      </c>
      <c r="H2422">
        <v>10</v>
      </c>
      <c r="J2422" t="s">
        <v>93</v>
      </c>
      <c r="K2422" t="b">
        <v>1</v>
      </c>
      <c r="L2422">
        <f t="shared" si="37"/>
        <v>1</v>
      </c>
      <c r="M2422">
        <f t="shared" si="37"/>
        <v>10</v>
      </c>
      <c r="N2422" t="b">
        <v>0</v>
      </c>
      <c r="O2422">
        <v>0</v>
      </c>
      <c r="Q2422">
        <v>0</v>
      </c>
      <c r="R2422" t="b">
        <v>0</v>
      </c>
    </row>
    <row r="2423" spans="1:18" hidden="1">
      <c r="A2423" t="s">
        <v>1143</v>
      </c>
      <c r="B2423" t="s">
        <v>6105</v>
      </c>
      <c r="C2423" t="s">
        <v>6106</v>
      </c>
      <c r="E2423">
        <v>0</v>
      </c>
      <c r="F2423">
        <v>0</v>
      </c>
      <c r="G2423">
        <v>1</v>
      </c>
      <c r="H2423">
        <v>10</v>
      </c>
      <c r="J2423" t="s">
        <v>93</v>
      </c>
      <c r="K2423" t="b">
        <v>1</v>
      </c>
      <c r="L2423">
        <f t="shared" si="37"/>
        <v>1</v>
      </c>
      <c r="M2423">
        <f t="shared" si="37"/>
        <v>10</v>
      </c>
      <c r="N2423" t="b">
        <v>0</v>
      </c>
      <c r="O2423">
        <v>0.25</v>
      </c>
      <c r="P2423" t="s">
        <v>6107</v>
      </c>
      <c r="Q2423">
        <v>8</v>
      </c>
      <c r="R2423" t="b">
        <v>1</v>
      </c>
    </row>
    <row r="2424" spans="1:18" hidden="1">
      <c r="A2424" t="s">
        <v>1143</v>
      </c>
      <c r="B2424" t="s">
        <v>6108</v>
      </c>
      <c r="C2424" t="s">
        <v>6109</v>
      </c>
      <c r="E2424">
        <v>0</v>
      </c>
      <c r="F2424">
        <v>0</v>
      </c>
      <c r="G2424">
        <v>1</v>
      </c>
      <c r="H2424">
        <v>10</v>
      </c>
      <c r="J2424" t="s">
        <v>93</v>
      </c>
      <c r="K2424" t="b">
        <v>1</v>
      </c>
      <c r="L2424">
        <f t="shared" si="37"/>
        <v>1</v>
      </c>
      <c r="M2424">
        <f t="shared" si="37"/>
        <v>10</v>
      </c>
      <c r="N2424" t="b">
        <v>0</v>
      </c>
      <c r="O2424">
        <v>0.25</v>
      </c>
      <c r="P2424" t="s">
        <v>6110</v>
      </c>
      <c r="Q2424">
        <v>8</v>
      </c>
      <c r="R2424" t="b">
        <v>1</v>
      </c>
    </row>
    <row r="2425" spans="1:18" hidden="1">
      <c r="A2425" t="s">
        <v>1143</v>
      </c>
      <c r="B2425" t="s">
        <v>6111</v>
      </c>
      <c r="C2425" t="s">
        <v>6112</v>
      </c>
      <c r="E2425">
        <v>0</v>
      </c>
      <c r="F2425">
        <v>0</v>
      </c>
      <c r="G2425">
        <v>1</v>
      </c>
      <c r="H2425">
        <v>1</v>
      </c>
      <c r="J2425" t="s">
        <v>93</v>
      </c>
      <c r="K2425" t="b">
        <v>1</v>
      </c>
      <c r="L2425">
        <f t="shared" si="37"/>
        <v>1</v>
      </c>
      <c r="M2425">
        <f t="shared" si="37"/>
        <v>1</v>
      </c>
      <c r="N2425" t="b">
        <v>0</v>
      </c>
      <c r="O2425">
        <v>0</v>
      </c>
      <c r="Q2425">
        <v>0</v>
      </c>
      <c r="R2425" t="b">
        <v>0</v>
      </c>
    </row>
    <row r="2426" spans="1:18" hidden="1">
      <c r="A2426" t="s">
        <v>1143</v>
      </c>
      <c r="B2426" t="s">
        <v>6113</v>
      </c>
      <c r="C2426" t="s">
        <v>6114</v>
      </c>
      <c r="E2426">
        <v>0</v>
      </c>
      <c r="F2426">
        <v>0</v>
      </c>
      <c r="G2426">
        <v>1</v>
      </c>
      <c r="H2426">
        <v>2</v>
      </c>
      <c r="J2426" t="s">
        <v>93</v>
      </c>
      <c r="K2426" t="b">
        <v>1</v>
      </c>
      <c r="L2426">
        <f t="shared" si="37"/>
        <v>1</v>
      </c>
      <c r="M2426">
        <f t="shared" si="37"/>
        <v>2</v>
      </c>
      <c r="N2426" t="b">
        <v>0</v>
      </c>
      <c r="O2426">
        <v>0</v>
      </c>
      <c r="Q2426">
        <v>0</v>
      </c>
      <c r="R2426" t="b">
        <v>0</v>
      </c>
    </row>
    <row r="2427" spans="1:18" hidden="1">
      <c r="A2427" t="s">
        <v>1143</v>
      </c>
      <c r="B2427" t="s">
        <v>6115</v>
      </c>
      <c r="C2427" t="s">
        <v>6116</v>
      </c>
      <c r="E2427">
        <v>0</v>
      </c>
      <c r="F2427">
        <v>0</v>
      </c>
      <c r="G2427">
        <v>1</v>
      </c>
      <c r="H2427">
        <v>2</v>
      </c>
      <c r="J2427" t="s">
        <v>93</v>
      </c>
      <c r="K2427" t="b">
        <v>1</v>
      </c>
      <c r="L2427">
        <f t="shared" si="37"/>
        <v>1</v>
      </c>
      <c r="M2427">
        <f t="shared" si="37"/>
        <v>2</v>
      </c>
      <c r="N2427" t="b">
        <v>0</v>
      </c>
      <c r="O2427">
        <v>0</v>
      </c>
      <c r="Q2427">
        <v>0</v>
      </c>
      <c r="R2427" t="b">
        <v>0</v>
      </c>
    </row>
    <row r="2428" spans="1:18" hidden="1">
      <c r="A2428" t="s">
        <v>1143</v>
      </c>
      <c r="B2428" t="s">
        <v>6117</v>
      </c>
      <c r="C2428" t="s">
        <v>6118</v>
      </c>
      <c r="E2428">
        <v>0</v>
      </c>
      <c r="F2428">
        <v>0</v>
      </c>
      <c r="G2428">
        <v>1</v>
      </c>
      <c r="H2428">
        <v>2</v>
      </c>
      <c r="J2428" t="s">
        <v>93</v>
      </c>
      <c r="K2428" t="b">
        <v>1</v>
      </c>
      <c r="L2428">
        <f t="shared" si="37"/>
        <v>1</v>
      </c>
      <c r="M2428">
        <f t="shared" si="37"/>
        <v>2</v>
      </c>
      <c r="N2428" t="b">
        <v>0</v>
      </c>
      <c r="O2428">
        <v>0</v>
      </c>
      <c r="Q2428">
        <v>0</v>
      </c>
      <c r="R2428" t="b">
        <v>0</v>
      </c>
    </row>
    <row r="2429" spans="1:18" hidden="1">
      <c r="A2429" t="s">
        <v>1143</v>
      </c>
      <c r="B2429" t="s">
        <v>6119</v>
      </c>
      <c r="C2429" t="s">
        <v>6120</v>
      </c>
      <c r="E2429">
        <v>0</v>
      </c>
      <c r="F2429">
        <v>0</v>
      </c>
      <c r="G2429">
        <v>1</v>
      </c>
      <c r="H2429">
        <v>2</v>
      </c>
      <c r="J2429" t="s">
        <v>93</v>
      </c>
      <c r="K2429" t="b">
        <v>1</v>
      </c>
      <c r="L2429">
        <f t="shared" si="37"/>
        <v>1</v>
      </c>
      <c r="M2429">
        <f t="shared" si="37"/>
        <v>2</v>
      </c>
      <c r="N2429" t="b">
        <v>0</v>
      </c>
      <c r="O2429">
        <v>0</v>
      </c>
      <c r="Q2429">
        <v>0</v>
      </c>
      <c r="R2429" t="b">
        <v>0</v>
      </c>
    </row>
    <row r="2430" spans="1:18" hidden="1">
      <c r="A2430" t="s">
        <v>1143</v>
      </c>
      <c r="B2430" t="s">
        <v>6121</v>
      </c>
      <c r="C2430" t="s">
        <v>6122</v>
      </c>
      <c r="E2430">
        <v>0</v>
      </c>
      <c r="F2430">
        <v>0</v>
      </c>
      <c r="G2430">
        <v>1</v>
      </c>
      <c r="H2430">
        <v>2</v>
      </c>
      <c r="J2430" t="s">
        <v>93</v>
      </c>
      <c r="K2430" t="b">
        <v>1</v>
      </c>
      <c r="L2430">
        <f t="shared" si="37"/>
        <v>1</v>
      </c>
      <c r="M2430">
        <f t="shared" si="37"/>
        <v>2</v>
      </c>
      <c r="N2430" t="b">
        <v>0</v>
      </c>
      <c r="O2430">
        <v>0</v>
      </c>
      <c r="Q2430">
        <v>0</v>
      </c>
      <c r="R2430" t="b">
        <v>0</v>
      </c>
    </row>
    <row r="2431" spans="1:18" hidden="1">
      <c r="A2431" t="s">
        <v>1143</v>
      </c>
      <c r="B2431" t="s">
        <v>6123</v>
      </c>
      <c r="C2431" t="s">
        <v>6124</v>
      </c>
      <c r="E2431">
        <v>0</v>
      </c>
      <c r="F2431">
        <v>0</v>
      </c>
      <c r="G2431">
        <v>1</v>
      </c>
      <c r="H2431">
        <v>2</v>
      </c>
      <c r="J2431" t="s">
        <v>93</v>
      </c>
      <c r="K2431" t="b">
        <v>1</v>
      </c>
      <c r="L2431">
        <f t="shared" si="37"/>
        <v>1</v>
      </c>
      <c r="M2431">
        <f t="shared" si="37"/>
        <v>2</v>
      </c>
      <c r="N2431" t="b">
        <v>0</v>
      </c>
      <c r="O2431">
        <v>0</v>
      </c>
      <c r="Q2431">
        <v>0</v>
      </c>
      <c r="R2431" t="b">
        <v>0</v>
      </c>
    </row>
    <row r="2432" spans="1:18" hidden="1">
      <c r="A2432" t="s">
        <v>1143</v>
      </c>
      <c r="B2432" t="s">
        <v>6125</v>
      </c>
      <c r="C2432" t="s">
        <v>6126</v>
      </c>
      <c r="E2432">
        <v>0</v>
      </c>
      <c r="F2432">
        <v>0</v>
      </c>
      <c r="G2432">
        <v>1</v>
      </c>
      <c r="H2432">
        <v>2</v>
      </c>
      <c r="J2432" t="s">
        <v>93</v>
      </c>
      <c r="K2432" t="b">
        <v>1</v>
      </c>
      <c r="L2432">
        <f t="shared" si="37"/>
        <v>1</v>
      </c>
      <c r="M2432">
        <f t="shared" si="37"/>
        <v>2</v>
      </c>
      <c r="N2432" t="b">
        <v>0</v>
      </c>
      <c r="O2432">
        <v>0</v>
      </c>
      <c r="Q2432">
        <v>0</v>
      </c>
      <c r="R2432" t="b">
        <v>0</v>
      </c>
    </row>
    <row r="2433" spans="1:18" hidden="1">
      <c r="A2433" t="s">
        <v>1143</v>
      </c>
      <c r="B2433" t="s">
        <v>6127</v>
      </c>
      <c r="C2433" t="s">
        <v>6128</v>
      </c>
      <c r="E2433">
        <v>0</v>
      </c>
      <c r="F2433">
        <v>0</v>
      </c>
      <c r="G2433">
        <v>1</v>
      </c>
      <c r="H2433">
        <v>2</v>
      </c>
      <c r="J2433" t="s">
        <v>93</v>
      </c>
      <c r="K2433" t="b">
        <v>1</v>
      </c>
      <c r="L2433">
        <f t="shared" si="37"/>
        <v>1</v>
      </c>
      <c r="M2433">
        <f t="shared" si="37"/>
        <v>2</v>
      </c>
      <c r="N2433" t="b">
        <v>0</v>
      </c>
      <c r="O2433">
        <v>0</v>
      </c>
      <c r="Q2433">
        <v>0</v>
      </c>
      <c r="R2433" t="b">
        <v>0</v>
      </c>
    </row>
    <row r="2434" spans="1:18">
      <c r="A2434" t="s">
        <v>4383</v>
      </c>
      <c r="B2434" t="s">
        <v>6129</v>
      </c>
      <c r="C2434" t="s">
        <v>6130</v>
      </c>
      <c r="E2434">
        <v>0</v>
      </c>
      <c r="F2434">
        <v>0</v>
      </c>
      <c r="G2434">
        <v>1</v>
      </c>
      <c r="H2434">
        <v>3</v>
      </c>
      <c r="J2434" t="s">
        <v>22</v>
      </c>
      <c r="K2434" t="b">
        <v>1</v>
      </c>
      <c r="L2434">
        <f t="shared" si="37"/>
        <v>1</v>
      </c>
      <c r="M2434">
        <f t="shared" si="37"/>
        <v>3</v>
      </c>
      <c r="N2434" t="b">
        <v>0</v>
      </c>
      <c r="O2434">
        <v>1</v>
      </c>
      <c r="P2434" t="s">
        <v>2246</v>
      </c>
      <c r="Q2434">
        <v>2</v>
      </c>
      <c r="R2434" t="b">
        <v>1</v>
      </c>
    </row>
    <row r="2435" spans="1:18">
      <c r="A2435" t="s">
        <v>4383</v>
      </c>
      <c r="B2435" t="s">
        <v>6131</v>
      </c>
      <c r="C2435" t="s">
        <v>6132</v>
      </c>
      <c r="E2435">
        <v>0</v>
      </c>
      <c r="F2435">
        <v>0</v>
      </c>
      <c r="G2435">
        <v>1</v>
      </c>
      <c r="H2435">
        <v>6</v>
      </c>
      <c r="J2435" t="s">
        <v>22</v>
      </c>
      <c r="K2435" t="b">
        <v>1</v>
      </c>
      <c r="L2435">
        <f t="shared" ref="L2435:M2498" si="38">E2435+G2435</f>
        <v>1</v>
      </c>
      <c r="M2435">
        <f t="shared" si="38"/>
        <v>6</v>
      </c>
      <c r="N2435" t="b">
        <v>0</v>
      </c>
      <c r="O2435">
        <v>1</v>
      </c>
      <c r="P2435" t="s">
        <v>3077</v>
      </c>
      <c r="Q2435">
        <v>2</v>
      </c>
      <c r="R2435" t="b">
        <v>1</v>
      </c>
    </row>
    <row r="2436" spans="1:18" hidden="1">
      <c r="A2436" t="s">
        <v>5344</v>
      </c>
      <c r="B2436" t="s">
        <v>6133</v>
      </c>
      <c r="C2436" t="s">
        <v>6134</v>
      </c>
      <c r="E2436">
        <v>0</v>
      </c>
      <c r="F2436">
        <v>0</v>
      </c>
      <c r="G2436">
        <v>1</v>
      </c>
      <c r="H2436">
        <v>11</v>
      </c>
      <c r="J2436" t="s">
        <v>93</v>
      </c>
      <c r="K2436" t="b">
        <v>0</v>
      </c>
      <c r="L2436">
        <f t="shared" si="38"/>
        <v>1</v>
      </c>
      <c r="M2436">
        <f t="shared" si="38"/>
        <v>11</v>
      </c>
      <c r="N2436" t="b">
        <v>0</v>
      </c>
      <c r="O2436">
        <v>0</v>
      </c>
      <c r="Q2436">
        <v>0</v>
      </c>
      <c r="R2436" t="b">
        <v>0</v>
      </c>
    </row>
    <row r="2437" spans="1:18">
      <c r="A2437" t="s">
        <v>1334</v>
      </c>
      <c r="B2437" t="s">
        <v>6135</v>
      </c>
      <c r="C2437" t="s">
        <v>6136</v>
      </c>
      <c r="E2437">
        <v>1</v>
      </c>
      <c r="F2437">
        <v>2</v>
      </c>
      <c r="G2437">
        <v>0</v>
      </c>
      <c r="H2437">
        <v>0</v>
      </c>
      <c r="J2437" t="s">
        <v>22</v>
      </c>
      <c r="K2437" t="b">
        <v>1</v>
      </c>
      <c r="L2437">
        <f t="shared" si="38"/>
        <v>1</v>
      </c>
      <c r="M2437">
        <f t="shared" si="38"/>
        <v>2</v>
      </c>
      <c r="N2437" t="b">
        <v>0</v>
      </c>
      <c r="O2437">
        <v>1</v>
      </c>
      <c r="P2437" t="s">
        <v>6137</v>
      </c>
      <c r="Q2437">
        <v>1</v>
      </c>
      <c r="R2437" t="b">
        <v>1</v>
      </c>
    </row>
    <row r="2438" spans="1:18">
      <c r="A2438" t="s">
        <v>1334</v>
      </c>
      <c r="B2438" t="s">
        <v>6138</v>
      </c>
      <c r="C2438" t="s">
        <v>6139</v>
      </c>
      <c r="E2438">
        <v>1</v>
      </c>
      <c r="F2438">
        <v>115</v>
      </c>
      <c r="G2438">
        <v>0</v>
      </c>
      <c r="H2438">
        <v>0</v>
      </c>
      <c r="J2438" t="s">
        <v>22</v>
      </c>
      <c r="K2438" t="b">
        <v>1</v>
      </c>
      <c r="L2438">
        <f t="shared" si="38"/>
        <v>1</v>
      </c>
      <c r="M2438">
        <f t="shared" si="38"/>
        <v>115</v>
      </c>
      <c r="N2438" t="b">
        <v>0</v>
      </c>
      <c r="O2438">
        <v>1</v>
      </c>
      <c r="P2438" t="s">
        <v>6140</v>
      </c>
      <c r="Q2438">
        <v>1</v>
      </c>
      <c r="R2438" t="b">
        <v>1</v>
      </c>
    </row>
    <row r="2439" spans="1:18">
      <c r="A2439" t="s">
        <v>1334</v>
      </c>
      <c r="B2439" t="s">
        <v>6141</v>
      </c>
      <c r="C2439" t="s">
        <v>6142</v>
      </c>
      <c r="E2439">
        <v>1</v>
      </c>
      <c r="F2439">
        <v>1</v>
      </c>
      <c r="G2439">
        <v>0</v>
      </c>
      <c r="H2439">
        <v>0</v>
      </c>
      <c r="J2439" t="s">
        <v>22</v>
      </c>
      <c r="K2439" t="b">
        <v>1</v>
      </c>
      <c r="L2439">
        <f t="shared" si="38"/>
        <v>1</v>
      </c>
      <c r="M2439">
        <f t="shared" si="38"/>
        <v>1</v>
      </c>
      <c r="N2439" t="b">
        <v>0</v>
      </c>
      <c r="O2439">
        <v>1</v>
      </c>
      <c r="P2439" t="s">
        <v>6143</v>
      </c>
      <c r="Q2439">
        <v>1</v>
      </c>
      <c r="R2439" t="b">
        <v>1</v>
      </c>
    </row>
    <row r="2440" spans="1:18" hidden="1">
      <c r="A2440" t="s">
        <v>1143</v>
      </c>
      <c r="B2440" t="s">
        <v>6144</v>
      </c>
      <c r="C2440" t="s">
        <v>6145</v>
      </c>
      <c r="E2440">
        <v>0</v>
      </c>
      <c r="F2440">
        <v>0</v>
      </c>
      <c r="G2440">
        <v>1</v>
      </c>
      <c r="H2440">
        <v>10</v>
      </c>
      <c r="J2440" t="s">
        <v>93</v>
      </c>
      <c r="K2440" t="b">
        <v>1</v>
      </c>
      <c r="L2440">
        <f t="shared" si="38"/>
        <v>1</v>
      </c>
      <c r="M2440">
        <f t="shared" si="38"/>
        <v>10</v>
      </c>
      <c r="N2440" t="b">
        <v>0</v>
      </c>
      <c r="O2440">
        <v>0.25</v>
      </c>
      <c r="P2440" t="s">
        <v>6146</v>
      </c>
      <c r="Q2440">
        <v>10</v>
      </c>
      <c r="R2440" t="b">
        <v>1</v>
      </c>
    </row>
    <row r="2441" spans="1:18" hidden="1">
      <c r="A2441" t="s">
        <v>1047</v>
      </c>
      <c r="B2441" t="s">
        <v>6147</v>
      </c>
      <c r="C2441" t="s">
        <v>6148</v>
      </c>
      <c r="E2441">
        <v>1</v>
      </c>
      <c r="F2441">
        <v>9</v>
      </c>
      <c r="G2441">
        <v>0</v>
      </c>
      <c r="H2441">
        <v>0</v>
      </c>
      <c r="J2441" t="s">
        <v>93</v>
      </c>
      <c r="K2441" t="b">
        <v>0</v>
      </c>
      <c r="L2441">
        <f t="shared" si="38"/>
        <v>1</v>
      </c>
      <c r="M2441">
        <f t="shared" si="38"/>
        <v>9</v>
      </c>
      <c r="N2441" t="b">
        <v>0</v>
      </c>
      <c r="O2441">
        <v>0</v>
      </c>
      <c r="Q2441">
        <v>0</v>
      </c>
      <c r="R2441" t="b">
        <v>0</v>
      </c>
    </row>
    <row r="2442" spans="1:18" hidden="1">
      <c r="A2442" t="s">
        <v>4370</v>
      </c>
      <c r="B2442" t="s">
        <v>6149</v>
      </c>
      <c r="C2442" t="s">
        <v>6150</v>
      </c>
      <c r="E2442">
        <v>1</v>
      </c>
      <c r="F2442">
        <v>7</v>
      </c>
      <c r="G2442">
        <v>0</v>
      </c>
      <c r="H2442">
        <v>0</v>
      </c>
      <c r="J2442" t="s">
        <v>93</v>
      </c>
      <c r="K2442" t="b">
        <v>0</v>
      </c>
      <c r="L2442">
        <f t="shared" si="38"/>
        <v>1</v>
      </c>
      <c r="M2442">
        <f t="shared" si="38"/>
        <v>7</v>
      </c>
      <c r="N2442" t="b">
        <v>0</v>
      </c>
      <c r="O2442">
        <v>0</v>
      </c>
      <c r="Q2442">
        <v>0</v>
      </c>
      <c r="R2442" t="b">
        <v>0</v>
      </c>
    </row>
    <row r="2443" spans="1:18" hidden="1">
      <c r="A2443" t="s">
        <v>4370</v>
      </c>
      <c r="B2443" t="s">
        <v>6151</v>
      </c>
      <c r="C2443" t="s">
        <v>6152</v>
      </c>
      <c r="E2443">
        <v>1</v>
      </c>
      <c r="F2443">
        <v>7</v>
      </c>
      <c r="G2443">
        <v>0</v>
      </c>
      <c r="H2443">
        <v>0</v>
      </c>
      <c r="J2443" t="s">
        <v>93</v>
      </c>
      <c r="K2443" t="b">
        <v>0</v>
      </c>
      <c r="L2443">
        <f t="shared" si="38"/>
        <v>1</v>
      </c>
      <c r="M2443">
        <f t="shared" si="38"/>
        <v>7</v>
      </c>
      <c r="N2443" t="b">
        <v>0</v>
      </c>
      <c r="O2443">
        <v>0</v>
      </c>
      <c r="Q2443">
        <v>0</v>
      </c>
      <c r="R2443" t="b">
        <v>0</v>
      </c>
    </row>
    <row r="2444" spans="1:18" hidden="1">
      <c r="A2444" t="s">
        <v>4370</v>
      </c>
      <c r="B2444" t="s">
        <v>6153</v>
      </c>
      <c r="C2444" t="s">
        <v>6154</v>
      </c>
      <c r="E2444">
        <v>1</v>
      </c>
      <c r="F2444">
        <v>7</v>
      </c>
      <c r="G2444">
        <v>0</v>
      </c>
      <c r="H2444">
        <v>0</v>
      </c>
      <c r="J2444" t="s">
        <v>93</v>
      </c>
      <c r="K2444" t="b">
        <v>0</v>
      </c>
      <c r="L2444">
        <f t="shared" si="38"/>
        <v>1</v>
      </c>
      <c r="M2444">
        <f t="shared" si="38"/>
        <v>7</v>
      </c>
      <c r="N2444" t="b">
        <v>0</v>
      </c>
      <c r="O2444">
        <v>0</v>
      </c>
      <c r="Q2444">
        <v>0</v>
      </c>
      <c r="R2444" t="b">
        <v>0</v>
      </c>
    </row>
    <row r="2445" spans="1:18">
      <c r="A2445" t="s">
        <v>2805</v>
      </c>
      <c r="B2445" t="s">
        <v>6155</v>
      </c>
      <c r="C2445" t="s">
        <v>6156</v>
      </c>
      <c r="E2445">
        <v>0</v>
      </c>
      <c r="F2445">
        <v>0</v>
      </c>
      <c r="G2445">
        <v>1</v>
      </c>
      <c r="H2445">
        <v>7</v>
      </c>
      <c r="J2445" t="s">
        <v>22</v>
      </c>
      <c r="K2445" t="b">
        <v>1</v>
      </c>
      <c r="L2445">
        <f t="shared" si="38"/>
        <v>1</v>
      </c>
      <c r="M2445">
        <f t="shared" si="38"/>
        <v>7</v>
      </c>
      <c r="N2445" t="b">
        <v>0</v>
      </c>
      <c r="O2445">
        <v>1</v>
      </c>
      <c r="P2445" t="s">
        <v>6157</v>
      </c>
      <c r="Q2445">
        <v>2</v>
      </c>
      <c r="R2445" t="b">
        <v>1</v>
      </c>
    </row>
    <row r="2446" spans="1:18" hidden="1">
      <c r="A2446" t="s">
        <v>1712</v>
      </c>
      <c r="B2446" t="s">
        <v>6158</v>
      </c>
      <c r="C2446" t="s">
        <v>6159</v>
      </c>
      <c r="E2446">
        <v>0</v>
      </c>
      <c r="F2446">
        <v>0</v>
      </c>
      <c r="G2446">
        <v>1</v>
      </c>
      <c r="H2446">
        <v>7</v>
      </c>
      <c r="J2446" t="s">
        <v>93</v>
      </c>
      <c r="K2446" t="b">
        <v>0</v>
      </c>
      <c r="L2446">
        <f t="shared" si="38"/>
        <v>1</v>
      </c>
      <c r="M2446">
        <f t="shared" si="38"/>
        <v>7</v>
      </c>
      <c r="N2446" t="b">
        <v>0</v>
      </c>
      <c r="O2446">
        <v>0</v>
      </c>
      <c r="Q2446">
        <v>0</v>
      </c>
      <c r="R2446" t="b">
        <v>0</v>
      </c>
    </row>
    <row r="2447" spans="1:18" hidden="1">
      <c r="A2447" t="s">
        <v>59</v>
      </c>
      <c r="B2447" t="s">
        <v>6160</v>
      </c>
      <c r="C2447" t="s">
        <v>6161</v>
      </c>
      <c r="E2447">
        <v>0</v>
      </c>
      <c r="F2447">
        <v>0</v>
      </c>
      <c r="G2447">
        <v>1</v>
      </c>
      <c r="H2447">
        <v>6</v>
      </c>
      <c r="J2447" t="s">
        <v>93</v>
      </c>
      <c r="K2447" t="b">
        <v>1</v>
      </c>
      <c r="L2447">
        <f t="shared" si="38"/>
        <v>1</v>
      </c>
      <c r="M2447">
        <f t="shared" si="38"/>
        <v>6</v>
      </c>
      <c r="N2447" t="b">
        <v>0</v>
      </c>
      <c r="O2447">
        <v>0</v>
      </c>
      <c r="Q2447">
        <v>0</v>
      </c>
      <c r="R2447" t="b">
        <v>0</v>
      </c>
    </row>
    <row r="2448" spans="1:18" hidden="1">
      <c r="A2448" t="s">
        <v>5344</v>
      </c>
      <c r="B2448" t="s">
        <v>6162</v>
      </c>
      <c r="C2448" t="s">
        <v>6163</v>
      </c>
      <c r="E2448">
        <v>1</v>
      </c>
      <c r="F2448">
        <v>6</v>
      </c>
      <c r="G2448">
        <v>0</v>
      </c>
      <c r="H2448">
        <v>0</v>
      </c>
      <c r="J2448" t="s">
        <v>93</v>
      </c>
      <c r="K2448" t="b">
        <v>0</v>
      </c>
      <c r="L2448">
        <f t="shared" si="38"/>
        <v>1</v>
      </c>
      <c r="M2448">
        <f t="shared" si="38"/>
        <v>6</v>
      </c>
      <c r="N2448" t="b">
        <v>0</v>
      </c>
      <c r="O2448">
        <v>0</v>
      </c>
      <c r="Q2448">
        <v>0</v>
      </c>
      <c r="R2448" t="b">
        <v>0</v>
      </c>
    </row>
    <row r="2449" spans="1:18">
      <c r="A2449" t="s">
        <v>4383</v>
      </c>
      <c r="B2449" t="s">
        <v>6164</v>
      </c>
      <c r="C2449" t="s">
        <v>6165</v>
      </c>
      <c r="E2449">
        <v>0</v>
      </c>
      <c r="F2449">
        <v>0</v>
      </c>
      <c r="G2449">
        <v>1</v>
      </c>
      <c r="H2449">
        <v>6</v>
      </c>
      <c r="J2449" t="s">
        <v>22</v>
      </c>
      <c r="K2449" t="b">
        <v>1</v>
      </c>
      <c r="L2449">
        <f t="shared" si="38"/>
        <v>1</v>
      </c>
      <c r="M2449">
        <f t="shared" si="38"/>
        <v>6</v>
      </c>
      <c r="N2449" t="b">
        <v>0</v>
      </c>
      <c r="O2449">
        <v>1</v>
      </c>
      <c r="P2449" t="s">
        <v>3168</v>
      </c>
      <c r="Q2449">
        <v>2</v>
      </c>
      <c r="R2449" t="b">
        <v>1</v>
      </c>
    </row>
    <row r="2450" spans="1:18" hidden="1">
      <c r="A2450" t="s">
        <v>248</v>
      </c>
      <c r="B2450" t="s">
        <v>6166</v>
      </c>
      <c r="C2450" t="s">
        <v>6167</v>
      </c>
      <c r="E2450">
        <v>0</v>
      </c>
      <c r="F2450">
        <v>0</v>
      </c>
      <c r="G2450">
        <v>1</v>
      </c>
      <c r="H2450">
        <v>5</v>
      </c>
      <c r="J2450" t="s">
        <v>93</v>
      </c>
      <c r="K2450" t="b">
        <v>1</v>
      </c>
      <c r="L2450">
        <f t="shared" si="38"/>
        <v>1</v>
      </c>
      <c r="M2450">
        <f t="shared" si="38"/>
        <v>5</v>
      </c>
      <c r="N2450" t="b">
        <v>0</v>
      </c>
      <c r="O2450">
        <v>0</v>
      </c>
      <c r="Q2450">
        <v>0</v>
      </c>
      <c r="R2450" t="b">
        <v>0</v>
      </c>
    </row>
    <row r="2451" spans="1:18" hidden="1">
      <c r="A2451" t="s">
        <v>248</v>
      </c>
      <c r="B2451" t="s">
        <v>6168</v>
      </c>
      <c r="C2451" t="s">
        <v>6169</v>
      </c>
      <c r="E2451">
        <v>0</v>
      </c>
      <c r="F2451">
        <v>0</v>
      </c>
      <c r="G2451">
        <v>1</v>
      </c>
      <c r="H2451">
        <v>5</v>
      </c>
      <c r="J2451" t="s">
        <v>93</v>
      </c>
      <c r="K2451" t="b">
        <v>1</v>
      </c>
      <c r="L2451">
        <f t="shared" si="38"/>
        <v>1</v>
      </c>
      <c r="M2451">
        <f t="shared" si="38"/>
        <v>5</v>
      </c>
      <c r="N2451" t="b">
        <v>0</v>
      </c>
      <c r="O2451">
        <v>0</v>
      </c>
      <c r="Q2451">
        <v>0</v>
      </c>
      <c r="R2451" t="b">
        <v>0</v>
      </c>
    </row>
    <row r="2452" spans="1:18" hidden="1">
      <c r="A2452" t="s">
        <v>248</v>
      </c>
      <c r="B2452" t="s">
        <v>6170</v>
      </c>
      <c r="C2452" t="s">
        <v>6171</v>
      </c>
      <c r="E2452">
        <v>0</v>
      </c>
      <c r="F2452">
        <v>0</v>
      </c>
      <c r="G2452">
        <v>1</v>
      </c>
      <c r="H2452">
        <v>5</v>
      </c>
      <c r="J2452" t="s">
        <v>93</v>
      </c>
      <c r="K2452" t="b">
        <v>1</v>
      </c>
      <c r="L2452">
        <f t="shared" si="38"/>
        <v>1</v>
      </c>
      <c r="M2452">
        <f t="shared" si="38"/>
        <v>5</v>
      </c>
      <c r="N2452" t="b">
        <v>0</v>
      </c>
      <c r="O2452">
        <v>0</v>
      </c>
      <c r="Q2452">
        <v>0</v>
      </c>
      <c r="R2452" t="b">
        <v>0</v>
      </c>
    </row>
    <row r="2453" spans="1:18" hidden="1">
      <c r="A2453" t="s">
        <v>192</v>
      </c>
      <c r="B2453" t="s">
        <v>6172</v>
      </c>
      <c r="C2453" t="s">
        <v>6173</v>
      </c>
      <c r="E2453">
        <v>0</v>
      </c>
      <c r="F2453">
        <v>0</v>
      </c>
      <c r="G2453">
        <v>1</v>
      </c>
      <c r="H2453">
        <v>5</v>
      </c>
      <c r="J2453" t="s">
        <v>93</v>
      </c>
      <c r="K2453" t="b">
        <v>1</v>
      </c>
      <c r="L2453">
        <f t="shared" si="38"/>
        <v>1</v>
      </c>
      <c r="M2453">
        <f t="shared" si="38"/>
        <v>5</v>
      </c>
      <c r="N2453" t="b">
        <v>0</v>
      </c>
      <c r="O2453">
        <v>0</v>
      </c>
      <c r="Q2453">
        <v>0</v>
      </c>
      <c r="R2453" t="b">
        <v>0</v>
      </c>
    </row>
    <row r="2454" spans="1:18" hidden="1">
      <c r="A2454" t="s">
        <v>1712</v>
      </c>
      <c r="B2454" t="s">
        <v>6174</v>
      </c>
      <c r="C2454" t="s">
        <v>6175</v>
      </c>
      <c r="E2454">
        <v>1</v>
      </c>
      <c r="F2454">
        <v>4</v>
      </c>
      <c r="G2454">
        <v>0</v>
      </c>
      <c r="H2454">
        <v>0</v>
      </c>
      <c r="J2454" t="s">
        <v>93</v>
      </c>
      <c r="K2454" t="b">
        <v>0</v>
      </c>
      <c r="L2454">
        <f t="shared" si="38"/>
        <v>1</v>
      </c>
      <c r="M2454">
        <f t="shared" si="38"/>
        <v>4</v>
      </c>
      <c r="N2454" t="b">
        <v>0</v>
      </c>
      <c r="O2454">
        <v>0</v>
      </c>
      <c r="Q2454">
        <v>0</v>
      </c>
      <c r="R2454" t="b">
        <v>0</v>
      </c>
    </row>
    <row r="2455" spans="1:18">
      <c r="A2455" t="s">
        <v>1143</v>
      </c>
      <c r="B2455" t="s">
        <v>6176</v>
      </c>
      <c r="C2455" t="s">
        <v>6177</v>
      </c>
      <c r="E2455">
        <v>0</v>
      </c>
      <c r="F2455">
        <v>0</v>
      </c>
      <c r="G2455">
        <v>1</v>
      </c>
      <c r="H2455">
        <v>4</v>
      </c>
      <c r="J2455" t="s">
        <v>22</v>
      </c>
      <c r="K2455" t="b">
        <v>1</v>
      </c>
      <c r="L2455">
        <f t="shared" si="38"/>
        <v>1</v>
      </c>
      <c r="M2455">
        <f t="shared" si="38"/>
        <v>4</v>
      </c>
      <c r="N2455" t="b">
        <v>0</v>
      </c>
      <c r="O2455">
        <v>1</v>
      </c>
      <c r="P2455" t="s">
        <v>6178</v>
      </c>
      <c r="Q2455">
        <v>2</v>
      </c>
      <c r="R2455" t="b">
        <v>1</v>
      </c>
    </row>
    <row r="2456" spans="1:18" hidden="1">
      <c r="A2456" t="s">
        <v>1143</v>
      </c>
      <c r="B2456" t="s">
        <v>6179</v>
      </c>
      <c r="C2456" t="s">
        <v>6180</v>
      </c>
      <c r="E2456">
        <v>0</v>
      </c>
      <c r="F2456">
        <v>0</v>
      </c>
      <c r="G2456">
        <v>1</v>
      </c>
      <c r="H2456">
        <v>4</v>
      </c>
      <c r="J2456" t="s">
        <v>93</v>
      </c>
      <c r="K2456" t="b">
        <v>1</v>
      </c>
      <c r="L2456">
        <f t="shared" si="38"/>
        <v>1</v>
      </c>
      <c r="M2456">
        <f t="shared" si="38"/>
        <v>4</v>
      </c>
      <c r="N2456" t="b">
        <v>0</v>
      </c>
      <c r="O2456">
        <v>0</v>
      </c>
      <c r="Q2456">
        <v>0</v>
      </c>
      <c r="R2456" t="b">
        <v>0</v>
      </c>
    </row>
    <row r="2457" spans="1:18">
      <c r="A2457" t="s">
        <v>1143</v>
      </c>
      <c r="B2457" t="s">
        <v>6181</v>
      </c>
      <c r="C2457" t="s">
        <v>6182</v>
      </c>
      <c r="E2457">
        <v>0</v>
      </c>
      <c r="F2457">
        <v>0</v>
      </c>
      <c r="G2457">
        <v>1</v>
      </c>
      <c r="H2457">
        <v>4</v>
      </c>
      <c r="J2457" t="s">
        <v>22</v>
      </c>
      <c r="K2457" t="b">
        <v>1</v>
      </c>
      <c r="L2457">
        <f t="shared" si="38"/>
        <v>1</v>
      </c>
      <c r="M2457">
        <f t="shared" si="38"/>
        <v>4</v>
      </c>
      <c r="N2457" t="b">
        <v>0</v>
      </c>
      <c r="O2457">
        <v>1</v>
      </c>
      <c r="P2457" t="s">
        <v>6183</v>
      </c>
      <c r="Q2457">
        <v>2</v>
      </c>
      <c r="R2457" t="b">
        <v>1</v>
      </c>
    </row>
    <row r="2458" spans="1:18">
      <c r="A2458" t="s">
        <v>4383</v>
      </c>
      <c r="B2458" t="s">
        <v>6184</v>
      </c>
      <c r="C2458" t="s">
        <v>6185</v>
      </c>
      <c r="E2458">
        <v>0</v>
      </c>
      <c r="F2458">
        <v>0</v>
      </c>
      <c r="G2458">
        <v>1</v>
      </c>
      <c r="H2458">
        <v>4</v>
      </c>
      <c r="J2458" t="s">
        <v>22</v>
      </c>
      <c r="K2458" t="b">
        <v>1</v>
      </c>
      <c r="L2458">
        <f t="shared" si="38"/>
        <v>1</v>
      </c>
      <c r="M2458">
        <f t="shared" si="38"/>
        <v>4</v>
      </c>
      <c r="N2458" t="b">
        <v>0</v>
      </c>
      <c r="O2458">
        <v>1</v>
      </c>
      <c r="P2458" t="s">
        <v>6186</v>
      </c>
      <c r="Q2458">
        <v>2</v>
      </c>
      <c r="R2458" t="b">
        <v>1</v>
      </c>
    </row>
    <row r="2459" spans="1:18" hidden="1">
      <c r="A2459" t="s">
        <v>3810</v>
      </c>
      <c r="B2459" t="s">
        <v>6187</v>
      </c>
      <c r="C2459" t="s">
        <v>6188</v>
      </c>
      <c r="E2459">
        <v>0</v>
      </c>
      <c r="F2459">
        <v>0</v>
      </c>
      <c r="G2459">
        <v>1</v>
      </c>
      <c r="H2459">
        <v>4</v>
      </c>
      <c r="J2459" t="s">
        <v>93</v>
      </c>
      <c r="K2459" t="b">
        <v>0</v>
      </c>
      <c r="L2459">
        <f t="shared" si="38"/>
        <v>1</v>
      </c>
      <c r="M2459">
        <f t="shared" si="38"/>
        <v>4</v>
      </c>
      <c r="N2459" t="b">
        <v>0</v>
      </c>
      <c r="O2459">
        <v>0</v>
      </c>
      <c r="Q2459">
        <v>0</v>
      </c>
      <c r="R2459" t="b">
        <v>0</v>
      </c>
    </row>
    <row r="2460" spans="1:18" hidden="1">
      <c r="A2460" t="s">
        <v>192</v>
      </c>
      <c r="B2460" t="s">
        <v>6189</v>
      </c>
      <c r="C2460" t="s">
        <v>6190</v>
      </c>
      <c r="E2460">
        <v>0</v>
      </c>
      <c r="F2460">
        <v>0</v>
      </c>
      <c r="G2460">
        <v>1</v>
      </c>
      <c r="H2460">
        <v>4</v>
      </c>
      <c r="J2460" t="s">
        <v>93</v>
      </c>
      <c r="K2460" t="b">
        <v>1</v>
      </c>
      <c r="L2460">
        <f t="shared" si="38"/>
        <v>1</v>
      </c>
      <c r="M2460">
        <f t="shared" si="38"/>
        <v>4</v>
      </c>
      <c r="N2460" t="b">
        <v>0</v>
      </c>
      <c r="O2460">
        <v>0.5</v>
      </c>
      <c r="P2460" t="s">
        <v>1350</v>
      </c>
      <c r="Q2460">
        <v>12</v>
      </c>
      <c r="R2460" t="b">
        <v>1</v>
      </c>
    </row>
    <row r="2461" spans="1:18">
      <c r="A2461" t="s">
        <v>438</v>
      </c>
      <c r="B2461" t="s">
        <v>6191</v>
      </c>
      <c r="C2461" t="s">
        <v>6192</v>
      </c>
      <c r="E2461">
        <v>0</v>
      </c>
      <c r="F2461">
        <v>0</v>
      </c>
      <c r="G2461">
        <v>1</v>
      </c>
      <c r="H2461">
        <v>3</v>
      </c>
      <c r="J2461" t="s">
        <v>22</v>
      </c>
      <c r="K2461" t="b">
        <v>1</v>
      </c>
      <c r="L2461">
        <f t="shared" si="38"/>
        <v>1</v>
      </c>
      <c r="M2461">
        <f t="shared" si="38"/>
        <v>3</v>
      </c>
      <c r="N2461" t="b">
        <v>0</v>
      </c>
      <c r="O2461">
        <v>1</v>
      </c>
      <c r="P2461" t="s">
        <v>6193</v>
      </c>
      <c r="Q2461">
        <v>2</v>
      </c>
      <c r="R2461" t="b">
        <v>1</v>
      </c>
    </row>
    <row r="2462" spans="1:18">
      <c r="A2462" t="s">
        <v>1191</v>
      </c>
      <c r="B2462" t="s">
        <v>6194</v>
      </c>
      <c r="C2462" t="s">
        <v>6195</v>
      </c>
      <c r="E2462">
        <v>0</v>
      </c>
      <c r="F2462">
        <v>0</v>
      </c>
      <c r="G2462">
        <v>1</v>
      </c>
      <c r="H2462">
        <v>3</v>
      </c>
      <c r="J2462" t="s">
        <v>22</v>
      </c>
      <c r="K2462" t="b">
        <v>1</v>
      </c>
      <c r="L2462">
        <f t="shared" si="38"/>
        <v>1</v>
      </c>
      <c r="M2462">
        <f t="shared" si="38"/>
        <v>3</v>
      </c>
      <c r="N2462" t="b">
        <v>0</v>
      </c>
      <c r="O2462">
        <v>1</v>
      </c>
      <c r="P2462" t="s">
        <v>6196</v>
      </c>
      <c r="Q2462">
        <v>2</v>
      </c>
      <c r="R2462" t="b">
        <v>1</v>
      </c>
    </row>
    <row r="2463" spans="1:18" hidden="1">
      <c r="A2463" t="s">
        <v>4370</v>
      </c>
      <c r="B2463" t="s">
        <v>6197</v>
      </c>
      <c r="C2463" t="s">
        <v>6198</v>
      </c>
      <c r="E2463">
        <v>1</v>
      </c>
      <c r="F2463">
        <v>3</v>
      </c>
      <c r="G2463">
        <v>0</v>
      </c>
      <c r="H2463">
        <v>0</v>
      </c>
      <c r="J2463" t="s">
        <v>93</v>
      </c>
      <c r="K2463" t="b">
        <v>0</v>
      </c>
      <c r="L2463">
        <f t="shared" si="38"/>
        <v>1</v>
      </c>
      <c r="M2463">
        <f t="shared" si="38"/>
        <v>3</v>
      </c>
      <c r="N2463" t="b">
        <v>0</v>
      </c>
      <c r="O2463">
        <v>0</v>
      </c>
      <c r="Q2463">
        <v>0</v>
      </c>
      <c r="R2463" t="b">
        <v>0</v>
      </c>
    </row>
    <row r="2464" spans="1:18" hidden="1">
      <c r="A2464" t="s">
        <v>59</v>
      </c>
      <c r="B2464" t="s">
        <v>6199</v>
      </c>
      <c r="C2464" t="s">
        <v>6200</v>
      </c>
      <c r="E2464">
        <v>0</v>
      </c>
      <c r="F2464">
        <v>0</v>
      </c>
      <c r="G2464">
        <v>1</v>
      </c>
      <c r="H2464">
        <v>3</v>
      </c>
      <c r="J2464" t="s">
        <v>93</v>
      </c>
      <c r="K2464" t="b">
        <v>1</v>
      </c>
      <c r="L2464">
        <f t="shared" si="38"/>
        <v>1</v>
      </c>
      <c r="M2464">
        <f t="shared" si="38"/>
        <v>3</v>
      </c>
      <c r="N2464" t="b">
        <v>0</v>
      </c>
      <c r="O2464">
        <v>0</v>
      </c>
      <c r="Q2464">
        <v>0</v>
      </c>
      <c r="R2464" t="b">
        <v>0</v>
      </c>
    </row>
    <row r="2465" spans="1:18" hidden="1">
      <c r="A2465" t="s">
        <v>2984</v>
      </c>
      <c r="B2465" t="s">
        <v>6201</v>
      </c>
      <c r="C2465" t="s">
        <v>6202</v>
      </c>
      <c r="E2465">
        <v>0</v>
      </c>
      <c r="F2465">
        <v>1</v>
      </c>
      <c r="G2465">
        <v>1</v>
      </c>
      <c r="H2465">
        <v>2</v>
      </c>
      <c r="J2465" t="s">
        <v>93</v>
      </c>
      <c r="K2465" t="b">
        <v>0</v>
      </c>
      <c r="L2465">
        <f t="shared" si="38"/>
        <v>1</v>
      </c>
      <c r="M2465">
        <f t="shared" si="38"/>
        <v>3</v>
      </c>
      <c r="N2465" t="b">
        <v>0</v>
      </c>
      <c r="O2465">
        <v>0</v>
      </c>
      <c r="Q2465">
        <v>0</v>
      </c>
      <c r="R2465" t="b">
        <v>0</v>
      </c>
    </row>
    <row r="2466" spans="1:18" hidden="1">
      <c r="A2466" t="s">
        <v>3511</v>
      </c>
      <c r="B2466" t="s">
        <v>6203</v>
      </c>
      <c r="C2466" t="s">
        <v>6204</v>
      </c>
      <c r="E2466">
        <v>0</v>
      </c>
      <c r="F2466">
        <v>0</v>
      </c>
      <c r="G2466">
        <v>1</v>
      </c>
      <c r="H2466">
        <v>3</v>
      </c>
      <c r="J2466" t="s">
        <v>93</v>
      </c>
      <c r="K2466" t="b">
        <v>0</v>
      </c>
      <c r="L2466">
        <f t="shared" si="38"/>
        <v>1</v>
      </c>
      <c r="M2466">
        <f t="shared" si="38"/>
        <v>3</v>
      </c>
      <c r="N2466" t="b">
        <v>0</v>
      </c>
      <c r="O2466">
        <v>0</v>
      </c>
      <c r="Q2466">
        <v>0</v>
      </c>
      <c r="R2466" t="b">
        <v>0</v>
      </c>
    </row>
    <row r="2467" spans="1:18" hidden="1">
      <c r="A2467" t="s">
        <v>3511</v>
      </c>
      <c r="B2467" t="s">
        <v>6205</v>
      </c>
      <c r="C2467" t="s">
        <v>6206</v>
      </c>
      <c r="E2467">
        <v>0</v>
      </c>
      <c r="F2467">
        <v>0</v>
      </c>
      <c r="G2467">
        <v>1</v>
      </c>
      <c r="H2467">
        <v>3</v>
      </c>
      <c r="J2467" t="s">
        <v>93</v>
      </c>
      <c r="K2467" t="b">
        <v>0</v>
      </c>
      <c r="L2467">
        <f t="shared" si="38"/>
        <v>1</v>
      </c>
      <c r="M2467">
        <f t="shared" si="38"/>
        <v>3</v>
      </c>
      <c r="N2467" t="b">
        <v>0</v>
      </c>
      <c r="O2467">
        <v>0</v>
      </c>
      <c r="Q2467">
        <v>0</v>
      </c>
      <c r="R2467" t="b">
        <v>0</v>
      </c>
    </row>
    <row r="2468" spans="1:18" hidden="1">
      <c r="A2468" t="s">
        <v>3514</v>
      </c>
      <c r="B2468" t="s">
        <v>6207</v>
      </c>
      <c r="C2468" t="s">
        <v>6208</v>
      </c>
      <c r="E2468">
        <v>0</v>
      </c>
      <c r="F2468">
        <v>0</v>
      </c>
      <c r="G2468">
        <v>1</v>
      </c>
      <c r="H2468">
        <v>3</v>
      </c>
      <c r="J2468" t="s">
        <v>93</v>
      </c>
      <c r="K2468" t="b">
        <v>0</v>
      </c>
      <c r="L2468">
        <f t="shared" si="38"/>
        <v>1</v>
      </c>
      <c r="M2468">
        <f t="shared" si="38"/>
        <v>3</v>
      </c>
      <c r="N2468" t="b">
        <v>0</v>
      </c>
      <c r="O2468">
        <v>0</v>
      </c>
      <c r="Q2468">
        <v>0</v>
      </c>
      <c r="R2468" t="b">
        <v>0</v>
      </c>
    </row>
    <row r="2469" spans="1:18" hidden="1">
      <c r="A2469" t="s">
        <v>115</v>
      </c>
      <c r="B2469" t="s">
        <v>6209</v>
      </c>
      <c r="C2469" t="s">
        <v>6210</v>
      </c>
      <c r="E2469">
        <v>0</v>
      </c>
      <c r="F2469">
        <v>0</v>
      </c>
      <c r="G2469">
        <v>1</v>
      </c>
      <c r="H2469">
        <v>3</v>
      </c>
      <c r="J2469" t="s">
        <v>93</v>
      </c>
      <c r="K2469" t="b">
        <v>1</v>
      </c>
      <c r="L2469">
        <f t="shared" si="38"/>
        <v>1</v>
      </c>
      <c r="M2469">
        <f t="shared" si="38"/>
        <v>3</v>
      </c>
      <c r="N2469" t="b">
        <v>0</v>
      </c>
      <c r="O2469">
        <v>0</v>
      </c>
      <c r="Q2469">
        <v>0</v>
      </c>
      <c r="R2469" t="b">
        <v>0</v>
      </c>
    </row>
    <row r="2470" spans="1:18" hidden="1">
      <c r="A2470" t="s">
        <v>1384</v>
      </c>
      <c r="B2470" t="s">
        <v>6211</v>
      </c>
      <c r="C2470" t="s">
        <v>6212</v>
      </c>
      <c r="E2470">
        <v>1</v>
      </c>
      <c r="F2470">
        <v>2</v>
      </c>
      <c r="G2470">
        <v>0</v>
      </c>
      <c r="H2470">
        <v>0</v>
      </c>
      <c r="J2470" t="s">
        <v>93</v>
      </c>
      <c r="K2470" t="b">
        <v>1</v>
      </c>
      <c r="L2470">
        <f t="shared" si="38"/>
        <v>1</v>
      </c>
      <c r="M2470">
        <f t="shared" si="38"/>
        <v>2</v>
      </c>
      <c r="N2470" t="b">
        <v>0</v>
      </c>
      <c r="O2470">
        <v>0</v>
      </c>
      <c r="Q2470">
        <v>0</v>
      </c>
      <c r="R2470" t="b">
        <v>0</v>
      </c>
    </row>
    <row r="2471" spans="1:18" hidden="1">
      <c r="A2471" t="s">
        <v>1384</v>
      </c>
      <c r="B2471" t="s">
        <v>6213</v>
      </c>
      <c r="C2471" t="s">
        <v>6214</v>
      </c>
      <c r="E2471">
        <v>1</v>
      </c>
      <c r="F2471">
        <v>4</v>
      </c>
      <c r="G2471">
        <v>0</v>
      </c>
      <c r="H2471">
        <v>0</v>
      </c>
      <c r="J2471" t="s">
        <v>93</v>
      </c>
      <c r="K2471" t="b">
        <v>1</v>
      </c>
      <c r="L2471">
        <f t="shared" si="38"/>
        <v>1</v>
      </c>
      <c r="M2471">
        <f t="shared" si="38"/>
        <v>4</v>
      </c>
      <c r="N2471" t="b">
        <v>0</v>
      </c>
      <c r="O2471">
        <v>0</v>
      </c>
      <c r="Q2471">
        <v>0</v>
      </c>
      <c r="R2471" t="b">
        <v>0</v>
      </c>
    </row>
    <row r="2472" spans="1:18">
      <c r="A2472" t="s">
        <v>1384</v>
      </c>
      <c r="B2472" t="s">
        <v>6215</v>
      </c>
      <c r="C2472" t="s">
        <v>6216</v>
      </c>
      <c r="E2472">
        <v>1</v>
      </c>
      <c r="F2472">
        <v>1</v>
      </c>
      <c r="G2472">
        <v>0</v>
      </c>
      <c r="H2472">
        <v>0</v>
      </c>
      <c r="J2472" t="s">
        <v>22</v>
      </c>
      <c r="K2472" t="b">
        <v>1</v>
      </c>
      <c r="L2472">
        <f t="shared" si="38"/>
        <v>1</v>
      </c>
      <c r="M2472">
        <f t="shared" si="38"/>
        <v>1</v>
      </c>
      <c r="N2472" t="b">
        <v>0</v>
      </c>
      <c r="O2472">
        <v>1</v>
      </c>
      <c r="P2472" t="s">
        <v>6217</v>
      </c>
      <c r="Q2472">
        <v>2</v>
      </c>
      <c r="R2472" t="b">
        <v>1</v>
      </c>
    </row>
    <row r="2473" spans="1:18">
      <c r="A2473" t="s">
        <v>1384</v>
      </c>
      <c r="B2473" t="s">
        <v>6218</v>
      </c>
      <c r="C2473" t="s">
        <v>6219</v>
      </c>
      <c r="E2473">
        <v>1</v>
      </c>
      <c r="F2473">
        <v>2</v>
      </c>
      <c r="G2473">
        <v>0</v>
      </c>
      <c r="H2473">
        <v>0</v>
      </c>
      <c r="J2473" t="s">
        <v>22</v>
      </c>
      <c r="K2473" t="b">
        <v>1</v>
      </c>
      <c r="L2473">
        <f t="shared" si="38"/>
        <v>1</v>
      </c>
      <c r="M2473">
        <f t="shared" si="38"/>
        <v>2</v>
      </c>
      <c r="N2473" t="b">
        <v>0</v>
      </c>
      <c r="O2473">
        <v>1</v>
      </c>
      <c r="P2473" t="s">
        <v>6220</v>
      </c>
      <c r="Q2473">
        <v>2</v>
      </c>
      <c r="R2473" t="b">
        <v>1</v>
      </c>
    </row>
    <row r="2474" spans="1:18">
      <c r="A2474" t="s">
        <v>1191</v>
      </c>
      <c r="B2474" t="s">
        <v>6221</v>
      </c>
      <c r="C2474" t="s">
        <v>6222</v>
      </c>
      <c r="E2474">
        <v>0</v>
      </c>
      <c r="F2474">
        <v>0</v>
      </c>
      <c r="G2474">
        <v>1</v>
      </c>
      <c r="H2474">
        <v>2</v>
      </c>
      <c r="J2474" t="s">
        <v>22</v>
      </c>
      <c r="K2474" t="b">
        <v>1</v>
      </c>
      <c r="L2474">
        <f t="shared" si="38"/>
        <v>1</v>
      </c>
      <c r="M2474">
        <f t="shared" si="38"/>
        <v>2</v>
      </c>
      <c r="N2474" t="b">
        <v>0</v>
      </c>
      <c r="O2474">
        <v>1</v>
      </c>
      <c r="P2474" t="s">
        <v>6223</v>
      </c>
      <c r="Q2474">
        <v>2</v>
      </c>
      <c r="R2474" t="b">
        <v>1</v>
      </c>
    </row>
    <row r="2475" spans="1:18" hidden="1">
      <c r="A2475" t="s">
        <v>4370</v>
      </c>
      <c r="B2475" t="s">
        <v>6224</v>
      </c>
      <c r="C2475" t="s">
        <v>6225</v>
      </c>
      <c r="E2475">
        <v>1</v>
      </c>
      <c r="F2475">
        <v>2</v>
      </c>
      <c r="G2475">
        <v>0</v>
      </c>
      <c r="H2475">
        <v>0</v>
      </c>
      <c r="J2475" t="s">
        <v>93</v>
      </c>
      <c r="K2475" t="b">
        <v>0</v>
      </c>
      <c r="L2475">
        <f t="shared" si="38"/>
        <v>1</v>
      </c>
      <c r="M2475">
        <f t="shared" si="38"/>
        <v>2</v>
      </c>
      <c r="N2475" t="b">
        <v>0</v>
      </c>
      <c r="O2475">
        <v>0</v>
      </c>
      <c r="Q2475">
        <v>0</v>
      </c>
      <c r="R2475" t="b">
        <v>0</v>
      </c>
    </row>
    <row r="2476" spans="1:18">
      <c r="A2476" t="s">
        <v>24</v>
      </c>
      <c r="B2476" t="s">
        <v>6226</v>
      </c>
      <c r="C2476" t="s">
        <v>6227</v>
      </c>
      <c r="E2476">
        <v>0</v>
      </c>
      <c r="F2476">
        <v>0</v>
      </c>
      <c r="G2476">
        <v>1</v>
      </c>
      <c r="H2476">
        <v>2</v>
      </c>
      <c r="J2476" t="s">
        <v>22</v>
      </c>
      <c r="K2476" t="b">
        <v>1</v>
      </c>
      <c r="L2476">
        <f t="shared" si="38"/>
        <v>1</v>
      </c>
      <c r="M2476">
        <f t="shared" si="38"/>
        <v>2</v>
      </c>
      <c r="N2476" t="b">
        <v>0</v>
      </c>
      <c r="O2476">
        <v>1</v>
      </c>
      <c r="P2476" t="s">
        <v>6228</v>
      </c>
      <c r="Q2476">
        <v>2</v>
      </c>
      <c r="R2476" t="b">
        <v>1</v>
      </c>
    </row>
    <row r="2477" spans="1:18" hidden="1">
      <c r="A2477" t="s">
        <v>24</v>
      </c>
      <c r="B2477" t="s">
        <v>6229</v>
      </c>
      <c r="C2477" t="s">
        <v>6230</v>
      </c>
      <c r="E2477">
        <v>0</v>
      </c>
      <c r="F2477">
        <v>0</v>
      </c>
      <c r="G2477">
        <v>1</v>
      </c>
      <c r="H2477">
        <v>2</v>
      </c>
      <c r="J2477" t="s">
        <v>93</v>
      </c>
      <c r="K2477" t="b">
        <v>1</v>
      </c>
      <c r="L2477">
        <f t="shared" si="38"/>
        <v>1</v>
      </c>
      <c r="M2477">
        <f t="shared" si="38"/>
        <v>2</v>
      </c>
      <c r="N2477" t="b">
        <v>0</v>
      </c>
      <c r="O2477">
        <v>0</v>
      </c>
      <c r="Q2477">
        <v>0</v>
      </c>
      <c r="R2477" t="b">
        <v>0</v>
      </c>
    </row>
    <row r="2478" spans="1:18" hidden="1">
      <c r="A2478" t="s">
        <v>24</v>
      </c>
      <c r="B2478" t="s">
        <v>6231</v>
      </c>
      <c r="C2478" t="s">
        <v>6232</v>
      </c>
      <c r="E2478">
        <v>0</v>
      </c>
      <c r="F2478">
        <v>0</v>
      </c>
      <c r="G2478">
        <v>1</v>
      </c>
      <c r="H2478">
        <v>2</v>
      </c>
      <c r="J2478" t="s">
        <v>93</v>
      </c>
      <c r="K2478" t="b">
        <v>1</v>
      </c>
      <c r="L2478">
        <f t="shared" si="38"/>
        <v>1</v>
      </c>
      <c r="M2478">
        <f t="shared" si="38"/>
        <v>2</v>
      </c>
      <c r="N2478" t="b">
        <v>0</v>
      </c>
      <c r="O2478">
        <v>0</v>
      </c>
      <c r="Q2478">
        <v>0</v>
      </c>
      <c r="R2478" t="b">
        <v>0</v>
      </c>
    </row>
    <row r="2479" spans="1:18" hidden="1">
      <c r="A2479" t="s">
        <v>24</v>
      </c>
      <c r="B2479" t="s">
        <v>6233</v>
      </c>
      <c r="C2479" t="s">
        <v>6234</v>
      </c>
      <c r="E2479">
        <v>0</v>
      </c>
      <c r="F2479">
        <v>0</v>
      </c>
      <c r="G2479">
        <v>1</v>
      </c>
      <c r="H2479">
        <v>2</v>
      </c>
      <c r="J2479" t="s">
        <v>93</v>
      </c>
      <c r="K2479" t="b">
        <v>1</v>
      </c>
      <c r="L2479">
        <f t="shared" si="38"/>
        <v>1</v>
      </c>
      <c r="M2479">
        <f t="shared" si="38"/>
        <v>2</v>
      </c>
      <c r="N2479" t="b">
        <v>0</v>
      </c>
      <c r="O2479">
        <v>0</v>
      </c>
      <c r="Q2479">
        <v>0</v>
      </c>
      <c r="R2479" t="b">
        <v>0</v>
      </c>
    </row>
    <row r="2480" spans="1:18" hidden="1">
      <c r="A2480" t="s">
        <v>24</v>
      </c>
      <c r="B2480" t="s">
        <v>6235</v>
      </c>
      <c r="C2480" t="s">
        <v>6236</v>
      </c>
      <c r="E2480">
        <v>0</v>
      </c>
      <c r="F2480">
        <v>0</v>
      </c>
      <c r="G2480">
        <v>1</v>
      </c>
      <c r="H2480">
        <v>2</v>
      </c>
      <c r="J2480" t="s">
        <v>93</v>
      </c>
      <c r="K2480" t="b">
        <v>1</v>
      </c>
      <c r="L2480">
        <f t="shared" si="38"/>
        <v>1</v>
      </c>
      <c r="M2480">
        <f t="shared" si="38"/>
        <v>2</v>
      </c>
      <c r="N2480" t="b">
        <v>0</v>
      </c>
      <c r="O2480">
        <v>0</v>
      </c>
      <c r="Q2480">
        <v>0</v>
      </c>
      <c r="R2480" t="b">
        <v>0</v>
      </c>
    </row>
    <row r="2481" spans="1:18" hidden="1">
      <c r="A2481" t="s">
        <v>24</v>
      </c>
      <c r="B2481" t="s">
        <v>6237</v>
      </c>
      <c r="C2481" t="s">
        <v>6238</v>
      </c>
      <c r="E2481">
        <v>0</v>
      </c>
      <c r="F2481">
        <v>0</v>
      </c>
      <c r="G2481">
        <v>1</v>
      </c>
      <c r="H2481">
        <v>2</v>
      </c>
      <c r="J2481" t="s">
        <v>93</v>
      </c>
      <c r="K2481" t="b">
        <v>1</v>
      </c>
      <c r="L2481">
        <f t="shared" si="38"/>
        <v>1</v>
      </c>
      <c r="M2481">
        <f t="shared" si="38"/>
        <v>2</v>
      </c>
      <c r="N2481" t="b">
        <v>0</v>
      </c>
      <c r="O2481">
        <v>0</v>
      </c>
      <c r="Q2481">
        <v>0</v>
      </c>
      <c r="R2481" t="b">
        <v>0</v>
      </c>
    </row>
    <row r="2482" spans="1:18" hidden="1">
      <c r="A2482" t="s">
        <v>24</v>
      </c>
      <c r="B2482" t="s">
        <v>6239</v>
      </c>
      <c r="C2482" t="s">
        <v>6240</v>
      </c>
      <c r="E2482">
        <v>0</v>
      </c>
      <c r="F2482">
        <v>0</v>
      </c>
      <c r="G2482">
        <v>1</v>
      </c>
      <c r="H2482">
        <v>2</v>
      </c>
      <c r="J2482" t="s">
        <v>93</v>
      </c>
      <c r="K2482" t="b">
        <v>1</v>
      </c>
      <c r="L2482">
        <f t="shared" si="38"/>
        <v>1</v>
      </c>
      <c r="M2482">
        <f t="shared" si="38"/>
        <v>2</v>
      </c>
      <c r="N2482" t="b">
        <v>0</v>
      </c>
      <c r="O2482">
        <v>0</v>
      </c>
      <c r="Q2482">
        <v>0</v>
      </c>
      <c r="R2482" t="b">
        <v>0</v>
      </c>
    </row>
    <row r="2483" spans="1:18" hidden="1">
      <c r="A2483" t="s">
        <v>24</v>
      </c>
      <c r="B2483" t="s">
        <v>6241</v>
      </c>
      <c r="C2483" t="s">
        <v>6242</v>
      </c>
      <c r="E2483">
        <v>0</v>
      </c>
      <c r="F2483">
        <v>0</v>
      </c>
      <c r="G2483">
        <v>1</v>
      </c>
      <c r="H2483">
        <v>2</v>
      </c>
      <c r="J2483" t="s">
        <v>93</v>
      </c>
      <c r="K2483" t="b">
        <v>1</v>
      </c>
      <c r="L2483">
        <f t="shared" si="38"/>
        <v>1</v>
      </c>
      <c r="M2483">
        <f t="shared" si="38"/>
        <v>2</v>
      </c>
      <c r="N2483" t="b">
        <v>0</v>
      </c>
      <c r="O2483">
        <v>0</v>
      </c>
      <c r="Q2483">
        <v>0</v>
      </c>
      <c r="R2483" t="b">
        <v>0</v>
      </c>
    </row>
    <row r="2484" spans="1:18">
      <c r="A2484" t="s">
        <v>854</v>
      </c>
      <c r="B2484" t="s">
        <v>6243</v>
      </c>
      <c r="C2484" t="s">
        <v>6244</v>
      </c>
      <c r="E2484">
        <v>0</v>
      </c>
      <c r="F2484">
        <v>0</v>
      </c>
      <c r="G2484">
        <v>1</v>
      </c>
      <c r="H2484">
        <v>2</v>
      </c>
      <c r="J2484" t="s">
        <v>22</v>
      </c>
      <c r="K2484" t="b">
        <v>1</v>
      </c>
      <c r="L2484">
        <f t="shared" si="38"/>
        <v>1</v>
      </c>
      <c r="M2484">
        <f t="shared" si="38"/>
        <v>2</v>
      </c>
      <c r="N2484" t="b">
        <v>0</v>
      </c>
      <c r="O2484">
        <v>1</v>
      </c>
      <c r="P2484" t="s">
        <v>6245</v>
      </c>
      <c r="Q2484">
        <v>2</v>
      </c>
      <c r="R2484" t="b">
        <v>1</v>
      </c>
    </row>
    <row r="2485" spans="1:18">
      <c r="A2485" t="s">
        <v>854</v>
      </c>
      <c r="B2485" t="s">
        <v>6246</v>
      </c>
      <c r="C2485" t="s">
        <v>6247</v>
      </c>
      <c r="E2485">
        <v>0</v>
      </c>
      <c r="F2485">
        <v>0</v>
      </c>
      <c r="G2485">
        <v>1</v>
      </c>
      <c r="H2485">
        <v>2</v>
      </c>
      <c r="J2485" t="s">
        <v>22</v>
      </c>
      <c r="K2485" t="b">
        <v>1</v>
      </c>
      <c r="L2485">
        <f t="shared" si="38"/>
        <v>1</v>
      </c>
      <c r="M2485">
        <f t="shared" si="38"/>
        <v>2</v>
      </c>
      <c r="N2485" t="b">
        <v>0</v>
      </c>
      <c r="O2485">
        <v>1</v>
      </c>
      <c r="P2485" t="s">
        <v>6248</v>
      </c>
      <c r="Q2485">
        <v>2</v>
      </c>
      <c r="R2485" t="b">
        <v>1</v>
      </c>
    </row>
    <row r="2486" spans="1:18">
      <c r="A2486" t="s">
        <v>205</v>
      </c>
      <c r="B2486" t="s">
        <v>6249</v>
      </c>
      <c r="C2486" t="s">
        <v>6250</v>
      </c>
      <c r="E2486">
        <v>0</v>
      </c>
      <c r="F2486">
        <v>0</v>
      </c>
      <c r="G2486">
        <v>1</v>
      </c>
      <c r="H2486">
        <v>2</v>
      </c>
      <c r="J2486" t="s">
        <v>22</v>
      </c>
      <c r="K2486" t="b">
        <v>1</v>
      </c>
      <c r="L2486">
        <f t="shared" si="38"/>
        <v>1</v>
      </c>
      <c r="M2486">
        <f t="shared" si="38"/>
        <v>2</v>
      </c>
      <c r="N2486" t="b">
        <v>0</v>
      </c>
      <c r="O2486">
        <v>1</v>
      </c>
      <c r="P2486" t="s">
        <v>954</v>
      </c>
      <c r="Q2486">
        <v>2</v>
      </c>
      <c r="R2486" t="b">
        <v>1</v>
      </c>
    </row>
    <row r="2487" spans="1:18" hidden="1">
      <c r="A2487" t="s">
        <v>205</v>
      </c>
      <c r="B2487" t="s">
        <v>6251</v>
      </c>
      <c r="C2487" t="s">
        <v>6252</v>
      </c>
      <c r="E2487">
        <v>0</v>
      </c>
      <c r="F2487">
        <v>0</v>
      </c>
      <c r="G2487">
        <v>1</v>
      </c>
      <c r="H2487">
        <v>2</v>
      </c>
      <c r="J2487" t="s">
        <v>999</v>
      </c>
      <c r="K2487" t="b">
        <v>1</v>
      </c>
      <c r="L2487">
        <f t="shared" si="38"/>
        <v>1</v>
      </c>
      <c r="M2487">
        <f t="shared" si="38"/>
        <v>2</v>
      </c>
      <c r="N2487" t="b">
        <v>0</v>
      </c>
      <c r="O2487">
        <v>0.33329999999999999</v>
      </c>
      <c r="P2487" t="s">
        <v>2754</v>
      </c>
      <c r="Q2487">
        <v>2</v>
      </c>
      <c r="R2487" t="b">
        <v>1</v>
      </c>
    </row>
    <row r="2488" spans="1:18">
      <c r="A2488" t="s">
        <v>205</v>
      </c>
      <c r="B2488" t="s">
        <v>6253</v>
      </c>
      <c r="C2488" t="s">
        <v>6254</v>
      </c>
      <c r="E2488">
        <v>0</v>
      </c>
      <c r="F2488">
        <v>0</v>
      </c>
      <c r="G2488">
        <v>1</v>
      </c>
      <c r="H2488">
        <v>2</v>
      </c>
      <c r="J2488" t="s">
        <v>22</v>
      </c>
      <c r="K2488" t="b">
        <v>1</v>
      </c>
      <c r="L2488">
        <f t="shared" si="38"/>
        <v>1</v>
      </c>
      <c r="M2488">
        <f t="shared" si="38"/>
        <v>2</v>
      </c>
      <c r="N2488" t="b">
        <v>0</v>
      </c>
      <c r="O2488">
        <v>0.33329999999999999</v>
      </c>
      <c r="P2488" t="s">
        <v>1775</v>
      </c>
      <c r="Q2488">
        <v>2</v>
      </c>
      <c r="R2488" t="b">
        <v>1</v>
      </c>
    </row>
    <row r="2489" spans="1:18" hidden="1">
      <c r="A2489" t="s">
        <v>59</v>
      </c>
      <c r="B2489" t="s">
        <v>6255</v>
      </c>
      <c r="C2489" t="s">
        <v>6256</v>
      </c>
      <c r="E2489">
        <v>0</v>
      </c>
      <c r="F2489">
        <v>0</v>
      </c>
      <c r="G2489">
        <v>1</v>
      </c>
      <c r="H2489">
        <v>2</v>
      </c>
      <c r="J2489" t="s">
        <v>93</v>
      </c>
      <c r="K2489" t="b">
        <v>1</v>
      </c>
      <c r="L2489">
        <f t="shared" si="38"/>
        <v>1</v>
      </c>
      <c r="M2489">
        <f t="shared" si="38"/>
        <v>2</v>
      </c>
      <c r="N2489" t="b">
        <v>0</v>
      </c>
      <c r="O2489">
        <v>0</v>
      </c>
      <c r="Q2489">
        <v>0</v>
      </c>
      <c r="R2489" t="b">
        <v>0</v>
      </c>
    </row>
    <row r="2490" spans="1:18">
      <c r="A2490" t="s">
        <v>2805</v>
      </c>
      <c r="B2490" t="s">
        <v>6257</v>
      </c>
      <c r="C2490" t="s">
        <v>6258</v>
      </c>
      <c r="E2490">
        <v>0</v>
      </c>
      <c r="F2490">
        <v>0</v>
      </c>
      <c r="G2490">
        <v>1</v>
      </c>
      <c r="H2490">
        <v>2</v>
      </c>
      <c r="J2490" t="s">
        <v>22</v>
      </c>
      <c r="K2490" t="b">
        <v>1</v>
      </c>
      <c r="L2490">
        <f t="shared" si="38"/>
        <v>1</v>
      </c>
      <c r="M2490">
        <f t="shared" si="38"/>
        <v>2</v>
      </c>
      <c r="N2490" t="b">
        <v>0</v>
      </c>
      <c r="O2490">
        <v>1</v>
      </c>
      <c r="P2490" t="s">
        <v>6259</v>
      </c>
      <c r="Q2490">
        <v>2</v>
      </c>
      <c r="R2490" t="b">
        <v>1</v>
      </c>
    </row>
    <row r="2491" spans="1:18" hidden="1">
      <c r="A2491" t="s">
        <v>1712</v>
      </c>
      <c r="B2491" t="s">
        <v>6260</v>
      </c>
      <c r="C2491" t="s">
        <v>6261</v>
      </c>
      <c r="E2491">
        <v>0</v>
      </c>
      <c r="F2491">
        <v>0</v>
      </c>
      <c r="G2491">
        <v>1</v>
      </c>
      <c r="H2491">
        <v>2</v>
      </c>
      <c r="J2491" t="s">
        <v>93</v>
      </c>
      <c r="K2491" t="b">
        <v>0</v>
      </c>
      <c r="L2491">
        <f t="shared" si="38"/>
        <v>1</v>
      </c>
      <c r="M2491">
        <f t="shared" si="38"/>
        <v>2</v>
      </c>
      <c r="N2491" t="b">
        <v>0</v>
      </c>
      <c r="O2491">
        <v>0</v>
      </c>
      <c r="Q2491">
        <v>0</v>
      </c>
      <c r="R2491" t="b">
        <v>0</v>
      </c>
    </row>
    <row r="2492" spans="1:18" hidden="1">
      <c r="A2492" t="s">
        <v>2984</v>
      </c>
      <c r="B2492" t="s">
        <v>6262</v>
      </c>
      <c r="C2492" t="s">
        <v>6263</v>
      </c>
      <c r="E2492">
        <v>1</v>
      </c>
      <c r="F2492">
        <v>2</v>
      </c>
      <c r="G2492">
        <v>0</v>
      </c>
      <c r="H2492">
        <v>0</v>
      </c>
      <c r="J2492" t="s">
        <v>93</v>
      </c>
      <c r="K2492" t="b">
        <v>0</v>
      </c>
      <c r="L2492">
        <f t="shared" si="38"/>
        <v>1</v>
      </c>
      <c r="M2492">
        <f t="shared" si="38"/>
        <v>2</v>
      </c>
      <c r="N2492" t="b">
        <v>0</v>
      </c>
      <c r="O2492">
        <v>0</v>
      </c>
      <c r="Q2492">
        <v>0</v>
      </c>
      <c r="R2492" t="b">
        <v>0</v>
      </c>
    </row>
    <row r="2493" spans="1:18" hidden="1">
      <c r="A2493" t="s">
        <v>2919</v>
      </c>
      <c r="B2493" t="s">
        <v>6264</v>
      </c>
      <c r="C2493" t="s">
        <v>6265</v>
      </c>
      <c r="E2493">
        <v>0</v>
      </c>
      <c r="F2493">
        <v>0</v>
      </c>
      <c r="G2493">
        <v>1</v>
      </c>
      <c r="H2493">
        <v>2</v>
      </c>
      <c r="J2493" t="s">
        <v>93</v>
      </c>
      <c r="K2493" t="b">
        <v>0</v>
      </c>
      <c r="L2493">
        <f t="shared" si="38"/>
        <v>1</v>
      </c>
      <c r="M2493">
        <f t="shared" si="38"/>
        <v>2</v>
      </c>
      <c r="N2493" t="b">
        <v>0</v>
      </c>
      <c r="O2493">
        <v>0</v>
      </c>
      <c r="Q2493">
        <v>0</v>
      </c>
      <c r="R2493" t="b">
        <v>0</v>
      </c>
    </row>
    <row r="2494" spans="1:18" hidden="1">
      <c r="A2494" t="s">
        <v>2919</v>
      </c>
      <c r="B2494" t="s">
        <v>6266</v>
      </c>
      <c r="C2494" t="s">
        <v>6267</v>
      </c>
      <c r="E2494">
        <v>0</v>
      </c>
      <c r="F2494">
        <v>0</v>
      </c>
      <c r="G2494">
        <v>1</v>
      </c>
      <c r="H2494">
        <v>2</v>
      </c>
      <c r="J2494" t="s">
        <v>93</v>
      </c>
      <c r="K2494" t="b">
        <v>0</v>
      </c>
      <c r="L2494">
        <f t="shared" si="38"/>
        <v>1</v>
      </c>
      <c r="M2494">
        <f t="shared" si="38"/>
        <v>2</v>
      </c>
      <c r="N2494" t="b">
        <v>0</v>
      </c>
      <c r="O2494">
        <v>0</v>
      </c>
      <c r="Q2494">
        <v>0</v>
      </c>
      <c r="R2494" t="b">
        <v>0</v>
      </c>
    </row>
    <row r="2495" spans="1:18" hidden="1">
      <c r="A2495" t="s">
        <v>115</v>
      </c>
      <c r="B2495" t="s">
        <v>6268</v>
      </c>
      <c r="C2495" t="s">
        <v>6269</v>
      </c>
      <c r="E2495">
        <v>1</v>
      </c>
      <c r="F2495">
        <v>0</v>
      </c>
      <c r="G2495">
        <v>0</v>
      </c>
      <c r="H2495">
        <v>0</v>
      </c>
      <c r="J2495" t="s">
        <v>93</v>
      </c>
      <c r="K2495" t="b">
        <v>1</v>
      </c>
      <c r="L2495">
        <f t="shared" si="38"/>
        <v>1</v>
      </c>
      <c r="M2495">
        <f t="shared" si="38"/>
        <v>0</v>
      </c>
      <c r="N2495" t="b">
        <v>0</v>
      </c>
      <c r="O2495">
        <v>0</v>
      </c>
      <c r="Q2495">
        <v>0</v>
      </c>
      <c r="R2495" t="b">
        <v>0</v>
      </c>
    </row>
    <row r="2496" spans="1:18" hidden="1">
      <c r="A2496" t="s">
        <v>3511</v>
      </c>
      <c r="B2496" t="s">
        <v>6270</v>
      </c>
      <c r="C2496" t="s">
        <v>6271</v>
      </c>
      <c r="E2496">
        <v>1</v>
      </c>
      <c r="F2496">
        <v>2</v>
      </c>
      <c r="G2496">
        <v>0</v>
      </c>
      <c r="H2496">
        <v>0</v>
      </c>
      <c r="J2496" t="s">
        <v>93</v>
      </c>
      <c r="K2496" t="b">
        <v>0</v>
      </c>
      <c r="L2496">
        <f t="shared" si="38"/>
        <v>1</v>
      </c>
      <c r="M2496">
        <f t="shared" si="38"/>
        <v>2</v>
      </c>
      <c r="N2496" t="b">
        <v>0</v>
      </c>
      <c r="O2496">
        <v>0</v>
      </c>
      <c r="Q2496">
        <v>0</v>
      </c>
      <c r="R2496" t="b">
        <v>0</v>
      </c>
    </row>
    <row r="2497" spans="1:18">
      <c r="A2497" t="s">
        <v>30</v>
      </c>
      <c r="B2497" t="s">
        <v>6272</v>
      </c>
      <c r="C2497" t="s">
        <v>6273</v>
      </c>
      <c r="E2497">
        <v>1</v>
      </c>
      <c r="F2497">
        <v>0</v>
      </c>
      <c r="G2497">
        <v>0</v>
      </c>
      <c r="H2497">
        <v>0</v>
      </c>
      <c r="J2497" t="s">
        <v>22</v>
      </c>
      <c r="K2497" t="b">
        <v>1</v>
      </c>
      <c r="L2497">
        <f t="shared" si="38"/>
        <v>1</v>
      </c>
      <c r="M2497">
        <f t="shared" si="38"/>
        <v>0</v>
      </c>
      <c r="N2497" t="b">
        <v>0</v>
      </c>
      <c r="O2497">
        <v>1</v>
      </c>
      <c r="P2497" t="s">
        <v>6274</v>
      </c>
      <c r="Q2497">
        <v>2</v>
      </c>
      <c r="R2497" t="b">
        <v>1</v>
      </c>
    </row>
    <row r="2498" spans="1:18">
      <c r="A2498" t="s">
        <v>5430</v>
      </c>
      <c r="B2498" t="s">
        <v>6275</v>
      </c>
      <c r="C2498" t="s">
        <v>6276</v>
      </c>
      <c r="E2498">
        <v>0</v>
      </c>
      <c r="F2498">
        <v>0</v>
      </c>
      <c r="G2498">
        <v>1</v>
      </c>
      <c r="H2498">
        <v>2</v>
      </c>
      <c r="J2498" t="s">
        <v>22</v>
      </c>
      <c r="K2498" t="b">
        <v>1</v>
      </c>
      <c r="L2498">
        <f t="shared" si="38"/>
        <v>1</v>
      </c>
      <c r="M2498">
        <f t="shared" si="38"/>
        <v>2</v>
      </c>
      <c r="N2498" t="b">
        <v>0</v>
      </c>
      <c r="O2498">
        <v>1</v>
      </c>
      <c r="P2498" t="s">
        <v>6277</v>
      </c>
      <c r="Q2498">
        <v>2</v>
      </c>
      <c r="R2498" t="b">
        <v>1</v>
      </c>
    </row>
    <row r="2499" spans="1:18">
      <c r="A2499" t="s">
        <v>1334</v>
      </c>
      <c r="B2499" t="s">
        <v>6278</v>
      </c>
      <c r="C2499" t="s">
        <v>6279</v>
      </c>
      <c r="E2499">
        <v>0</v>
      </c>
      <c r="F2499">
        <v>0</v>
      </c>
      <c r="G2499">
        <v>1</v>
      </c>
      <c r="H2499">
        <v>2</v>
      </c>
      <c r="J2499" t="s">
        <v>22</v>
      </c>
      <c r="K2499" t="b">
        <v>1</v>
      </c>
      <c r="L2499">
        <f t="shared" ref="L2499:M2562" si="39">E2499+G2499</f>
        <v>1</v>
      </c>
      <c r="M2499">
        <f t="shared" si="39"/>
        <v>2</v>
      </c>
      <c r="N2499" t="b">
        <v>0</v>
      </c>
      <c r="O2499">
        <v>1</v>
      </c>
      <c r="P2499" t="s">
        <v>6280</v>
      </c>
      <c r="Q2499">
        <v>1</v>
      </c>
      <c r="R2499" t="b">
        <v>1</v>
      </c>
    </row>
    <row r="2500" spans="1:18" hidden="1">
      <c r="A2500" t="s">
        <v>1227</v>
      </c>
      <c r="B2500" t="s">
        <v>6281</v>
      </c>
      <c r="C2500" t="s">
        <v>6282</v>
      </c>
      <c r="E2500">
        <v>0</v>
      </c>
      <c r="F2500">
        <v>0</v>
      </c>
      <c r="G2500">
        <v>1</v>
      </c>
      <c r="H2500">
        <v>2</v>
      </c>
      <c r="J2500" t="s">
        <v>93</v>
      </c>
      <c r="K2500" t="b">
        <v>0</v>
      </c>
      <c r="L2500">
        <f t="shared" si="39"/>
        <v>1</v>
      </c>
      <c r="M2500">
        <f t="shared" si="39"/>
        <v>2</v>
      </c>
      <c r="N2500" t="b">
        <v>0</v>
      </c>
      <c r="O2500">
        <v>0</v>
      </c>
      <c r="Q2500">
        <v>0</v>
      </c>
      <c r="R2500" t="b">
        <v>0</v>
      </c>
    </row>
    <row r="2501" spans="1:18" hidden="1">
      <c r="A2501" t="s">
        <v>4041</v>
      </c>
      <c r="B2501" t="s">
        <v>6283</v>
      </c>
      <c r="C2501" t="s">
        <v>6284</v>
      </c>
      <c r="E2501">
        <v>0</v>
      </c>
      <c r="F2501">
        <v>0</v>
      </c>
      <c r="G2501">
        <v>1</v>
      </c>
      <c r="H2501">
        <v>2</v>
      </c>
      <c r="J2501" t="s">
        <v>93</v>
      </c>
      <c r="K2501" t="b">
        <v>0</v>
      </c>
      <c r="L2501">
        <f t="shared" si="39"/>
        <v>1</v>
      </c>
      <c r="M2501">
        <f t="shared" si="39"/>
        <v>2</v>
      </c>
      <c r="N2501" t="b">
        <v>0</v>
      </c>
      <c r="O2501">
        <v>0</v>
      </c>
      <c r="Q2501">
        <v>0</v>
      </c>
      <c r="R2501" t="b">
        <v>0</v>
      </c>
    </row>
    <row r="2502" spans="1:18" hidden="1">
      <c r="A2502" t="s">
        <v>4041</v>
      </c>
      <c r="B2502" t="s">
        <v>6285</v>
      </c>
      <c r="C2502" t="s">
        <v>6286</v>
      </c>
      <c r="E2502">
        <v>0</v>
      </c>
      <c r="F2502">
        <v>0</v>
      </c>
      <c r="G2502">
        <v>1</v>
      </c>
      <c r="H2502">
        <v>2</v>
      </c>
      <c r="J2502" t="s">
        <v>93</v>
      </c>
      <c r="K2502" t="b">
        <v>0</v>
      </c>
      <c r="L2502">
        <f t="shared" si="39"/>
        <v>1</v>
      </c>
      <c r="M2502">
        <f t="shared" si="39"/>
        <v>2</v>
      </c>
      <c r="N2502" t="b">
        <v>0</v>
      </c>
      <c r="O2502">
        <v>0</v>
      </c>
      <c r="Q2502">
        <v>0</v>
      </c>
      <c r="R2502" t="b">
        <v>0</v>
      </c>
    </row>
    <row r="2503" spans="1:18" hidden="1">
      <c r="A2503" t="s">
        <v>4041</v>
      </c>
      <c r="B2503" t="s">
        <v>6287</v>
      </c>
      <c r="C2503" t="s">
        <v>6288</v>
      </c>
      <c r="E2503">
        <v>0</v>
      </c>
      <c r="F2503">
        <v>0</v>
      </c>
      <c r="G2503">
        <v>1</v>
      </c>
      <c r="H2503">
        <v>2</v>
      </c>
      <c r="J2503" t="s">
        <v>93</v>
      </c>
      <c r="K2503" t="b">
        <v>0</v>
      </c>
      <c r="L2503">
        <f t="shared" si="39"/>
        <v>1</v>
      </c>
      <c r="M2503">
        <f t="shared" si="39"/>
        <v>2</v>
      </c>
      <c r="N2503" t="b">
        <v>0</v>
      </c>
      <c r="O2503">
        <v>0</v>
      </c>
      <c r="Q2503">
        <v>0</v>
      </c>
      <c r="R2503" t="b">
        <v>0</v>
      </c>
    </row>
    <row r="2504" spans="1:18" hidden="1">
      <c r="A2504" t="s">
        <v>3810</v>
      </c>
      <c r="B2504" t="s">
        <v>6289</v>
      </c>
      <c r="C2504" t="s">
        <v>6290</v>
      </c>
      <c r="E2504">
        <v>0</v>
      </c>
      <c r="F2504">
        <v>0</v>
      </c>
      <c r="G2504">
        <v>1</v>
      </c>
      <c r="H2504">
        <v>2</v>
      </c>
      <c r="J2504" t="s">
        <v>93</v>
      </c>
      <c r="K2504" t="b">
        <v>0</v>
      </c>
      <c r="L2504">
        <f t="shared" si="39"/>
        <v>1</v>
      </c>
      <c r="M2504">
        <f t="shared" si="39"/>
        <v>2</v>
      </c>
      <c r="N2504" t="b">
        <v>0</v>
      </c>
      <c r="O2504">
        <v>0</v>
      </c>
      <c r="Q2504">
        <v>0</v>
      </c>
      <c r="R2504" t="b">
        <v>0</v>
      </c>
    </row>
    <row r="2505" spans="1:18" hidden="1">
      <c r="A2505" t="s">
        <v>192</v>
      </c>
      <c r="B2505" t="s">
        <v>6291</v>
      </c>
      <c r="C2505" t="s">
        <v>6292</v>
      </c>
      <c r="E2505">
        <v>1</v>
      </c>
      <c r="F2505">
        <v>0</v>
      </c>
      <c r="G2505">
        <v>0</v>
      </c>
      <c r="H2505">
        <v>0</v>
      </c>
      <c r="J2505" t="s">
        <v>93</v>
      </c>
      <c r="K2505" t="b">
        <v>1</v>
      </c>
      <c r="L2505">
        <f t="shared" si="39"/>
        <v>1</v>
      </c>
      <c r="M2505">
        <f t="shared" si="39"/>
        <v>0</v>
      </c>
      <c r="N2505" t="b">
        <v>0</v>
      </c>
      <c r="O2505">
        <v>0</v>
      </c>
      <c r="Q2505">
        <v>0</v>
      </c>
      <c r="R2505" t="b">
        <v>0</v>
      </c>
    </row>
    <row r="2506" spans="1:18" hidden="1">
      <c r="A2506" t="s">
        <v>192</v>
      </c>
      <c r="B2506" t="s">
        <v>6293</v>
      </c>
      <c r="C2506" t="s">
        <v>6294</v>
      </c>
      <c r="E2506">
        <v>1</v>
      </c>
      <c r="F2506">
        <v>0</v>
      </c>
      <c r="G2506">
        <v>0</v>
      </c>
      <c r="H2506">
        <v>0</v>
      </c>
      <c r="J2506" t="s">
        <v>93</v>
      </c>
      <c r="K2506" t="b">
        <v>1</v>
      </c>
      <c r="L2506">
        <f t="shared" si="39"/>
        <v>1</v>
      </c>
      <c r="M2506">
        <f t="shared" si="39"/>
        <v>0</v>
      </c>
      <c r="N2506" t="b">
        <v>0</v>
      </c>
      <c r="O2506">
        <v>0</v>
      </c>
      <c r="Q2506">
        <v>0</v>
      </c>
      <c r="R2506" t="b">
        <v>0</v>
      </c>
    </row>
    <row r="2507" spans="1:18">
      <c r="A2507" t="s">
        <v>1384</v>
      </c>
      <c r="B2507" t="s">
        <v>6295</v>
      </c>
      <c r="C2507" t="s">
        <v>6296</v>
      </c>
      <c r="E2507">
        <v>0</v>
      </c>
      <c r="F2507">
        <v>0</v>
      </c>
      <c r="G2507">
        <v>1</v>
      </c>
      <c r="H2507">
        <v>2</v>
      </c>
      <c r="J2507" t="s">
        <v>22</v>
      </c>
      <c r="K2507" t="b">
        <v>1</v>
      </c>
      <c r="L2507">
        <f t="shared" si="39"/>
        <v>1</v>
      </c>
      <c r="M2507">
        <f t="shared" si="39"/>
        <v>2</v>
      </c>
      <c r="N2507" t="b">
        <v>0</v>
      </c>
      <c r="O2507">
        <v>1</v>
      </c>
      <c r="P2507" t="s">
        <v>6297</v>
      </c>
      <c r="Q2507">
        <v>2</v>
      </c>
      <c r="R2507" t="b">
        <v>1</v>
      </c>
    </row>
    <row r="2508" spans="1:18" hidden="1">
      <c r="A2508" t="s">
        <v>192</v>
      </c>
      <c r="B2508" t="s">
        <v>6298</v>
      </c>
      <c r="C2508" t="s">
        <v>6299</v>
      </c>
      <c r="E2508">
        <v>1</v>
      </c>
      <c r="F2508">
        <v>0</v>
      </c>
      <c r="G2508">
        <v>0</v>
      </c>
      <c r="H2508">
        <v>0</v>
      </c>
      <c r="J2508" t="s">
        <v>93</v>
      </c>
      <c r="K2508" t="b">
        <v>1</v>
      </c>
      <c r="L2508">
        <f t="shared" si="39"/>
        <v>1</v>
      </c>
      <c r="M2508">
        <f t="shared" si="39"/>
        <v>0</v>
      </c>
      <c r="N2508" t="b">
        <v>0</v>
      </c>
      <c r="O2508">
        <v>0</v>
      </c>
      <c r="Q2508">
        <v>0</v>
      </c>
      <c r="R2508" t="b">
        <v>0</v>
      </c>
    </row>
    <row r="2509" spans="1:18" hidden="1">
      <c r="A2509" t="s">
        <v>192</v>
      </c>
      <c r="B2509" t="s">
        <v>6300</v>
      </c>
      <c r="C2509" t="s">
        <v>6301</v>
      </c>
      <c r="E2509">
        <v>1</v>
      </c>
      <c r="F2509">
        <v>0</v>
      </c>
      <c r="G2509">
        <v>0</v>
      </c>
      <c r="H2509">
        <v>0</v>
      </c>
      <c r="J2509" t="s">
        <v>93</v>
      </c>
      <c r="K2509" t="b">
        <v>1</v>
      </c>
      <c r="L2509">
        <f t="shared" si="39"/>
        <v>1</v>
      </c>
      <c r="M2509">
        <f t="shared" si="39"/>
        <v>0</v>
      </c>
      <c r="N2509" t="b">
        <v>0</v>
      </c>
      <c r="O2509">
        <v>0</v>
      </c>
      <c r="Q2509">
        <v>0</v>
      </c>
      <c r="R2509" t="b">
        <v>0</v>
      </c>
    </row>
    <row r="2510" spans="1:18" hidden="1">
      <c r="A2510" t="s">
        <v>192</v>
      </c>
      <c r="B2510" t="s">
        <v>6302</v>
      </c>
      <c r="C2510" t="s">
        <v>6303</v>
      </c>
      <c r="E2510">
        <v>1</v>
      </c>
      <c r="F2510">
        <v>0</v>
      </c>
      <c r="G2510">
        <v>0</v>
      </c>
      <c r="H2510">
        <v>0</v>
      </c>
      <c r="J2510" t="s">
        <v>93</v>
      </c>
      <c r="K2510" t="b">
        <v>1</v>
      </c>
      <c r="L2510">
        <f t="shared" si="39"/>
        <v>1</v>
      </c>
      <c r="M2510">
        <f t="shared" si="39"/>
        <v>0</v>
      </c>
      <c r="N2510" t="b">
        <v>0</v>
      </c>
      <c r="O2510">
        <v>0</v>
      </c>
      <c r="Q2510">
        <v>0</v>
      </c>
      <c r="R2510" t="b">
        <v>0</v>
      </c>
    </row>
    <row r="2511" spans="1:18">
      <c r="A2511" t="s">
        <v>115</v>
      </c>
      <c r="B2511" t="s">
        <v>6304</v>
      </c>
      <c r="C2511" t="s">
        <v>6305</v>
      </c>
      <c r="E2511">
        <v>0</v>
      </c>
      <c r="F2511">
        <v>0</v>
      </c>
      <c r="G2511">
        <v>1</v>
      </c>
      <c r="H2511">
        <v>2</v>
      </c>
      <c r="J2511" t="s">
        <v>22</v>
      </c>
      <c r="K2511" t="b">
        <v>1</v>
      </c>
      <c r="L2511">
        <f t="shared" si="39"/>
        <v>1</v>
      </c>
      <c r="M2511">
        <f t="shared" si="39"/>
        <v>2</v>
      </c>
      <c r="N2511" t="b">
        <v>0</v>
      </c>
      <c r="O2511">
        <v>1</v>
      </c>
      <c r="P2511" t="s">
        <v>6306</v>
      </c>
      <c r="Q2511">
        <v>2</v>
      </c>
      <c r="R2511" t="b">
        <v>1</v>
      </c>
    </row>
    <row r="2512" spans="1:18" hidden="1">
      <c r="A2512" t="s">
        <v>115</v>
      </c>
      <c r="B2512" t="s">
        <v>6307</v>
      </c>
      <c r="C2512" t="s">
        <v>6308</v>
      </c>
      <c r="E2512">
        <v>0</v>
      </c>
      <c r="F2512">
        <v>0</v>
      </c>
      <c r="G2512">
        <v>1</v>
      </c>
      <c r="H2512">
        <v>2</v>
      </c>
      <c r="J2512" t="s">
        <v>93</v>
      </c>
      <c r="K2512" t="b">
        <v>1</v>
      </c>
      <c r="L2512">
        <f t="shared" si="39"/>
        <v>1</v>
      </c>
      <c r="M2512">
        <f t="shared" si="39"/>
        <v>2</v>
      </c>
      <c r="N2512" t="b">
        <v>0</v>
      </c>
      <c r="O2512">
        <v>0</v>
      </c>
      <c r="Q2512">
        <v>0</v>
      </c>
      <c r="R2512" t="b">
        <v>0</v>
      </c>
    </row>
    <row r="2513" spans="1:18">
      <c r="A2513" t="s">
        <v>545</v>
      </c>
      <c r="B2513" t="s">
        <v>6309</v>
      </c>
      <c r="C2513" t="s">
        <v>6310</v>
      </c>
      <c r="E2513">
        <v>0</v>
      </c>
      <c r="F2513">
        <v>0</v>
      </c>
      <c r="G2513">
        <v>1</v>
      </c>
      <c r="H2513">
        <v>2</v>
      </c>
      <c r="J2513" t="s">
        <v>22</v>
      </c>
      <c r="K2513" t="b">
        <v>1</v>
      </c>
      <c r="L2513">
        <f t="shared" si="39"/>
        <v>1</v>
      </c>
      <c r="M2513">
        <f t="shared" si="39"/>
        <v>2</v>
      </c>
      <c r="N2513" t="b">
        <v>0</v>
      </c>
      <c r="O2513">
        <v>1</v>
      </c>
      <c r="P2513" t="s">
        <v>6311</v>
      </c>
      <c r="Q2513">
        <v>2</v>
      </c>
      <c r="R2513" t="b">
        <v>1</v>
      </c>
    </row>
    <row r="2514" spans="1:18" hidden="1">
      <c r="A2514" t="s">
        <v>545</v>
      </c>
      <c r="B2514" t="s">
        <v>6312</v>
      </c>
      <c r="C2514" t="s">
        <v>6313</v>
      </c>
      <c r="E2514">
        <v>0</v>
      </c>
      <c r="F2514">
        <v>0</v>
      </c>
      <c r="G2514">
        <v>1</v>
      </c>
      <c r="H2514">
        <v>2</v>
      </c>
      <c r="J2514" t="s">
        <v>93</v>
      </c>
      <c r="K2514" t="b">
        <v>1</v>
      </c>
      <c r="L2514">
        <f t="shared" si="39"/>
        <v>1</v>
      </c>
      <c r="M2514">
        <f t="shared" si="39"/>
        <v>2</v>
      </c>
      <c r="N2514" t="b">
        <v>0</v>
      </c>
      <c r="O2514">
        <v>0</v>
      </c>
      <c r="Q2514">
        <v>0</v>
      </c>
      <c r="R2514" t="b">
        <v>0</v>
      </c>
    </row>
    <row r="2515" spans="1:18" hidden="1">
      <c r="A2515" t="s">
        <v>1929</v>
      </c>
      <c r="B2515" t="s">
        <v>6314</v>
      </c>
      <c r="C2515" s="2" t="s">
        <v>6315</v>
      </c>
      <c r="D2515" s="2"/>
      <c r="E2515">
        <v>0</v>
      </c>
      <c r="F2515">
        <v>0</v>
      </c>
      <c r="G2515">
        <v>1</v>
      </c>
      <c r="H2515">
        <v>1</v>
      </c>
      <c r="J2515" t="s">
        <v>93</v>
      </c>
      <c r="K2515" t="b">
        <v>1</v>
      </c>
      <c r="L2515">
        <f t="shared" si="39"/>
        <v>1</v>
      </c>
      <c r="M2515">
        <f t="shared" si="39"/>
        <v>1</v>
      </c>
      <c r="N2515" t="b">
        <v>0</v>
      </c>
      <c r="O2515">
        <v>0</v>
      </c>
      <c r="Q2515">
        <v>0</v>
      </c>
      <c r="R2515" t="b">
        <v>0</v>
      </c>
    </row>
    <row r="2516" spans="1:18">
      <c r="A2516" t="s">
        <v>1929</v>
      </c>
      <c r="B2516" t="s">
        <v>6316</v>
      </c>
      <c r="C2516" t="s">
        <v>6317</v>
      </c>
      <c r="E2516">
        <v>0</v>
      </c>
      <c r="F2516">
        <v>0</v>
      </c>
      <c r="G2516">
        <v>1</v>
      </c>
      <c r="H2516">
        <v>1</v>
      </c>
      <c r="J2516" t="s">
        <v>22</v>
      </c>
      <c r="K2516" t="b">
        <v>1</v>
      </c>
      <c r="L2516">
        <f t="shared" si="39"/>
        <v>1</v>
      </c>
      <c r="M2516">
        <f t="shared" si="39"/>
        <v>1</v>
      </c>
      <c r="N2516" t="b">
        <v>0</v>
      </c>
      <c r="O2516">
        <v>1</v>
      </c>
      <c r="P2516" t="s">
        <v>6318</v>
      </c>
      <c r="Q2516">
        <v>2</v>
      </c>
      <c r="R2516" t="b">
        <v>1</v>
      </c>
    </row>
    <row r="2517" spans="1:18">
      <c r="A2517" t="s">
        <v>1191</v>
      </c>
      <c r="B2517" t="s">
        <v>6319</v>
      </c>
      <c r="C2517" t="s">
        <v>6320</v>
      </c>
      <c r="E2517">
        <v>0</v>
      </c>
      <c r="F2517">
        <v>0</v>
      </c>
      <c r="G2517">
        <v>1</v>
      </c>
      <c r="H2517">
        <v>1</v>
      </c>
      <c r="J2517" t="s">
        <v>22</v>
      </c>
      <c r="K2517" t="b">
        <v>1</v>
      </c>
      <c r="L2517">
        <f t="shared" si="39"/>
        <v>1</v>
      </c>
      <c r="M2517">
        <f t="shared" si="39"/>
        <v>1</v>
      </c>
      <c r="N2517" t="b">
        <v>0</v>
      </c>
      <c r="O2517">
        <v>1</v>
      </c>
      <c r="P2517" t="s">
        <v>6321</v>
      </c>
      <c r="Q2517">
        <v>2</v>
      </c>
      <c r="R2517" t="b">
        <v>1</v>
      </c>
    </row>
    <row r="2518" spans="1:18" hidden="1">
      <c r="A2518" t="s">
        <v>768</v>
      </c>
      <c r="B2518" t="s">
        <v>6322</v>
      </c>
      <c r="C2518" t="s">
        <v>6323</v>
      </c>
      <c r="E2518">
        <v>0</v>
      </c>
      <c r="F2518">
        <v>0</v>
      </c>
      <c r="G2518">
        <v>1</v>
      </c>
      <c r="H2518">
        <v>1</v>
      </c>
      <c r="J2518" t="s">
        <v>93</v>
      </c>
      <c r="K2518" t="b">
        <v>0</v>
      </c>
      <c r="L2518">
        <f t="shared" si="39"/>
        <v>1</v>
      </c>
      <c r="M2518">
        <f t="shared" si="39"/>
        <v>1</v>
      </c>
      <c r="N2518" t="b">
        <v>0</v>
      </c>
      <c r="O2518">
        <v>0</v>
      </c>
      <c r="Q2518">
        <v>0</v>
      </c>
      <c r="R2518" t="b">
        <v>0</v>
      </c>
    </row>
    <row r="2519" spans="1:18" hidden="1">
      <c r="A2519" t="s">
        <v>5807</v>
      </c>
      <c r="B2519" t="s">
        <v>6324</v>
      </c>
      <c r="C2519" t="s">
        <v>6325</v>
      </c>
      <c r="E2519">
        <v>0</v>
      </c>
      <c r="F2519">
        <v>0</v>
      </c>
      <c r="G2519">
        <v>1</v>
      </c>
      <c r="H2519">
        <v>1</v>
      </c>
      <c r="J2519" t="s">
        <v>93</v>
      </c>
      <c r="K2519" t="b">
        <v>0</v>
      </c>
      <c r="L2519">
        <f t="shared" si="39"/>
        <v>1</v>
      </c>
      <c r="M2519">
        <f t="shared" si="39"/>
        <v>1</v>
      </c>
      <c r="N2519" t="b">
        <v>0</v>
      </c>
      <c r="O2519">
        <v>0</v>
      </c>
      <c r="Q2519">
        <v>0</v>
      </c>
      <c r="R2519" t="b">
        <v>0</v>
      </c>
    </row>
    <row r="2520" spans="1:18" hidden="1">
      <c r="A2520" t="s">
        <v>5807</v>
      </c>
      <c r="B2520" t="s">
        <v>6326</v>
      </c>
      <c r="C2520" t="s">
        <v>6327</v>
      </c>
      <c r="E2520">
        <v>0</v>
      </c>
      <c r="F2520">
        <v>0</v>
      </c>
      <c r="G2520">
        <v>1</v>
      </c>
      <c r="H2520">
        <v>1</v>
      </c>
      <c r="J2520" t="s">
        <v>93</v>
      </c>
      <c r="K2520" t="b">
        <v>0</v>
      </c>
      <c r="L2520">
        <f t="shared" si="39"/>
        <v>1</v>
      </c>
      <c r="M2520">
        <f t="shared" si="39"/>
        <v>1</v>
      </c>
      <c r="N2520" t="b">
        <v>0</v>
      </c>
      <c r="O2520">
        <v>0</v>
      </c>
      <c r="Q2520">
        <v>0</v>
      </c>
      <c r="R2520" t="b">
        <v>0</v>
      </c>
    </row>
    <row r="2521" spans="1:18" hidden="1">
      <c r="A2521" t="s">
        <v>5807</v>
      </c>
      <c r="B2521" t="s">
        <v>6328</v>
      </c>
      <c r="C2521" t="s">
        <v>6329</v>
      </c>
      <c r="E2521">
        <v>1</v>
      </c>
      <c r="F2521">
        <v>1</v>
      </c>
      <c r="G2521">
        <v>0</v>
      </c>
      <c r="H2521">
        <v>0</v>
      </c>
      <c r="J2521" t="s">
        <v>93</v>
      </c>
      <c r="K2521" t="b">
        <v>0</v>
      </c>
      <c r="L2521">
        <f t="shared" si="39"/>
        <v>1</v>
      </c>
      <c r="M2521">
        <f t="shared" si="39"/>
        <v>1</v>
      </c>
      <c r="N2521" t="b">
        <v>0</v>
      </c>
      <c r="O2521">
        <v>0</v>
      </c>
      <c r="Q2521">
        <v>0</v>
      </c>
      <c r="R2521" t="b">
        <v>0</v>
      </c>
    </row>
    <row r="2522" spans="1:18" hidden="1">
      <c r="A2522" t="s">
        <v>4834</v>
      </c>
      <c r="B2522" t="s">
        <v>6330</v>
      </c>
      <c r="C2522" t="s">
        <v>6331</v>
      </c>
      <c r="E2522">
        <v>0</v>
      </c>
      <c r="F2522">
        <v>0</v>
      </c>
      <c r="G2522">
        <v>1</v>
      </c>
      <c r="H2522">
        <v>1</v>
      </c>
      <c r="J2522" t="s">
        <v>93</v>
      </c>
      <c r="K2522" t="b">
        <v>0</v>
      </c>
      <c r="L2522">
        <f t="shared" si="39"/>
        <v>1</v>
      </c>
      <c r="M2522">
        <f t="shared" si="39"/>
        <v>1</v>
      </c>
      <c r="N2522" t="b">
        <v>0</v>
      </c>
      <c r="O2522">
        <v>0</v>
      </c>
      <c r="Q2522">
        <v>0</v>
      </c>
      <c r="R2522" t="b">
        <v>0</v>
      </c>
    </row>
    <row r="2523" spans="1:18" hidden="1">
      <c r="A2523" t="s">
        <v>4834</v>
      </c>
      <c r="B2523" t="s">
        <v>6332</v>
      </c>
      <c r="C2523" t="s">
        <v>6333</v>
      </c>
      <c r="E2523">
        <v>0</v>
      </c>
      <c r="F2523">
        <v>0</v>
      </c>
      <c r="G2523">
        <v>1</v>
      </c>
      <c r="H2523">
        <v>1</v>
      </c>
      <c r="J2523" t="s">
        <v>93</v>
      </c>
      <c r="K2523" t="b">
        <v>0</v>
      </c>
      <c r="L2523">
        <f t="shared" si="39"/>
        <v>1</v>
      </c>
      <c r="M2523">
        <f t="shared" si="39"/>
        <v>1</v>
      </c>
      <c r="N2523" t="b">
        <v>0</v>
      </c>
      <c r="O2523">
        <v>0</v>
      </c>
      <c r="Q2523">
        <v>0</v>
      </c>
      <c r="R2523" t="b">
        <v>0</v>
      </c>
    </row>
    <row r="2524" spans="1:18" hidden="1">
      <c r="A2524" t="s">
        <v>4834</v>
      </c>
      <c r="B2524" t="s">
        <v>6334</v>
      </c>
      <c r="C2524" t="s">
        <v>6335</v>
      </c>
      <c r="E2524">
        <v>1</v>
      </c>
      <c r="F2524">
        <v>1</v>
      </c>
      <c r="G2524">
        <v>0</v>
      </c>
      <c r="H2524">
        <v>0</v>
      </c>
      <c r="J2524" t="s">
        <v>93</v>
      </c>
      <c r="K2524" t="b">
        <v>0</v>
      </c>
      <c r="L2524">
        <f t="shared" si="39"/>
        <v>1</v>
      </c>
      <c r="M2524">
        <f t="shared" si="39"/>
        <v>1</v>
      </c>
      <c r="N2524" t="b">
        <v>0</v>
      </c>
      <c r="O2524">
        <v>0</v>
      </c>
      <c r="Q2524">
        <v>0</v>
      </c>
      <c r="R2524" t="b">
        <v>0</v>
      </c>
    </row>
    <row r="2525" spans="1:18" hidden="1">
      <c r="A2525" t="s">
        <v>4834</v>
      </c>
      <c r="B2525" t="s">
        <v>6336</v>
      </c>
      <c r="C2525" s="2" t="s">
        <v>6337</v>
      </c>
      <c r="D2525" s="2"/>
      <c r="E2525">
        <v>1</v>
      </c>
      <c r="F2525">
        <v>1</v>
      </c>
      <c r="G2525">
        <v>0</v>
      </c>
      <c r="H2525">
        <v>0</v>
      </c>
      <c r="J2525" t="s">
        <v>93</v>
      </c>
      <c r="K2525" t="b">
        <v>0</v>
      </c>
      <c r="L2525">
        <f t="shared" si="39"/>
        <v>1</v>
      </c>
      <c r="M2525">
        <f t="shared" si="39"/>
        <v>1</v>
      </c>
      <c r="N2525" t="b">
        <v>0</v>
      </c>
      <c r="O2525">
        <v>0</v>
      </c>
      <c r="Q2525">
        <v>0</v>
      </c>
      <c r="R2525" t="b">
        <v>0</v>
      </c>
    </row>
    <row r="2526" spans="1:18" hidden="1">
      <c r="A2526" t="s">
        <v>4834</v>
      </c>
      <c r="B2526" t="s">
        <v>6338</v>
      </c>
      <c r="C2526" t="s">
        <v>6339</v>
      </c>
      <c r="E2526">
        <v>1</v>
      </c>
      <c r="F2526">
        <v>1</v>
      </c>
      <c r="G2526">
        <v>0</v>
      </c>
      <c r="H2526">
        <v>0</v>
      </c>
      <c r="J2526" t="s">
        <v>93</v>
      </c>
      <c r="K2526" t="b">
        <v>0</v>
      </c>
      <c r="L2526">
        <f t="shared" si="39"/>
        <v>1</v>
      </c>
      <c r="M2526">
        <f t="shared" si="39"/>
        <v>1</v>
      </c>
      <c r="N2526" t="b">
        <v>0</v>
      </c>
      <c r="O2526">
        <v>0</v>
      </c>
      <c r="Q2526">
        <v>0</v>
      </c>
      <c r="R2526" t="b">
        <v>0</v>
      </c>
    </row>
    <row r="2527" spans="1:18" hidden="1">
      <c r="A2527" t="s">
        <v>4834</v>
      </c>
      <c r="B2527" t="s">
        <v>6340</v>
      </c>
      <c r="C2527" t="s">
        <v>6341</v>
      </c>
      <c r="E2527">
        <v>0</v>
      </c>
      <c r="F2527">
        <v>0</v>
      </c>
      <c r="G2527">
        <v>1</v>
      </c>
      <c r="H2527">
        <v>1</v>
      </c>
      <c r="J2527" t="s">
        <v>93</v>
      </c>
      <c r="K2527" t="b">
        <v>0</v>
      </c>
      <c r="L2527">
        <f t="shared" si="39"/>
        <v>1</v>
      </c>
      <c r="M2527">
        <f t="shared" si="39"/>
        <v>1</v>
      </c>
      <c r="N2527" t="b">
        <v>0</v>
      </c>
      <c r="O2527">
        <v>0</v>
      </c>
      <c r="Q2527">
        <v>0</v>
      </c>
      <c r="R2527" t="b">
        <v>0</v>
      </c>
    </row>
    <row r="2528" spans="1:18" hidden="1">
      <c r="A2528" t="s">
        <v>4834</v>
      </c>
      <c r="B2528" t="s">
        <v>6342</v>
      </c>
      <c r="C2528" t="s">
        <v>6343</v>
      </c>
      <c r="E2528">
        <v>0</v>
      </c>
      <c r="F2528">
        <v>0</v>
      </c>
      <c r="G2528">
        <v>1</v>
      </c>
      <c r="H2528">
        <v>1</v>
      </c>
      <c r="J2528" t="s">
        <v>93</v>
      </c>
      <c r="K2528" t="b">
        <v>0</v>
      </c>
      <c r="L2528">
        <f t="shared" si="39"/>
        <v>1</v>
      </c>
      <c r="M2528">
        <f t="shared" si="39"/>
        <v>1</v>
      </c>
      <c r="N2528" t="b">
        <v>0</v>
      </c>
      <c r="O2528">
        <v>0</v>
      </c>
      <c r="Q2528">
        <v>0</v>
      </c>
      <c r="R2528" t="b">
        <v>0</v>
      </c>
    </row>
    <row r="2529" spans="1:18" hidden="1">
      <c r="A2529" t="s">
        <v>4834</v>
      </c>
      <c r="B2529" t="s">
        <v>6344</v>
      </c>
      <c r="C2529" t="s">
        <v>6345</v>
      </c>
      <c r="E2529">
        <v>1</v>
      </c>
      <c r="F2529">
        <v>1</v>
      </c>
      <c r="G2529">
        <v>0</v>
      </c>
      <c r="H2529">
        <v>0</v>
      </c>
      <c r="J2529" t="s">
        <v>93</v>
      </c>
      <c r="K2529" t="b">
        <v>0</v>
      </c>
      <c r="L2529">
        <f t="shared" si="39"/>
        <v>1</v>
      </c>
      <c r="M2529">
        <f t="shared" si="39"/>
        <v>1</v>
      </c>
      <c r="N2529" t="b">
        <v>0</v>
      </c>
      <c r="O2529">
        <v>0</v>
      </c>
      <c r="Q2529">
        <v>0</v>
      </c>
      <c r="R2529" t="b">
        <v>0</v>
      </c>
    </row>
    <row r="2530" spans="1:18" hidden="1">
      <c r="A2530" t="s">
        <v>4834</v>
      </c>
      <c r="B2530" t="s">
        <v>6346</v>
      </c>
      <c r="C2530" t="s">
        <v>6347</v>
      </c>
      <c r="E2530">
        <v>1</v>
      </c>
      <c r="F2530">
        <v>1</v>
      </c>
      <c r="G2530">
        <v>0</v>
      </c>
      <c r="H2530">
        <v>0</v>
      </c>
      <c r="J2530" t="s">
        <v>93</v>
      </c>
      <c r="K2530" t="b">
        <v>0</v>
      </c>
      <c r="L2530">
        <f t="shared" si="39"/>
        <v>1</v>
      </c>
      <c r="M2530">
        <f t="shared" si="39"/>
        <v>1</v>
      </c>
      <c r="N2530" t="b">
        <v>0</v>
      </c>
      <c r="O2530">
        <v>0</v>
      </c>
      <c r="Q2530">
        <v>0</v>
      </c>
      <c r="R2530" t="b">
        <v>0</v>
      </c>
    </row>
    <row r="2531" spans="1:18" hidden="1">
      <c r="A2531" t="s">
        <v>4834</v>
      </c>
      <c r="B2531" t="s">
        <v>6348</v>
      </c>
      <c r="C2531" t="s">
        <v>6349</v>
      </c>
      <c r="E2531">
        <v>1</v>
      </c>
      <c r="F2531">
        <v>1</v>
      </c>
      <c r="G2531">
        <v>0</v>
      </c>
      <c r="H2531">
        <v>0</v>
      </c>
      <c r="J2531" t="s">
        <v>93</v>
      </c>
      <c r="K2531" t="b">
        <v>0</v>
      </c>
      <c r="L2531">
        <f t="shared" si="39"/>
        <v>1</v>
      </c>
      <c r="M2531">
        <f t="shared" si="39"/>
        <v>1</v>
      </c>
      <c r="N2531" t="b">
        <v>0</v>
      </c>
      <c r="O2531">
        <v>0</v>
      </c>
      <c r="Q2531">
        <v>0</v>
      </c>
      <c r="R2531" t="b">
        <v>0</v>
      </c>
    </row>
    <row r="2532" spans="1:18">
      <c r="A2532" t="s">
        <v>857</v>
      </c>
      <c r="B2532" t="s">
        <v>6350</v>
      </c>
      <c r="C2532" t="s">
        <v>6351</v>
      </c>
      <c r="E2532">
        <v>0</v>
      </c>
      <c r="F2532">
        <v>0</v>
      </c>
      <c r="G2532">
        <v>1</v>
      </c>
      <c r="H2532">
        <v>1</v>
      </c>
      <c r="J2532" t="s">
        <v>22</v>
      </c>
      <c r="K2532" t="b">
        <v>1</v>
      </c>
      <c r="L2532">
        <f t="shared" si="39"/>
        <v>1</v>
      </c>
      <c r="M2532">
        <f t="shared" si="39"/>
        <v>1</v>
      </c>
      <c r="N2532" t="b">
        <v>0</v>
      </c>
      <c r="O2532">
        <v>1</v>
      </c>
      <c r="P2532" t="s">
        <v>6352</v>
      </c>
      <c r="Q2532">
        <v>2</v>
      </c>
      <c r="R2532" t="b">
        <v>1</v>
      </c>
    </row>
    <row r="2533" spans="1:18">
      <c r="A2533" t="s">
        <v>857</v>
      </c>
      <c r="B2533" t="s">
        <v>6353</v>
      </c>
      <c r="C2533" t="s">
        <v>6354</v>
      </c>
      <c r="E2533">
        <v>0</v>
      </c>
      <c r="F2533">
        <v>0</v>
      </c>
      <c r="G2533">
        <v>1</v>
      </c>
      <c r="H2533">
        <v>1</v>
      </c>
      <c r="J2533" t="s">
        <v>22</v>
      </c>
      <c r="K2533" t="b">
        <v>1</v>
      </c>
      <c r="L2533">
        <f t="shared" si="39"/>
        <v>1</v>
      </c>
      <c r="M2533">
        <f t="shared" si="39"/>
        <v>1</v>
      </c>
      <c r="N2533" t="b">
        <v>0</v>
      </c>
      <c r="O2533">
        <v>1</v>
      </c>
      <c r="P2533" t="s">
        <v>6355</v>
      </c>
      <c r="Q2533">
        <v>2</v>
      </c>
      <c r="R2533" t="b">
        <v>1</v>
      </c>
    </row>
    <row r="2534" spans="1:18" hidden="1">
      <c r="A2534" t="s">
        <v>4800</v>
      </c>
      <c r="B2534" t="s">
        <v>6356</v>
      </c>
      <c r="C2534" t="s">
        <v>6357</v>
      </c>
      <c r="E2534">
        <v>1</v>
      </c>
      <c r="F2534">
        <v>1</v>
      </c>
      <c r="G2534">
        <v>0</v>
      </c>
      <c r="H2534">
        <v>0</v>
      </c>
      <c r="J2534" t="s">
        <v>93</v>
      </c>
      <c r="K2534" t="b">
        <v>0</v>
      </c>
      <c r="L2534">
        <f t="shared" si="39"/>
        <v>1</v>
      </c>
      <c r="M2534">
        <f t="shared" si="39"/>
        <v>1</v>
      </c>
      <c r="N2534" t="b">
        <v>0</v>
      </c>
      <c r="O2534">
        <v>0</v>
      </c>
      <c r="Q2534">
        <v>0</v>
      </c>
      <c r="R2534" t="b">
        <v>0</v>
      </c>
    </row>
    <row r="2535" spans="1:18">
      <c r="A2535" t="s">
        <v>1987</v>
      </c>
      <c r="B2535" t="s">
        <v>6358</v>
      </c>
      <c r="C2535" t="s">
        <v>6359</v>
      </c>
      <c r="E2535">
        <v>0</v>
      </c>
      <c r="F2535">
        <v>0</v>
      </c>
      <c r="G2535">
        <v>1</v>
      </c>
      <c r="H2535">
        <v>1</v>
      </c>
      <c r="J2535" t="s">
        <v>22</v>
      </c>
      <c r="K2535" t="b">
        <v>1</v>
      </c>
      <c r="L2535">
        <f t="shared" si="39"/>
        <v>1</v>
      </c>
      <c r="M2535">
        <f t="shared" si="39"/>
        <v>1</v>
      </c>
      <c r="N2535" t="b">
        <v>0</v>
      </c>
      <c r="O2535">
        <v>1</v>
      </c>
      <c r="P2535" t="s">
        <v>6360</v>
      </c>
      <c r="Q2535">
        <v>2</v>
      </c>
      <c r="R2535" t="b">
        <v>1</v>
      </c>
    </row>
    <row r="2536" spans="1:18" hidden="1">
      <c r="A2536" t="s">
        <v>192</v>
      </c>
      <c r="B2536" t="s">
        <v>6361</v>
      </c>
      <c r="C2536" t="s">
        <v>6362</v>
      </c>
      <c r="E2536">
        <v>1</v>
      </c>
      <c r="F2536">
        <v>3</v>
      </c>
      <c r="G2536">
        <v>0</v>
      </c>
      <c r="H2536">
        <v>0</v>
      </c>
      <c r="J2536" t="s">
        <v>93</v>
      </c>
      <c r="K2536" t="b">
        <v>1</v>
      </c>
      <c r="L2536">
        <f t="shared" si="39"/>
        <v>1</v>
      </c>
      <c r="M2536">
        <f t="shared" si="39"/>
        <v>3</v>
      </c>
      <c r="N2536" t="b">
        <v>0</v>
      </c>
      <c r="O2536">
        <v>0</v>
      </c>
      <c r="Q2536">
        <v>0</v>
      </c>
      <c r="R2536" t="b">
        <v>0</v>
      </c>
    </row>
    <row r="2537" spans="1:18" hidden="1">
      <c r="A2537" t="s">
        <v>192</v>
      </c>
      <c r="B2537" t="s">
        <v>6363</v>
      </c>
      <c r="C2537" t="s">
        <v>6364</v>
      </c>
      <c r="E2537">
        <v>1</v>
      </c>
      <c r="F2537">
        <v>17</v>
      </c>
      <c r="G2537">
        <v>0</v>
      </c>
      <c r="H2537">
        <v>0</v>
      </c>
      <c r="J2537" t="s">
        <v>93</v>
      </c>
      <c r="K2537" t="b">
        <v>1</v>
      </c>
      <c r="L2537">
        <f t="shared" si="39"/>
        <v>1</v>
      </c>
      <c r="M2537">
        <f t="shared" si="39"/>
        <v>17</v>
      </c>
      <c r="N2537" t="b">
        <v>0</v>
      </c>
      <c r="O2537">
        <v>0</v>
      </c>
      <c r="Q2537">
        <v>0</v>
      </c>
      <c r="R2537" t="b">
        <v>0</v>
      </c>
    </row>
    <row r="2538" spans="1:18" hidden="1">
      <c r="A2538" t="s">
        <v>192</v>
      </c>
      <c r="B2538" t="s">
        <v>6365</v>
      </c>
      <c r="C2538" t="s">
        <v>6366</v>
      </c>
      <c r="E2538">
        <v>1</v>
      </c>
      <c r="F2538">
        <v>0</v>
      </c>
      <c r="G2538">
        <v>0</v>
      </c>
      <c r="H2538">
        <v>0</v>
      </c>
      <c r="J2538" t="s">
        <v>93</v>
      </c>
      <c r="K2538" t="b">
        <v>1</v>
      </c>
      <c r="L2538">
        <f t="shared" si="39"/>
        <v>1</v>
      </c>
      <c r="M2538">
        <f t="shared" si="39"/>
        <v>0</v>
      </c>
      <c r="N2538" t="b">
        <v>0</v>
      </c>
      <c r="O2538">
        <v>0</v>
      </c>
      <c r="Q2538">
        <v>0</v>
      </c>
      <c r="R2538" t="b">
        <v>0</v>
      </c>
    </row>
    <row r="2539" spans="1:18" hidden="1">
      <c r="A2539" t="s">
        <v>192</v>
      </c>
      <c r="B2539" t="s">
        <v>6367</v>
      </c>
      <c r="C2539" t="s">
        <v>6368</v>
      </c>
      <c r="E2539">
        <v>1</v>
      </c>
      <c r="F2539">
        <v>0</v>
      </c>
      <c r="G2539">
        <v>0</v>
      </c>
      <c r="H2539">
        <v>0</v>
      </c>
      <c r="J2539" t="s">
        <v>93</v>
      </c>
      <c r="K2539" t="b">
        <v>1</v>
      </c>
      <c r="L2539">
        <f t="shared" si="39"/>
        <v>1</v>
      </c>
      <c r="M2539">
        <f t="shared" si="39"/>
        <v>0</v>
      </c>
      <c r="N2539" t="b">
        <v>0</v>
      </c>
      <c r="O2539">
        <v>0</v>
      </c>
      <c r="Q2539">
        <v>0</v>
      </c>
      <c r="R2539" t="b">
        <v>0</v>
      </c>
    </row>
    <row r="2540" spans="1:18">
      <c r="A2540" t="s">
        <v>1987</v>
      </c>
      <c r="B2540" t="s">
        <v>6369</v>
      </c>
      <c r="C2540" t="s">
        <v>6370</v>
      </c>
      <c r="E2540">
        <v>0</v>
      </c>
      <c r="F2540">
        <v>0</v>
      </c>
      <c r="G2540">
        <v>1</v>
      </c>
      <c r="H2540">
        <v>1</v>
      </c>
      <c r="J2540" t="s">
        <v>22</v>
      </c>
      <c r="K2540" t="b">
        <v>1</v>
      </c>
      <c r="L2540">
        <f t="shared" si="39"/>
        <v>1</v>
      </c>
      <c r="M2540">
        <f t="shared" si="39"/>
        <v>1</v>
      </c>
      <c r="N2540" t="b">
        <v>0</v>
      </c>
      <c r="O2540">
        <v>1</v>
      </c>
      <c r="P2540" t="s">
        <v>6371</v>
      </c>
      <c r="Q2540">
        <v>2</v>
      </c>
      <c r="R2540" t="b">
        <v>1</v>
      </c>
    </row>
    <row r="2541" spans="1:18">
      <c r="A2541" t="s">
        <v>192</v>
      </c>
      <c r="B2541" t="s">
        <v>6372</v>
      </c>
      <c r="C2541" t="s">
        <v>6373</v>
      </c>
      <c r="E2541">
        <v>1</v>
      </c>
      <c r="F2541">
        <v>2</v>
      </c>
      <c r="G2541">
        <v>0</v>
      </c>
      <c r="H2541">
        <v>0</v>
      </c>
      <c r="J2541" t="s">
        <v>22</v>
      </c>
      <c r="K2541" t="b">
        <v>1</v>
      </c>
      <c r="L2541">
        <f t="shared" si="39"/>
        <v>1</v>
      </c>
      <c r="M2541">
        <f t="shared" si="39"/>
        <v>2</v>
      </c>
      <c r="N2541" t="b">
        <v>0</v>
      </c>
      <c r="O2541">
        <v>1</v>
      </c>
      <c r="P2541" t="s">
        <v>6374</v>
      </c>
      <c r="Q2541">
        <v>2</v>
      </c>
      <c r="R2541" t="b">
        <v>1</v>
      </c>
    </row>
    <row r="2542" spans="1:18">
      <c r="A2542" t="s">
        <v>192</v>
      </c>
      <c r="B2542" t="s">
        <v>6375</v>
      </c>
      <c r="C2542" t="s">
        <v>6376</v>
      </c>
      <c r="E2542">
        <v>1</v>
      </c>
      <c r="F2542">
        <v>0</v>
      </c>
      <c r="G2542">
        <v>0</v>
      </c>
      <c r="H2542">
        <v>0</v>
      </c>
      <c r="J2542" t="s">
        <v>22</v>
      </c>
      <c r="K2542" t="b">
        <v>1</v>
      </c>
      <c r="L2542">
        <f t="shared" si="39"/>
        <v>1</v>
      </c>
      <c r="M2542">
        <f t="shared" si="39"/>
        <v>0</v>
      </c>
      <c r="N2542" t="b">
        <v>0</v>
      </c>
      <c r="O2542">
        <v>1</v>
      </c>
      <c r="P2542" t="s">
        <v>6377</v>
      </c>
      <c r="Q2542">
        <v>2</v>
      </c>
      <c r="R2542" t="b">
        <v>1</v>
      </c>
    </row>
    <row r="2543" spans="1:18" hidden="1">
      <c r="A2543" t="s">
        <v>192</v>
      </c>
      <c r="B2543" t="s">
        <v>6378</v>
      </c>
      <c r="C2543" t="s">
        <v>6379</v>
      </c>
      <c r="E2543">
        <v>1</v>
      </c>
      <c r="F2543">
        <v>0</v>
      </c>
      <c r="G2543">
        <v>0</v>
      </c>
      <c r="H2543">
        <v>0</v>
      </c>
      <c r="J2543" t="s">
        <v>93</v>
      </c>
      <c r="K2543" t="b">
        <v>1</v>
      </c>
      <c r="L2543">
        <f t="shared" si="39"/>
        <v>1</v>
      </c>
      <c r="M2543">
        <f t="shared" si="39"/>
        <v>0</v>
      </c>
      <c r="N2543" t="b">
        <v>0</v>
      </c>
      <c r="O2543">
        <v>0</v>
      </c>
      <c r="Q2543">
        <v>0</v>
      </c>
      <c r="R2543" t="b">
        <v>0</v>
      </c>
    </row>
    <row r="2544" spans="1:18" hidden="1">
      <c r="A2544" t="s">
        <v>192</v>
      </c>
      <c r="B2544" t="s">
        <v>6380</v>
      </c>
      <c r="C2544" t="s">
        <v>6381</v>
      </c>
      <c r="E2544">
        <v>1</v>
      </c>
      <c r="F2544">
        <v>0</v>
      </c>
      <c r="G2544">
        <v>0</v>
      </c>
      <c r="H2544">
        <v>0</v>
      </c>
      <c r="J2544" t="s">
        <v>93</v>
      </c>
      <c r="K2544" t="b">
        <v>1</v>
      </c>
      <c r="L2544">
        <f t="shared" si="39"/>
        <v>1</v>
      </c>
      <c r="M2544">
        <f t="shared" si="39"/>
        <v>0</v>
      </c>
      <c r="N2544" t="b">
        <v>0</v>
      </c>
      <c r="O2544">
        <v>0.33329999999999999</v>
      </c>
      <c r="P2544" t="s">
        <v>6382</v>
      </c>
      <c r="Q2544">
        <v>4</v>
      </c>
      <c r="R2544" t="b">
        <v>1</v>
      </c>
    </row>
    <row r="2545" spans="1:18" hidden="1">
      <c r="A2545" t="s">
        <v>24</v>
      </c>
      <c r="B2545" t="s">
        <v>6383</v>
      </c>
      <c r="C2545" t="s">
        <v>6384</v>
      </c>
      <c r="E2545">
        <v>0</v>
      </c>
      <c r="F2545">
        <v>0</v>
      </c>
      <c r="G2545">
        <v>1</v>
      </c>
      <c r="H2545">
        <v>1</v>
      </c>
      <c r="J2545" t="s">
        <v>93</v>
      </c>
      <c r="K2545" t="b">
        <v>1</v>
      </c>
      <c r="L2545">
        <f t="shared" si="39"/>
        <v>1</v>
      </c>
      <c r="M2545">
        <f t="shared" si="39"/>
        <v>1</v>
      </c>
      <c r="N2545" t="b">
        <v>0</v>
      </c>
      <c r="O2545">
        <v>0.2</v>
      </c>
      <c r="P2545" t="s">
        <v>77</v>
      </c>
      <c r="Q2545">
        <v>30</v>
      </c>
      <c r="R2545" t="b">
        <v>1</v>
      </c>
    </row>
    <row r="2546" spans="1:18" hidden="1">
      <c r="A2546" t="s">
        <v>24</v>
      </c>
      <c r="B2546" t="s">
        <v>6385</v>
      </c>
      <c r="C2546" t="s">
        <v>6386</v>
      </c>
      <c r="E2546">
        <v>0</v>
      </c>
      <c r="F2546">
        <v>0</v>
      </c>
      <c r="G2546">
        <v>1</v>
      </c>
      <c r="H2546">
        <v>1</v>
      </c>
      <c r="J2546" t="s">
        <v>93</v>
      </c>
      <c r="K2546" t="b">
        <v>1</v>
      </c>
      <c r="L2546">
        <f t="shared" si="39"/>
        <v>1</v>
      </c>
      <c r="M2546">
        <f t="shared" si="39"/>
        <v>1</v>
      </c>
      <c r="N2546" t="b">
        <v>0</v>
      </c>
      <c r="O2546">
        <v>0</v>
      </c>
      <c r="Q2546">
        <v>0</v>
      </c>
      <c r="R2546" t="b">
        <v>0</v>
      </c>
    </row>
    <row r="2547" spans="1:18" hidden="1">
      <c r="A2547" t="s">
        <v>24</v>
      </c>
      <c r="B2547" t="s">
        <v>6387</v>
      </c>
      <c r="C2547" t="s">
        <v>6388</v>
      </c>
      <c r="E2547">
        <v>0</v>
      </c>
      <c r="F2547">
        <v>0</v>
      </c>
      <c r="G2547">
        <v>1</v>
      </c>
      <c r="H2547">
        <v>1</v>
      </c>
      <c r="J2547" t="s">
        <v>93</v>
      </c>
      <c r="K2547" t="b">
        <v>1</v>
      </c>
      <c r="L2547">
        <f t="shared" si="39"/>
        <v>1</v>
      </c>
      <c r="M2547">
        <f t="shared" si="39"/>
        <v>1</v>
      </c>
      <c r="N2547" t="b">
        <v>0</v>
      </c>
      <c r="O2547">
        <v>0</v>
      </c>
      <c r="Q2547">
        <v>0</v>
      </c>
      <c r="R2547" t="b">
        <v>0</v>
      </c>
    </row>
    <row r="2548" spans="1:18" hidden="1">
      <c r="A2548" t="s">
        <v>24</v>
      </c>
      <c r="B2548" t="s">
        <v>6389</v>
      </c>
      <c r="C2548" t="s">
        <v>6390</v>
      </c>
      <c r="E2548">
        <v>0</v>
      </c>
      <c r="F2548">
        <v>0</v>
      </c>
      <c r="G2548">
        <v>1</v>
      </c>
      <c r="H2548">
        <v>1</v>
      </c>
      <c r="J2548" t="s">
        <v>93</v>
      </c>
      <c r="K2548" t="b">
        <v>1</v>
      </c>
      <c r="L2548">
        <f t="shared" si="39"/>
        <v>1</v>
      </c>
      <c r="M2548">
        <f t="shared" si="39"/>
        <v>1</v>
      </c>
      <c r="N2548" t="b">
        <v>0</v>
      </c>
      <c r="O2548">
        <v>0</v>
      </c>
      <c r="Q2548">
        <v>0</v>
      </c>
      <c r="R2548" t="b">
        <v>0</v>
      </c>
    </row>
    <row r="2549" spans="1:18" hidden="1">
      <c r="A2549" t="s">
        <v>24</v>
      </c>
      <c r="B2549" t="s">
        <v>6391</v>
      </c>
      <c r="C2549" t="s">
        <v>6392</v>
      </c>
      <c r="E2549">
        <v>0</v>
      </c>
      <c r="F2549">
        <v>0</v>
      </c>
      <c r="G2549">
        <v>1</v>
      </c>
      <c r="H2549">
        <v>1</v>
      </c>
      <c r="J2549" t="s">
        <v>93</v>
      </c>
      <c r="K2549" t="b">
        <v>1</v>
      </c>
      <c r="L2549">
        <f t="shared" si="39"/>
        <v>1</v>
      </c>
      <c r="M2549">
        <f t="shared" si="39"/>
        <v>1</v>
      </c>
      <c r="N2549" t="b">
        <v>0</v>
      </c>
      <c r="O2549">
        <v>0.33329999999999999</v>
      </c>
      <c r="P2549" t="s">
        <v>4341</v>
      </c>
      <c r="Q2549">
        <v>4</v>
      </c>
      <c r="R2549" t="b">
        <v>1</v>
      </c>
    </row>
    <row r="2550" spans="1:18" hidden="1">
      <c r="A2550" t="s">
        <v>24</v>
      </c>
      <c r="B2550" t="s">
        <v>6393</v>
      </c>
      <c r="C2550" t="s">
        <v>6394</v>
      </c>
      <c r="E2550">
        <v>0</v>
      </c>
      <c r="F2550">
        <v>0</v>
      </c>
      <c r="G2550">
        <v>1</v>
      </c>
      <c r="H2550">
        <v>1</v>
      </c>
      <c r="J2550" t="s">
        <v>93</v>
      </c>
      <c r="K2550" t="b">
        <v>1</v>
      </c>
      <c r="L2550">
        <f t="shared" si="39"/>
        <v>1</v>
      </c>
      <c r="M2550">
        <f t="shared" si="39"/>
        <v>1</v>
      </c>
      <c r="N2550" t="b">
        <v>0</v>
      </c>
      <c r="O2550">
        <v>0</v>
      </c>
      <c r="Q2550">
        <v>0</v>
      </c>
      <c r="R2550" t="b">
        <v>0</v>
      </c>
    </row>
    <row r="2551" spans="1:18" hidden="1">
      <c r="A2551" t="s">
        <v>24</v>
      </c>
      <c r="B2551" t="s">
        <v>6395</v>
      </c>
      <c r="C2551" t="s">
        <v>6396</v>
      </c>
      <c r="E2551">
        <v>0</v>
      </c>
      <c r="F2551">
        <v>0</v>
      </c>
      <c r="G2551">
        <v>1</v>
      </c>
      <c r="H2551">
        <v>1</v>
      </c>
      <c r="J2551" t="s">
        <v>93</v>
      </c>
      <c r="K2551" t="b">
        <v>1</v>
      </c>
      <c r="L2551">
        <f t="shared" si="39"/>
        <v>1</v>
      </c>
      <c r="M2551">
        <f t="shared" si="39"/>
        <v>1</v>
      </c>
      <c r="N2551" t="b">
        <v>0</v>
      </c>
      <c r="O2551">
        <v>0</v>
      </c>
      <c r="Q2551">
        <v>0</v>
      </c>
      <c r="R2551" t="b">
        <v>0</v>
      </c>
    </row>
    <row r="2552" spans="1:18" hidden="1">
      <c r="A2552" t="s">
        <v>205</v>
      </c>
      <c r="B2552" t="s">
        <v>6397</v>
      </c>
      <c r="C2552" t="s">
        <v>6398</v>
      </c>
      <c r="E2552">
        <v>0</v>
      </c>
      <c r="F2552">
        <v>0</v>
      </c>
      <c r="G2552">
        <v>1</v>
      </c>
      <c r="H2552">
        <v>1</v>
      </c>
      <c r="J2552" t="s">
        <v>93</v>
      </c>
      <c r="K2552" t="b">
        <v>1</v>
      </c>
      <c r="L2552">
        <f t="shared" si="39"/>
        <v>1</v>
      </c>
      <c r="M2552">
        <f t="shared" si="39"/>
        <v>1</v>
      </c>
      <c r="N2552" t="b">
        <v>0</v>
      </c>
      <c r="O2552">
        <v>0</v>
      </c>
      <c r="Q2552">
        <v>0</v>
      </c>
      <c r="R2552" t="b">
        <v>0</v>
      </c>
    </row>
    <row r="2553" spans="1:18">
      <c r="A2553" t="s">
        <v>205</v>
      </c>
      <c r="B2553" t="s">
        <v>6399</v>
      </c>
      <c r="C2553" t="s">
        <v>6400</v>
      </c>
      <c r="E2553">
        <v>0</v>
      </c>
      <c r="F2553">
        <v>0</v>
      </c>
      <c r="G2553">
        <v>1</v>
      </c>
      <c r="H2553">
        <v>1</v>
      </c>
      <c r="J2553" t="s">
        <v>22</v>
      </c>
      <c r="K2553" t="b">
        <v>1</v>
      </c>
      <c r="L2553">
        <f t="shared" si="39"/>
        <v>1</v>
      </c>
      <c r="M2553">
        <f t="shared" si="39"/>
        <v>1</v>
      </c>
      <c r="N2553" t="b">
        <v>0</v>
      </c>
      <c r="O2553">
        <v>1</v>
      </c>
      <c r="P2553" t="s">
        <v>2774</v>
      </c>
      <c r="Q2553">
        <v>2</v>
      </c>
      <c r="R2553" t="b">
        <v>1</v>
      </c>
    </row>
    <row r="2554" spans="1:18">
      <c r="A2554" t="s">
        <v>87</v>
      </c>
      <c r="B2554" t="s">
        <v>6401</v>
      </c>
      <c r="C2554" t="s">
        <v>6402</v>
      </c>
      <c r="E2554">
        <v>1</v>
      </c>
      <c r="F2554">
        <v>0</v>
      </c>
      <c r="G2554">
        <v>0</v>
      </c>
      <c r="H2554">
        <v>0</v>
      </c>
      <c r="J2554" t="s">
        <v>22</v>
      </c>
      <c r="K2554" t="b">
        <v>1</v>
      </c>
      <c r="L2554">
        <f t="shared" si="39"/>
        <v>1</v>
      </c>
      <c r="M2554">
        <f t="shared" si="39"/>
        <v>0</v>
      </c>
      <c r="N2554" t="b">
        <v>0</v>
      </c>
      <c r="O2554">
        <v>1</v>
      </c>
      <c r="P2554" t="s">
        <v>6403</v>
      </c>
      <c r="Q2554">
        <v>2</v>
      </c>
      <c r="R2554" t="b">
        <v>1</v>
      </c>
    </row>
    <row r="2555" spans="1:18">
      <c r="A2555" t="s">
        <v>205</v>
      </c>
      <c r="B2555" t="s">
        <v>6404</v>
      </c>
      <c r="C2555" t="s">
        <v>6405</v>
      </c>
      <c r="E2555">
        <v>0</v>
      </c>
      <c r="F2555">
        <v>0</v>
      </c>
      <c r="G2555">
        <v>1</v>
      </c>
      <c r="H2555">
        <v>1</v>
      </c>
      <c r="J2555" t="s">
        <v>22</v>
      </c>
      <c r="K2555" t="b">
        <v>1</v>
      </c>
      <c r="L2555">
        <f t="shared" si="39"/>
        <v>1</v>
      </c>
      <c r="M2555">
        <f t="shared" si="39"/>
        <v>1</v>
      </c>
      <c r="N2555" t="b">
        <v>0</v>
      </c>
      <c r="O2555">
        <v>1</v>
      </c>
      <c r="P2555" t="s">
        <v>6406</v>
      </c>
      <c r="Q2555">
        <v>2</v>
      </c>
      <c r="R2555" t="b">
        <v>1</v>
      </c>
    </row>
    <row r="2556" spans="1:18">
      <c r="A2556" t="s">
        <v>205</v>
      </c>
      <c r="B2556" t="s">
        <v>6407</v>
      </c>
      <c r="C2556" t="s">
        <v>6408</v>
      </c>
      <c r="E2556">
        <v>0</v>
      </c>
      <c r="F2556">
        <v>0</v>
      </c>
      <c r="G2556">
        <v>1</v>
      </c>
      <c r="H2556">
        <v>1</v>
      </c>
      <c r="J2556" t="s">
        <v>22</v>
      </c>
      <c r="K2556" t="b">
        <v>1</v>
      </c>
      <c r="L2556">
        <f t="shared" si="39"/>
        <v>1</v>
      </c>
      <c r="M2556">
        <f t="shared" si="39"/>
        <v>1</v>
      </c>
      <c r="N2556" t="b">
        <v>0</v>
      </c>
      <c r="O2556">
        <v>1</v>
      </c>
      <c r="P2556" t="s">
        <v>4011</v>
      </c>
      <c r="Q2556">
        <v>2</v>
      </c>
      <c r="R2556" t="b">
        <v>1</v>
      </c>
    </row>
    <row r="2557" spans="1:18" hidden="1">
      <c r="A2557" t="s">
        <v>3105</v>
      </c>
      <c r="B2557" t="s">
        <v>6409</v>
      </c>
      <c r="C2557" t="s">
        <v>6410</v>
      </c>
      <c r="E2557">
        <v>0</v>
      </c>
      <c r="F2557">
        <v>0</v>
      </c>
      <c r="G2557">
        <v>1</v>
      </c>
      <c r="H2557">
        <v>1</v>
      </c>
      <c r="J2557" t="s">
        <v>93</v>
      </c>
      <c r="K2557" t="b">
        <v>1</v>
      </c>
      <c r="L2557">
        <f t="shared" si="39"/>
        <v>1</v>
      </c>
      <c r="M2557">
        <f t="shared" si="39"/>
        <v>1</v>
      </c>
      <c r="N2557" t="b">
        <v>0</v>
      </c>
      <c r="O2557">
        <v>0</v>
      </c>
      <c r="Q2557">
        <v>0</v>
      </c>
      <c r="R2557" t="b">
        <v>0</v>
      </c>
    </row>
    <row r="2558" spans="1:18" hidden="1">
      <c r="A2558" t="s">
        <v>59</v>
      </c>
      <c r="B2558" t="s">
        <v>6411</v>
      </c>
      <c r="C2558" t="s">
        <v>6412</v>
      </c>
      <c r="E2558">
        <v>0</v>
      </c>
      <c r="F2558">
        <v>0</v>
      </c>
      <c r="G2558">
        <v>1</v>
      </c>
      <c r="H2558">
        <v>1</v>
      </c>
      <c r="J2558" t="s">
        <v>93</v>
      </c>
      <c r="K2558" t="b">
        <v>1</v>
      </c>
      <c r="L2558">
        <f t="shared" si="39"/>
        <v>1</v>
      </c>
      <c r="M2558">
        <f t="shared" si="39"/>
        <v>1</v>
      </c>
      <c r="N2558" t="b">
        <v>0</v>
      </c>
      <c r="O2558">
        <v>0</v>
      </c>
      <c r="Q2558">
        <v>0</v>
      </c>
      <c r="R2558" t="b">
        <v>0</v>
      </c>
    </row>
    <row r="2559" spans="1:18" hidden="1">
      <c r="A2559" t="s">
        <v>59</v>
      </c>
      <c r="B2559" t="s">
        <v>6413</v>
      </c>
      <c r="C2559" t="s">
        <v>6414</v>
      </c>
      <c r="E2559">
        <v>0</v>
      </c>
      <c r="F2559">
        <v>0</v>
      </c>
      <c r="G2559">
        <v>1</v>
      </c>
      <c r="H2559">
        <v>1</v>
      </c>
      <c r="J2559" t="s">
        <v>93</v>
      </c>
      <c r="K2559" t="b">
        <v>1</v>
      </c>
      <c r="L2559">
        <f t="shared" si="39"/>
        <v>1</v>
      </c>
      <c r="M2559">
        <f t="shared" si="39"/>
        <v>1</v>
      </c>
      <c r="N2559" t="b">
        <v>0</v>
      </c>
      <c r="O2559">
        <v>0</v>
      </c>
      <c r="Q2559">
        <v>0</v>
      </c>
      <c r="R2559" t="b">
        <v>0</v>
      </c>
    </row>
    <row r="2560" spans="1:18" hidden="1">
      <c r="A2560" t="s">
        <v>59</v>
      </c>
      <c r="B2560" t="s">
        <v>6415</v>
      </c>
      <c r="C2560" t="s">
        <v>6416</v>
      </c>
      <c r="E2560">
        <v>0</v>
      </c>
      <c r="F2560">
        <v>0</v>
      </c>
      <c r="G2560">
        <v>1</v>
      </c>
      <c r="H2560">
        <v>1</v>
      </c>
      <c r="J2560" t="s">
        <v>93</v>
      </c>
      <c r="K2560" t="b">
        <v>1</v>
      </c>
      <c r="L2560">
        <f t="shared" si="39"/>
        <v>1</v>
      </c>
      <c r="M2560">
        <f t="shared" si="39"/>
        <v>1</v>
      </c>
      <c r="N2560" t="b">
        <v>0</v>
      </c>
      <c r="O2560">
        <v>0</v>
      </c>
      <c r="Q2560">
        <v>0</v>
      </c>
      <c r="R2560" t="b">
        <v>0</v>
      </c>
    </row>
    <row r="2561" spans="1:18" hidden="1">
      <c r="A2561" t="s">
        <v>59</v>
      </c>
      <c r="B2561" t="s">
        <v>6417</v>
      </c>
      <c r="C2561" t="s">
        <v>6418</v>
      </c>
      <c r="E2561">
        <v>0</v>
      </c>
      <c r="F2561">
        <v>0</v>
      </c>
      <c r="G2561">
        <v>1</v>
      </c>
      <c r="H2561">
        <v>1</v>
      </c>
      <c r="J2561" t="s">
        <v>93</v>
      </c>
      <c r="K2561" t="b">
        <v>1</v>
      </c>
      <c r="L2561">
        <f t="shared" si="39"/>
        <v>1</v>
      </c>
      <c r="M2561">
        <f t="shared" si="39"/>
        <v>1</v>
      </c>
      <c r="N2561" t="b">
        <v>0</v>
      </c>
      <c r="O2561">
        <v>0</v>
      </c>
      <c r="Q2561">
        <v>0</v>
      </c>
      <c r="R2561" t="b">
        <v>0</v>
      </c>
    </row>
    <row r="2562" spans="1:18" hidden="1">
      <c r="A2562" t="s">
        <v>2477</v>
      </c>
      <c r="B2562" t="s">
        <v>6419</v>
      </c>
      <c r="C2562" t="s">
        <v>6420</v>
      </c>
      <c r="E2562">
        <v>1</v>
      </c>
      <c r="F2562">
        <v>1</v>
      </c>
      <c r="G2562">
        <v>0</v>
      </c>
      <c r="H2562">
        <v>0</v>
      </c>
      <c r="J2562" t="s">
        <v>93</v>
      </c>
      <c r="K2562" t="b">
        <v>0</v>
      </c>
      <c r="L2562">
        <f t="shared" si="39"/>
        <v>1</v>
      </c>
      <c r="M2562">
        <f t="shared" si="39"/>
        <v>1</v>
      </c>
      <c r="N2562" t="b">
        <v>0</v>
      </c>
      <c r="O2562">
        <v>0</v>
      </c>
      <c r="Q2562">
        <v>0</v>
      </c>
      <c r="R2562" t="b">
        <v>0</v>
      </c>
    </row>
    <row r="2563" spans="1:18" hidden="1">
      <c r="A2563" t="s">
        <v>2984</v>
      </c>
      <c r="B2563" t="s">
        <v>6421</v>
      </c>
      <c r="C2563" t="s">
        <v>6422</v>
      </c>
      <c r="E2563">
        <v>1</v>
      </c>
      <c r="F2563">
        <v>1</v>
      </c>
      <c r="G2563">
        <v>0</v>
      </c>
      <c r="H2563">
        <v>0</v>
      </c>
      <c r="J2563" t="s">
        <v>93</v>
      </c>
      <c r="K2563" t="b">
        <v>0</v>
      </c>
      <c r="L2563">
        <f t="shared" ref="L2563:M2626" si="40">E2563+G2563</f>
        <v>1</v>
      </c>
      <c r="M2563">
        <f t="shared" si="40"/>
        <v>1</v>
      </c>
      <c r="N2563" t="b">
        <v>0</v>
      </c>
      <c r="O2563">
        <v>0</v>
      </c>
      <c r="Q2563">
        <v>0</v>
      </c>
      <c r="R2563" t="b">
        <v>0</v>
      </c>
    </row>
    <row r="2564" spans="1:18" hidden="1">
      <c r="A2564" t="s">
        <v>2984</v>
      </c>
      <c r="B2564" t="s">
        <v>6423</v>
      </c>
      <c r="C2564" t="s">
        <v>6424</v>
      </c>
      <c r="E2564">
        <v>1</v>
      </c>
      <c r="F2564">
        <v>1</v>
      </c>
      <c r="G2564">
        <v>0</v>
      </c>
      <c r="H2564">
        <v>0</v>
      </c>
      <c r="J2564" t="s">
        <v>93</v>
      </c>
      <c r="K2564" t="b">
        <v>0</v>
      </c>
      <c r="L2564">
        <f t="shared" si="40"/>
        <v>1</v>
      </c>
      <c r="M2564">
        <f t="shared" si="40"/>
        <v>1</v>
      </c>
      <c r="N2564" t="b">
        <v>0</v>
      </c>
      <c r="O2564">
        <v>0</v>
      </c>
      <c r="Q2564">
        <v>0</v>
      </c>
      <c r="R2564" t="b">
        <v>0</v>
      </c>
    </row>
    <row r="2565" spans="1:18" hidden="1">
      <c r="A2565" t="s">
        <v>2984</v>
      </c>
      <c r="B2565" t="s">
        <v>6425</v>
      </c>
      <c r="C2565" t="s">
        <v>6426</v>
      </c>
      <c r="E2565">
        <v>1</v>
      </c>
      <c r="F2565">
        <v>1</v>
      </c>
      <c r="G2565">
        <v>0</v>
      </c>
      <c r="H2565">
        <v>0</v>
      </c>
      <c r="J2565" t="s">
        <v>93</v>
      </c>
      <c r="K2565" t="b">
        <v>0</v>
      </c>
      <c r="L2565">
        <f t="shared" si="40"/>
        <v>1</v>
      </c>
      <c r="M2565">
        <f t="shared" si="40"/>
        <v>1</v>
      </c>
      <c r="N2565" t="b">
        <v>0</v>
      </c>
      <c r="O2565">
        <v>0</v>
      </c>
      <c r="Q2565">
        <v>0</v>
      </c>
      <c r="R2565" t="b">
        <v>0</v>
      </c>
    </row>
    <row r="2566" spans="1:18" hidden="1">
      <c r="A2566" t="s">
        <v>2984</v>
      </c>
      <c r="B2566" t="s">
        <v>6427</v>
      </c>
      <c r="C2566" t="s">
        <v>6428</v>
      </c>
      <c r="E2566">
        <v>1</v>
      </c>
      <c r="F2566">
        <v>1</v>
      </c>
      <c r="G2566">
        <v>0</v>
      </c>
      <c r="H2566">
        <v>0</v>
      </c>
      <c r="J2566" t="s">
        <v>93</v>
      </c>
      <c r="K2566" t="b">
        <v>0</v>
      </c>
      <c r="L2566">
        <f t="shared" si="40"/>
        <v>1</v>
      </c>
      <c r="M2566">
        <f t="shared" si="40"/>
        <v>1</v>
      </c>
      <c r="N2566" t="b">
        <v>0</v>
      </c>
      <c r="O2566">
        <v>0</v>
      </c>
      <c r="Q2566">
        <v>0</v>
      </c>
      <c r="R2566" t="b">
        <v>0</v>
      </c>
    </row>
    <row r="2567" spans="1:18" hidden="1">
      <c r="A2567" t="s">
        <v>2984</v>
      </c>
      <c r="B2567" t="s">
        <v>6429</v>
      </c>
      <c r="C2567" t="s">
        <v>6430</v>
      </c>
      <c r="E2567">
        <v>1</v>
      </c>
      <c r="F2567">
        <v>1</v>
      </c>
      <c r="G2567">
        <v>0</v>
      </c>
      <c r="H2567">
        <v>0</v>
      </c>
      <c r="J2567" t="s">
        <v>93</v>
      </c>
      <c r="K2567" t="b">
        <v>0</v>
      </c>
      <c r="L2567">
        <f t="shared" si="40"/>
        <v>1</v>
      </c>
      <c r="M2567">
        <f t="shared" si="40"/>
        <v>1</v>
      </c>
      <c r="N2567" t="b">
        <v>0</v>
      </c>
      <c r="O2567">
        <v>0</v>
      </c>
      <c r="Q2567">
        <v>0</v>
      </c>
      <c r="R2567" t="b">
        <v>0</v>
      </c>
    </row>
    <row r="2568" spans="1:18" hidden="1">
      <c r="A2568" t="s">
        <v>2984</v>
      </c>
      <c r="B2568" t="s">
        <v>6431</v>
      </c>
      <c r="C2568" t="s">
        <v>6432</v>
      </c>
      <c r="E2568">
        <v>1</v>
      </c>
      <c r="F2568">
        <v>1</v>
      </c>
      <c r="G2568">
        <v>0</v>
      </c>
      <c r="H2568">
        <v>0</v>
      </c>
      <c r="J2568" t="s">
        <v>93</v>
      </c>
      <c r="K2568" t="b">
        <v>0</v>
      </c>
      <c r="L2568">
        <f t="shared" si="40"/>
        <v>1</v>
      </c>
      <c r="M2568">
        <f t="shared" si="40"/>
        <v>1</v>
      </c>
      <c r="N2568" t="b">
        <v>0</v>
      </c>
      <c r="O2568">
        <v>0</v>
      </c>
      <c r="Q2568">
        <v>0</v>
      </c>
      <c r="R2568" t="b">
        <v>0</v>
      </c>
    </row>
    <row r="2569" spans="1:18" hidden="1">
      <c r="A2569" t="s">
        <v>1304</v>
      </c>
      <c r="B2569" t="s">
        <v>6433</v>
      </c>
      <c r="C2569" t="s">
        <v>6434</v>
      </c>
      <c r="E2569">
        <v>1</v>
      </c>
      <c r="F2569">
        <v>1</v>
      </c>
      <c r="G2569">
        <v>0</v>
      </c>
      <c r="H2569">
        <v>0</v>
      </c>
      <c r="J2569" t="s">
        <v>93</v>
      </c>
      <c r="K2569" t="b">
        <v>0</v>
      </c>
      <c r="L2569">
        <f t="shared" si="40"/>
        <v>1</v>
      </c>
      <c r="M2569">
        <f t="shared" si="40"/>
        <v>1</v>
      </c>
      <c r="N2569" t="b">
        <v>0</v>
      </c>
      <c r="O2569">
        <v>0</v>
      </c>
      <c r="Q2569">
        <v>0</v>
      </c>
      <c r="R2569" t="b">
        <v>0</v>
      </c>
    </row>
    <row r="2570" spans="1:18" hidden="1">
      <c r="A2570" t="s">
        <v>37</v>
      </c>
      <c r="B2570" t="s">
        <v>6435</v>
      </c>
      <c r="C2570" t="s">
        <v>6436</v>
      </c>
      <c r="E2570">
        <v>0</v>
      </c>
      <c r="F2570">
        <v>0</v>
      </c>
      <c r="G2570">
        <v>1</v>
      </c>
      <c r="H2570">
        <v>1</v>
      </c>
      <c r="J2570" t="s">
        <v>93</v>
      </c>
      <c r="K2570" t="b">
        <v>1</v>
      </c>
      <c r="L2570">
        <f t="shared" si="40"/>
        <v>1</v>
      </c>
      <c r="M2570">
        <f t="shared" si="40"/>
        <v>1</v>
      </c>
      <c r="N2570" t="b">
        <v>0</v>
      </c>
      <c r="O2570">
        <v>0</v>
      </c>
      <c r="Q2570">
        <v>0</v>
      </c>
      <c r="R2570" t="b">
        <v>0</v>
      </c>
    </row>
    <row r="2571" spans="1:18" hidden="1">
      <c r="A2571" t="s">
        <v>2901</v>
      </c>
      <c r="B2571" t="s">
        <v>6437</v>
      </c>
      <c r="C2571" t="s">
        <v>6438</v>
      </c>
      <c r="E2571">
        <v>1</v>
      </c>
      <c r="F2571">
        <v>0</v>
      </c>
      <c r="G2571">
        <v>0</v>
      </c>
      <c r="H2571">
        <v>0</v>
      </c>
      <c r="J2571" t="s">
        <v>93</v>
      </c>
      <c r="K2571" t="b">
        <v>0</v>
      </c>
      <c r="L2571">
        <f t="shared" si="40"/>
        <v>1</v>
      </c>
      <c r="M2571">
        <f t="shared" si="40"/>
        <v>0</v>
      </c>
      <c r="N2571" t="b">
        <v>1</v>
      </c>
      <c r="O2571">
        <v>0</v>
      </c>
      <c r="Q2571">
        <v>0</v>
      </c>
      <c r="R2571" t="b">
        <v>0</v>
      </c>
    </row>
    <row r="2572" spans="1:18" hidden="1">
      <c r="A2572" t="s">
        <v>248</v>
      </c>
      <c r="B2572" t="s">
        <v>6439</v>
      </c>
      <c r="C2572" t="s">
        <v>6440</v>
      </c>
      <c r="E2572">
        <v>0</v>
      </c>
      <c r="F2572">
        <v>0</v>
      </c>
      <c r="G2572">
        <v>1</v>
      </c>
      <c r="H2572">
        <v>1</v>
      </c>
      <c r="J2572" t="s">
        <v>93</v>
      </c>
      <c r="K2572" t="b">
        <v>1</v>
      </c>
      <c r="L2572">
        <f t="shared" si="40"/>
        <v>1</v>
      </c>
      <c r="M2572">
        <f t="shared" si="40"/>
        <v>1</v>
      </c>
      <c r="N2572" t="b">
        <v>0</v>
      </c>
      <c r="O2572">
        <v>0</v>
      </c>
      <c r="Q2572">
        <v>0</v>
      </c>
      <c r="R2572" t="b">
        <v>0</v>
      </c>
    </row>
    <row r="2573" spans="1:18" hidden="1">
      <c r="A2573" t="s">
        <v>3511</v>
      </c>
      <c r="B2573" t="s">
        <v>6441</v>
      </c>
      <c r="C2573" t="s">
        <v>6442</v>
      </c>
      <c r="E2573">
        <v>0</v>
      </c>
      <c r="F2573">
        <v>0</v>
      </c>
      <c r="G2573">
        <v>1</v>
      </c>
      <c r="H2573">
        <v>1</v>
      </c>
      <c r="J2573" t="s">
        <v>93</v>
      </c>
      <c r="K2573" t="b">
        <v>0</v>
      </c>
      <c r="L2573">
        <f t="shared" si="40"/>
        <v>1</v>
      </c>
      <c r="M2573">
        <f t="shared" si="40"/>
        <v>1</v>
      </c>
      <c r="N2573" t="b">
        <v>0</v>
      </c>
      <c r="O2573">
        <v>0</v>
      </c>
      <c r="Q2573">
        <v>0</v>
      </c>
      <c r="R2573" t="b">
        <v>0</v>
      </c>
    </row>
    <row r="2574" spans="1:18" hidden="1">
      <c r="A2574" t="s">
        <v>2851</v>
      </c>
      <c r="B2574" t="s">
        <v>6443</v>
      </c>
      <c r="C2574" t="s">
        <v>6444</v>
      </c>
      <c r="E2574">
        <v>1</v>
      </c>
      <c r="F2574">
        <v>1</v>
      </c>
      <c r="G2574">
        <v>0</v>
      </c>
      <c r="H2574">
        <v>0</v>
      </c>
      <c r="J2574" t="s">
        <v>93</v>
      </c>
      <c r="K2574" t="b">
        <v>0</v>
      </c>
      <c r="L2574">
        <f t="shared" si="40"/>
        <v>1</v>
      </c>
      <c r="M2574">
        <f t="shared" si="40"/>
        <v>1</v>
      </c>
      <c r="N2574" t="b">
        <v>0</v>
      </c>
      <c r="O2574">
        <v>0</v>
      </c>
      <c r="Q2574">
        <v>0</v>
      </c>
      <c r="R2574" t="b">
        <v>0</v>
      </c>
    </row>
    <row r="2575" spans="1:18">
      <c r="A2575" t="s">
        <v>5430</v>
      </c>
      <c r="B2575" t="s">
        <v>6445</v>
      </c>
      <c r="C2575" t="s">
        <v>6446</v>
      </c>
      <c r="E2575">
        <v>1</v>
      </c>
      <c r="F2575">
        <v>1</v>
      </c>
      <c r="G2575">
        <v>0</v>
      </c>
      <c r="H2575">
        <v>0</v>
      </c>
      <c r="J2575" t="s">
        <v>22</v>
      </c>
      <c r="K2575" t="b">
        <v>1</v>
      </c>
      <c r="L2575">
        <f t="shared" si="40"/>
        <v>1</v>
      </c>
      <c r="M2575">
        <f t="shared" si="40"/>
        <v>1</v>
      </c>
      <c r="N2575" t="b">
        <v>0</v>
      </c>
      <c r="O2575">
        <v>1</v>
      </c>
      <c r="P2575" t="s">
        <v>6447</v>
      </c>
      <c r="Q2575">
        <v>2</v>
      </c>
      <c r="R2575" t="b">
        <v>1</v>
      </c>
    </row>
    <row r="2576" spans="1:18">
      <c r="A2576" t="s">
        <v>5430</v>
      </c>
      <c r="B2576" t="s">
        <v>6448</v>
      </c>
      <c r="C2576" t="s">
        <v>6449</v>
      </c>
      <c r="E2576">
        <v>1</v>
      </c>
      <c r="F2576">
        <v>1</v>
      </c>
      <c r="G2576">
        <v>0</v>
      </c>
      <c r="H2576">
        <v>0</v>
      </c>
      <c r="J2576" t="s">
        <v>22</v>
      </c>
      <c r="K2576" t="b">
        <v>1</v>
      </c>
      <c r="L2576">
        <f t="shared" si="40"/>
        <v>1</v>
      </c>
      <c r="M2576">
        <f t="shared" si="40"/>
        <v>1</v>
      </c>
      <c r="N2576" t="b">
        <v>0</v>
      </c>
      <c r="O2576">
        <v>1</v>
      </c>
      <c r="P2576" t="s">
        <v>6450</v>
      </c>
      <c r="Q2576">
        <v>2</v>
      </c>
      <c r="R2576" t="b">
        <v>1</v>
      </c>
    </row>
    <row r="2577" spans="1:18" hidden="1">
      <c r="A2577" t="s">
        <v>3015</v>
      </c>
      <c r="B2577" t="s">
        <v>6451</v>
      </c>
      <c r="C2577" t="s">
        <v>6452</v>
      </c>
      <c r="E2577">
        <v>1</v>
      </c>
      <c r="F2577">
        <v>1</v>
      </c>
      <c r="G2577">
        <v>0</v>
      </c>
      <c r="H2577">
        <v>0</v>
      </c>
      <c r="J2577" t="s">
        <v>93</v>
      </c>
      <c r="K2577" t="b">
        <v>0</v>
      </c>
      <c r="L2577">
        <f t="shared" si="40"/>
        <v>1</v>
      </c>
      <c r="M2577">
        <f t="shared" si="40"/>
        <v>1</v>
      </c>
      <c r="N2577" t="b">
        <v>0</v>
      </c>
      <c r="O2577">
        <v>0</v>
      </c>
      <c r="Q2577">
        <v>0</v>
      </c>
      <c r="R2577" t="b">
        <v>0</v>
      </c>
    </row>
    <row r="2578" spans="1:18" hidden="1">
      <c r="A2578" t="s">
        <v>3015</v>
      </c>
      <c r="B2578" t="s">
        <v>6453</v>
      </c>
      <c r="C2578" t="s">
        <v>6454</v>
      </c>
      <c r="E2578">
        <v>0</v>
      </c>
      <c r="F2578">
        <v>0</v>
      </c>
      <c r="G2578">
        <v>1</v>
      </c>
      <c r="H2578">
        <v>1</v>
      </c>
      <c r="J2578" t="s">
        <v>93</v>
      </c>
      <c r="K2578" t="b">
        <v>0</v>
      </c>
      <c r="L2578">
        <f t="shared" si="40"/>
        <v>1</v>
      </c>
      <c r="M2578">
        <f t="shared" si="40"/>
        <v>1</v>
      </c>
      <c r="N2578" t="b">
        <v>0</v>
      </c>
      <c r="O2578">
        <v>0</v>
      </c>
      <c r="Q2578">
        <v>0</v>
      </c>
      <c r="R2578" t="b">
        <v>0</v>
      </c>
    </row>
    <row r="2579" spans="1:18" hidden="1">
      <c r="A2579" t="s">
        <v>3015</v>
      </c>
      <c r="B2579" t="s">
        <v>6455</v>
      </c>
      <c r="C2579" t="s">
        <v>6456</v>
      </c>
      <c r="E2579">
        <v>0</v>
      </c>
      <c r="F2579">
        <v>0</v>
      </c>
      <c r="G2579">
        <v>1</v>
      </c>
      <c r="H2579">
        <v>1</v>
      </c>
      <c r="J2579" t="s">
        <v>93</v>
      </c>
      <c r="K2579" t="b">
        <v>0</v>
      </c>
      <c r="L2579">
        <f t="shared" si="40"/>
        <v>1</v>
      </c>
      <c r="M2579">
        <f t="shared" si="40"/>
        <v>1</v>
      </c>
      <c r="N2579" t="b">
        <v>0</v>
      </c>
      <c r="O2579">
        <v>0</v>
      </c>
      <c r="Q2579">
        <v>0</v>
      </c>
      <c r="R2579" t="b">
        <v>0</v>
      </c>
    </row>
    <row r="2580" spans="1:18" hidden="1">
      <c r="A2580" t="s">
        <v>3015</v>
      </c>
      <c r="B2580" t="s">
        <v>6457</v>
      </c>
      <c r="C2580" t="s">
        <v>6458</v>
      </c>
      <c r="E2580">
        <v>0</v>
      </c>
      <c r="F2580">
        <v>0</v>
      </c>
      <c r="G2580">
        <v>1</v>
      </c>
      <c r="H2580">
        <v>1</v>
      </c>
      <c r="J2580" t="s">
        <v>93</v>
      </c>
      <c r="K2580" t="b">
        <v>0</v>
      </c>
      <c r="L2580">
        <f t="shared" si="40"/>
        <v>1</v>
      </c>
      <c r="M2580">
        <f t="shared" si="40"/>
        <v>1</v>
      </c>
      <c r="N2580" t="b">
        <v>0</v>
      </c>
      <c r="O2580">
        <v>0</v>
      </c>
      <c r="Q2580">
        <v>0</v>
      </c>
      <c r="R2580" t="b">
        <v>0</v>
      </c>
    </row>
    <row r="2581" spans="1:18" hidden="1">
      <c r="A2581" t="s">
        <v>3015</v>
      </c>
      <c r="B2581" t="s">
        <v>6459</v>
      </c>
      <c r="C2581" t="s">
        <v>6460</v>
      </c>
      <c r="E2581">
        <v>1</v>
      </c>
      <c r="F2581">
        <v>1</v>
      </c>
      <c r="G2581">
        <v>0</v>
      </c>
      <c r="H2581">
        <v>0</v>
      </c>
      <c r="J2581" t="s">
        <v>93</v>
      </c>
      <c r="K2581" t="b">
        <v>0</v>
      </c>
      <c r="L2581">
        <f t="shared" si="40"/>
        <v>1</v>
      </c>
      <c r="M2581">
        <f t="shared" si="40"/>
        <v>1</v>
      </c>
      <c r="N2581" t="b">
        <v>0</v>
      </c>
      <c r="O2581">
        <v>0</v>
      </c>
      <c r="Q2581">
        <v>0</v>
      </c>
      <c r="R2581" t="b">
        <v>0</v>
      </c>
    </row>
    <row r="2582" spans="1:18" hidden="1">
      <c r="A2582" t="s">
        <v>3015</v>
      </c>
      <c r="B2582" t="s">
        <v>6461</v>
      </c>
      <c r="C2582" t="s">
        <v>6462</v>
      </c>
      <c r="E2582">
        <v>1</v>
      </c>
      <c r="F2582">
        <v>1</v>
      </c>
      <c r="G2582">
        <v>0</v>
      </c>
      <c r="H2582">
        <v>0</v>
      </c>
      <c r="J2582" t="s">
        <v>93</v>
      </c>
      <c r="K2582" t="b">
        <v>0</v>
      </c>
      <c r="L2582">
        <f t="shared" si="40"/>
        <v>1</v>
      </c>
      <c r="M2582">
        <f t="shared" si="40"/>
        <v>1</v>
      </c>
      <c r="N2582" t="b">
        <v>0</v>
      </c>
      <c r="O2582">
        <v>0</v>
      </c>
      <c r="Q2582">
        <v>0</v>
      </c>
      <c r="R2582" t="b">
        <v>0</v>
      </c>
    </row>
    <row r="2583" spans="1:18" hidden="1">
      <c r="A2583" t="s">
        <v>3015</v>
      </c>
      <c r="B2583" t="s">
        <v>6463</v>
      </c>
      <c r="C2583" t="s">
        <v>6464</v>
      </c>
      <c r="E2583">
        <v>0</v>
      </c>
      <c r="F2583">
        <v>0</v>
      </c>
      <c r="G2583">
        <v>1</v>
      </c>
      <c r="H2583">
        <v>1</v>
      </c>
      <c r="J2583" t="s">
        <v>93</v>
      </c>
      <c r="K2583" t="b">
        <v>0</v>
      </c>
      <c r="L2583">
        <f t="shared" si="40"/>
        <v>1</v>
      </c>
      <c r="M2583">
        <f t="shared" si="40"/>
        <v>1</v>
      </c>
      <c r="N2583" t="b">
        <v>0</v>
      </c>
      <c r="O2583">
        <v>0</v>
      </c>
      <c r="Q2583">
        <v>0</v>
      </c>
      <c r="R2583" t="b">
        <v>0</v>
      </c>
    </row>
    <row r="2584" spans="1:18" hidden="1">
      <c r="A2584" t="s">
        <v>3015</v>
      </c>
      <c r="B2584" t="s">
        <v>6465</v>
      </c>
      <c r="C2584" t="s">
        <v>6466</v>
      </c>
      <c r="E2584">
        <v>0</v>
      </c>
      <c r="F2584">
        <v>0</v>
      </c>
      <c r="G2584">
        <v>1</v>
      </c>
      <c r="H2584">
        <v>1</v>
      </c>
      <c r="J2584" t="s">
        <v>93</v>
      </c>
      <c r="K2584" t="b">
        <v>0</v>
      </c>
      <c r="L2584">
        <f t="shared" si="40"/>
        <v>1</v>
      </c>
      <c r="M2584">
        <f t="shared" si="40"/>
        <v>1</v>
      </c>
      <c r="N2584" t="b">
        <v>0</v>
      </c>
      <c r="O2584">
        <v>0</v>
      </c>
      <c r="Q2584">
        <v>0</v>
      </c>
      <c r="R2584" t="b">
        <v>0</v>
      </c>
    </row>
    <row r="2585" spans="1:18" hidden="1">
      <c r="A2585" t="s">
        <v>3015</v>
      </c>
      <c r="B2585" t="s">
        <v>6467</v>
      </c>
      <c r="C2585" t="s">
        <v>6468</v>
      </c>
      <c r="E2585">
        <v>0</v>
      </c>
      <c r="F2585">
        <v>0</v>
      </c>
      <c r="G2585">
        <v>1</v>
      </c>
      <c r="H2585">
        <v>1</v>
      </c>
      <c r="J2585" t="s">
        <v>93</v>
      </c>
      <c r="K2585" t="b">
        <v>0</v>
      </c>
      <c r="L2585">
        <f t="shared" si="40"/>
        <v>1</v>
      </c>
      <c r="M2585">
        <f t="shared" si="40"/>
        <v>1</v>
      </c>
      <c r="N2585" t="b">
        <v>0</v>
      </c>
      <c r="O2585">
        <v>0</v>
      </c>
      <c r="Q2585">
        <v>0</v>
      </c>
      <c r="R2585" t="b">
        <v>0</v>
      </c>
    </row>
    <row r="2586" spans="1:18" hidden="1">
      <c r="A2586" t="s">
        <v>3015</v>
      </c>
      <c r="B2586" t="s">
        <v>6469</v>
      </c>
      <c r="C2586" t="s">
        <v>6470</v>
      </c>
      <c r="E2586">
        <v>0</v>
      </c>
      <c r="F2586">
        <v>0</v>
      </c>
      <c r="G2586">
        <v>1</v>
      </c>
      <c r="H2586">
        <v>1</v>
      </c>
      <c r="J2586" t="s">
        <v>93</v>
      </c>
      <c r="K2586" t="b">
        <v>0</v>
      </c>
      <c r="L2586">
        <f t="shared" si="40"/>
        <v>1</v>
      </c>
      <c r="M2586">
        <f t="shared" si="40"/>
        <v>1</v>
      </c>
      <c r="N2586" t="b">
        <v>0</v>
      </c>
      <c r="O2586">
        <v>0</v>
      </c>
      <c r="Q2586">
        <v>0</v>
      </c>
      <c r="R2586" t="b">
        <v>0</v>
      </c>
    </row>
    <row r="2587" spans="1:18" hidden="1">
      <c r="A2587" t="s">
        <v>3015</v>
      </c>
      <c r="B2587" t="s">
        <v>6471</v>
      </c>
      <c r="C2587" t="s">
        <v>6472</v>
      </c>
      <c r="E2587">
        <v>0</v>
      </c>
      <c r="F2587">
        <v>0</v>
      </c>
      <c r="G2587">
        <v>1</v>
      </c>
      <c r="H2587">
        <v>1</v>
      </c>
      <c r="J2587" t="s">
        <v>93</v>
      </c>
      <c r="K2587" t="b">
        <v>0</v>
      </c>
      <c r="L2587">
        <f t="shared" si="40"/>
        <v>1</v>
      </c>
      <c r="M2587">
        <f t="shared" si="40"/>
        <v>1</v>
      </c>
      <c r="N2587" t="b">
        <v>0</v>
      </c>
      <c r="O2587">
        <v>0</v>
      </c>
      <c r="Q2587">
        <v>0</v>
      </c>
      <c r="R2587" t="b">
        <v>0</v>
      </c>
    </row>
    <row r="2588" spans="1:18" hidden="1">
      <c r="A2588" t="s">
        <v>3911</v>
      </c>
      <c r="B2588" t="s">
        <v>6473</v>
      </c>
      <c r="C2588" t="s">
        <v>6474</v>
      </c>
      <c r="E2588">
        <v>1</v>
      </c>
      <c r="F2588">
        <v>1</v>
      </c>
      <c r="G2588">
        <v>0</v>
      </c>
      <c r="H2588">
        <v>0</v>
      </c>
      <c r="J2588" t="s">
        <v>93</v>
      </c>
      <c r="K2588" t="b">
        <v>0</v>
      </c>
      <c r="L2588">
        <f t="shared" si="40"/>
        <v>1</v>
      </c>
      <c r="M2588">
        <f t="shared" si="40"/>
        <v>1</v>
      </c>
      <c r="N2588" t="b">
        <v>0</v>
      </c>
      <c r="O2588">
        <v>0</v>
      </c>
      <c r="Q2588">
        <v>0</v>
      </c>
      <c r="R2588" t="b">
        <v>0</v>
      </c>
    </row>
    <row r="2589" spans="1:18" hidden="1">
      <c r="A2589" t="s">
        <v>4383</v>
      </c>
      <c r="B2589" t="s">
        <v>6475</v>
      </c>
      <c r="C2589" t="s">
        <v>6476</v>
      </c>
      <c r="E2589">
        <v>0</v>
      </c>
      <c r="F2589">
        <v>0</v>
      </c>
      <c r="G2589">
        <v>1</v>
      </c>
      <c r="H2589">
        <v>1</v>
      </c>
      <c r="J2589" t="s">
        <v>93</v>
      </c>
      <c r="K2589" t="b">
        <v>1</v>
      </c>
      <c r="L2589">
        <f t="shared" si="40"/>
        <v>1</v>
      </c>
      <c r="M2589">
        <f t="shared" si="40"/>
        <v>1</v>
      </c>
      <c r="N2589" t="b">
        <v>0</v>
      </c>
      <c r="O2589">
        <v>0.25</v>
      </c>
      <c r="P2589" t="s">
        <v>4944</v>
      </c>
      <c r="Q2589">
        <v>8</v>
      </c>
      <c r="R2589" t="b">
        <v>1</v>
      </c>
    </row>
    <row r="2590" spans="1:18" hidden="1">
      <c r="A2590" t="s">
        <v>4383</v>
      </c>
      <c r="B2590" t="s">
        <v>6477</v>
      </c>
      <c r="C2590" t="s">
        <v>6478</v>
      </c>
      <c r="E2590">
        <v>0</v>
      </c>
      <c r="F2590">
        <v>0</v>
      </c>
      <c r="G2590">
        <v>1</v>
      </c>
      <c r="H2590">
        <v>1</v>
      </c>
      <c r="J2590" t="s">
        <v>93</v>
      </c>
      <c r="K2590" t="b">
        <v>1</v>
      </c>
      <c r="L2590">
        <f t="shared" si="40"/>
        <v>1</v>
      </c>
      <c r="M2590">
        <f t="shared" si="40"/>
        <v>1</v>
      </c>
      <c r="N2590" t="b">
        <v>0</v>
      </c>
      <c r="O2590">
        <v>0</v>
      </c>
      <c r="Q2590">
        <v>0</v>
      </c>
      <c r="R2590" t="b">
        <v>0</v>
      </c>
    </row>
    <row r="2591" spans="1:18" hidden="1">
      <c r="A2591" t="s">
        <v>4383</v>
      </c>
      <c r="B2591" t="s">
        <v>6479</v>
      </c>
      <c r="C2591" t="s">
        <v>6480</v>
      </c>
      <c r="E2591">
        <v>0</v>
      </c>
      <c r="F2591">
        <v>0</v>
      </c>
      <c r="G2591">
        <v>1</v>
      </c>
      <c r="H2591">
        <v>1</v>
      </c>
      <c r="J2591" t="s">
        <v>93</v>
      </c>
      <c r="K2591" t="b">
        <v>1</v>
      </c>
      <c r="L2591">
        <f t="shared" si="40"/>
        <v>1</v>
      </c>
      <c r="M2591">
        <f t="shared" si="40"/>
        <v>1</v>
      </c>
      <c r="N2591" t="b">
        <v>0</v>
      </c>
      <c r="O2591">
        <v>0</v>
      </c>
      <c r="Q2591">
        <v>0</v>
      </c>
      <c r="R2591" t="b">
        <v>0</v>
      </c>
    </row>
    <row r="2592" spans="1:18">
      <c r="A2592" t="s">
        <v>1334</v>
      </c>
      <c r="B2592" t="s">
        <v>6481</v>
      </c>
      <c r="C2592" t="s">
        <v>6482</v>
      </c>
      <c r="E2592">
        <v>0</v>
      </c>
      <c r="F2592">
        <v>0</v>
      </c>
      <c r="G2592">
        <v>1</v>
      </c>
      <c r="H2592">
        <v>1</v>
      </c>
      <c r="J2592" t="s">
        <v>22</v>
      </c>
      <c r="K2592" t="b">
        <v>1</v>
      </c>
      <c r="L2592">
        <f t="shared" si="40"/>
        <v>1</v>
      </c>
      <c r="M2592">
        <f t="shared" si="40"/>
        <v>1</v>
      </c>
      <c r="N2592" t="b">
        <v>0</v>
      </c>
      <c r="O2592">
        <v>1</v>
      </c>
      <c r="P2592" t="s">
        <v>6483</v>
      </c>
      <c r="Q2592">
        <v>1</v>
      </c>
      <c r="R2592" t="b">
        <v>1</v>
      </c>
    </row>
    <row r="2593" spans="1:18">
      <c r="A2593" t="s">
        <v>1334</v>
      </c>
      <c r="B2593" t="s">
        <v>6484</v>
      </c>
      <c r="C2593" t="s">
        <v>6485</v>
      </c>
      <c r="E2593">
        <v>0</v>
      </c>
      <c r="F2593">
        <v>0</v>
      </c>
      <c r="G2593">
        <v>1</v>
      </c>
      <c r="H2593">
        <v>1</v>
      </c>
      <c r="J2593" t="s">
        <v>22</v>
      </c>
      <c r="K2593" t="b">
        <v>1</v>
      </c>
      <c r="L2593">
        <f t="shared" si="40"/>
        <v>1</v>
      </c>
      <c r="M2593">
        <f t="shared" si="40"/>
        <v>1</v>
      </c>
      <c r="N2593" t="b">
        <v>0</v>
      </c>
      <c r="O2593">
        <v>1</v>
      </c>
      <c r="P2593" t="s">
        <v>6486</v>
      </c>
      <c r="Q2593">
        <v>1</v>
      </c>
      <c r="R2593" t="b">
        <v>1</v>
      </c>
    </row>
    <row r="2594" spans="1:18">
      <c r="A2594" t="s">
        <v>1334</v>
      </c>
      <c r="B2594" t="s">
        <v>6487</v>
      </c>
      <c r="C2594" t="s">
        <v>6488</v>
      </c>
      <c r="E2594">
        <v>0</v>
      </c>
      <c r="F2594">
        <v>0</v>
      </c>
      <c r="G2594">
        <v>1</v>
      </c>
      <c r="H2594">
        <v>1</v>
      </c>
      <c r="J2594" t="s">
        <v>22</v>
      </c>
      <c r="K2594" t="b">
        <v>1</v>
      </c>
      <c r="L2594">
        <f t="shared" si="40"/>
        <v>1</v>
      </c>
      <c r="M2594">
        <f t="shared" si="40"/>
        <v>1</v>
      </c>
      <c r="N2594" t="b">
        <v>0</v>
      </c>
      <c r="O2594">
        <v>1</v>
      </c>
      <c r="P2594" t="s">
        <v>6489</v>
      </c>
      <c r="Q2594">
        <v>1</v>
      </c>
      <c r="R2594" t="b">
        <v>1</v>
      </c>
    </row>
    <row r="2595" spans="1:18" hidden="1">
      <c r="A2595" t="s">
        <v>3874</v>
      </c>
      <c r="B2595" t="s">
        <v>6490</v>
      </c>
      <c r="C2595" t="s">
        <v>6491</v>
      </c>
      <c r="E2595">
        <v>0</v>
      </c>
      <c r="F2595">
        <v>0</v>
      </c>
      <c r="G2595">
        <v>1</v>
      </c>
      <c r="H2595">
        <v>1</v>
      </c>
      <c r="J2595" t="s">
        <v>93</v>
      </c>
      <c r="K2595" t="b">
        <v>0</v>
      </c>
      <c r="L2595">
        <f t="shared" si="40"/>
        <v>1</v>
      </c>
      <c r="M2595">
        <f t="shared" si="40"/>
        <v>1</v>
      </c>
      <c r="N2595" t="b">
        <v>0</v>
      </c>
      <c r="O2595">
        <v>0</v>
      </c>
      <c r="Q2595">
        <v>0</v>
      </c>
      <c r="R2595" t="b">
        <v>0</v>
      </c>
    </row>
    <row r="2596" spans="1:18" hidden="1">
      <c r="A2596" t="s">
        <v>3810</v>
      </c>
      <c r="B2596" t="s">
        <v>6492</v>
      </c>
      <c r="C2596" t="s">
        <v>6493</v>
      </c>
      <c r="E2596">
        <v>0</v>
      </c>
      <c r="F2596">
        <v>0</v>
      </c>
      <c r="G2596">
        <v>1</v>
      </c>
      <c r="H2596">
        <v>1</v>
      </c>
      <c r="J2596" t="s">
        <v>93</v>
      </c>
      <c r="K2596" t="b">
        <v>0</v>
      </c>
      <c r="L2596">
        <f t="shared" si="40"/>
        <v>1</v>
      </c>
      <c r="M2596">
        <f t="shared" si="40"/>
        <v>1</v>
      </c>
      <c r="N2596" t="b">
        <v>0</v>
      </c>
      <c r="O2596">
        <v>0</v>
      </c>
      <c r="Q2596">
        <v>0</v>
      </c>
      <c r="R2596" t="b">
        <v>0</v>
      </c>
    </row>
    <row r="2597" spans="1:18" hidden="1">
      <c r="A2597" t="s">
        <v>3810</v>
      </c>
      <c r="B2597" t="s">
        <v>6494</v>
      </c>
      <c r="C2597" t="s">
        <v>6495</v>
      </c>
      <c r="E2597">
        <v>0</v>
      </c>
      <c r="F2597">
        <v>0</v>
      </c>
      <c r="G2597">
        <v>1</v>
      </c>
      <c r="H2597">
        <v>1</v>
      </c>
      <c r="J2597" t="s">
        <v>93</v>
      </c>
      <c r="K2597" t="b">
        <v>0</v>
      </c>
      <c r="L2597">
        <f t="shared" si="40"/>
        <v>1</v>
      </c>
      <c r="M2597">
        <f t="shared" si="40"/>
        <v>1</v>
      </c>
      <c r="N2597" t="b">
        <v>0</v>
      </c>
      <c r="O2597">
        <v>0</v>
      </c>
      <c r="Q2597">
        <v>0</v>
      </c>
      <c r="R2597" t="b">
        <v>0</v>
      </c>
    </row>
    <row r="2598" spans="1:18" hidden="1">
      <c r="A2598" t="s">
        <v>3810</v>
      </c>
      <c r="B2598" t="s">
        <v>6496</v>
      </c>
      <c r="C2598" t="s">
        <v>6497</v>
      </c>
      <c r="E2598">
        <v>0</v>
      </c>
      <c r="F2598">
        <v>0</v>
      </c>
      <c r="G2598">
        <v>1</v>
      </c>
      <c r="H2598">
        <v>1</v>
      </c>
      <c r="J2598" t="s">
        <v>93</v>
      </c>
      <c r="K2598" t="b">
        <v>0</v>
      </c>
      <c r="L2598">
        <f t="shared" si="40"/>
        <v>1</v>
      </c>
      <c r="M2598">
        <f t="shared" si="40"/>
        <v>1</v>
      </c>
      <c r="N2598" t="b">
        <v>0</v>
      </c>
      <c r="O2598">
        <v>0</v>
      </c>
      <c r="Q2598">
        <v>0</v>
      </c>
      <c r="R2598" t="b">
        <v>0</v>
      </c>
    </row>
    <row r="2599" spans="1:18" hidden="1">
      <c r="A2599" t="s">
        <v>3810</v>
      </c>
      <c r="B2599" t="s">
        <v>6498</v>
      </c>
      <c r="C2599" t="s">
        <v>6499</v>
      </c>
      <c r="E2599">
        <v>0</v>
      </c>
      <c r="F2599">
        <v>0</v>
      </c>
      <c r="G2599">
        <v>1</v>
      </c>
      <c r="H2599">
        <v>1</v>
      </c>
      <c r="J2599" t="s">
        <v>93</v>
      </c>
      <c r="K2599" t="b">
        <v>0</v>
      </c>
      <c r="L2599">
        <f t="shared" si="40"/>
        <v>1</v>
      </c>
      <c r="M2599">
        <f t="shared" si="40"/>
        <v>1</v>
      </c>
      <c r="N2599" t="b">
        <v>0</v>
      </c>
      <c r="O2599">
        <v>0</v>
      </c>
      <c r="Q2599">
        <v>0</v>
      </c>
      <c r="R2599" t="b">
        <v>0</v>
      </c>
    </row>
    <row r="2600" spans="1:18" hidden="1">
      <c r="A2600" t="s">
        <v>3810</v>
      </c>
      <c r="B2600" t="s">
        <v>6500</v>
      </c>
      <c r="C2600" t="s">
        <v>6501</v>
      </c>
      <c r="E2600">
        <v>1</v>
      </c>
      <c r="F2600">
        <v>1</v>
      </c>
      <c r="G2600">
        <v>0</v>
      </c>
      <c r="H2600">
        <v>0</v>
      </c>
      <c r="J2600" t="s">
        <v>93</v>
      </c>
      <c r="K2600" t="b">
        <v>0</v>
      </c>
      <c r="L2600">
        <f t="shared" si="40"/>
        <v>1</v>
      </c>
      <c r="M2600">
        <f t="shared" si="40"/>
        <v>1</v>
      </c>
      <c r="N2600" t="b">
        <v>0</v>
      </c>
      <c r="O2600">
        <v>0</v>
      </c>
      <c r="Q2600">
        <v>0</v>
      </c>
      <c r="R2600" t="b">
        <v>0</v>
      </c>
    </row>
    <row r="2601" spans="1:18">
      <c r="A2601" t="s">
        <v>1384</v>
      </c>
      <c r="B2601" t="s">
        <v>6502</v>
      </c>
      <c r="C2601" t="s">
        <v>6503</v>
      </c>
      <c r="E2601">
        <v>0</v>
      </c>
      <c r="F2601">
        <v>0</v>
      </c>
      <c r="G2601">
        <v>1</v>
      </c>
      <c r="H2601">
        <v>1</v>
      </c>
      <c r="J2601" t="s">
        <v>22</v>
      </c>
      <c r="K2601" t="b">
        <v>1</v>
      </c>
      <c r="L2601">
        <f t="shared" si="40"/>
        <v>1</v>
      </c>
      <c r="M2601">
        <f t="shared" si="40"/>
        <v>1</v>
      </c>
      <c r="N2601" t="b">
        <v>0</v>
      </c>
      <c r="O2601">
        <v>1</v>
      </c>
      <c r="P2601" t="s">
        <v>6504</v>
      </c>
      <c r="Q2601">
        <v>2</v>
      </c>
      <c r="R2601" t="b">
        <v>1</v>
      </c>
    </row>
    <row r="2602" spans="1:18" hidden="1">
      <c r="A2602" t="s">
        <v>19</v>
      </c>
      <c r="B2602" t="s">
        <v>6505</v>
      </c>
      <c r="C2602" t="s">
        <v>6506</v>
      </c>
      <c r="E2602">
        <v>1</v>
      </c>
      <c r="F2602">
        <v>0</v>
      </c>
      <c r="G2602">
        <v>0</v>
      </c>
      <c r="H2602">
        <v>0</v>
      </c>
      <c r="J2602" t="s">
        <v>93</v>
      </c>
      <c r="K2602" t="b">
        <v>1</v>
      </c>
      <c r="L2602">
        <f t="shared" si="40"/>
        <v>1</v>
      </c>
      <c r="M2602">
        <f t="shared" si="40"/>
        <v>0</v>
      </c>
      <c r="N2602" t="b">
        <v>0</v>
      </c>
      <c r="O2602">
        <v>0</v>
      </c>
      <c r="Q2602">
        <v>0</v>
      </c>
      <c r="R2602" t="b">
        <v>0</v>
      </c>
    </row>
    <row r="2603" spans="1:18" hidden="1">
      <c r="A2603" t="s">
        <v>115</v>
      </c>
      <c r="B2603" t="s">
        <v>6507</v>
      </c>
      <c r="C2603" t="s">
        <v>6508</v>
      </c>
      <c r="E2603">
        <v>0</v>
      </c>
      <c r="F2603">
        <v>0</v>
      </c>
      <c r="G2603">
        <v>1</v>
      </c>
      <c r="H2603">
        <v>1</v>
      </c>
      <c r="J2603" t="s">
        <v>93</v>
      </c>
      <c r="K2603" t="b">
        <v>1</v>
      </c>
      <c r="L2603">
        <f t="shared" si="40"/>
        <v>1</v>
      </c>
      <c r="M2603">
        <f t="shared" si="40"/>
        <v>1</v>
      </c>
      <c r="N2603" t="b">
        <v>0</v>
      </c>
      <c r="O2603">
        <v>0</v>
      </c>
      <c r="Q2603">
        <v>0</v>
      </c>
      <c r="R2603" t="b">
        <v>0</v>
      </c>
    </row>
    <row r="2604" spans="1:18">
      <c r="A2604" t="s">
        <v>30</v>
      </c>
      <c r="B2604" t="s">
        <v>6509</v>
      </c>
      <c r="C2604" t="s">
        <v>6510</v>
      </c>
      <c r="E2604">
        <v>0</v>
      </c>
      <c r="F2604">
        <v>0</v>
      </c>
      <c r="G2604">
        <v>1</v>
      </c>
      <c r="H2604">
        <v>1</v>
      </c>
      <c r="J2604" t="s">
        <v>22</v>
      </c>
      <c r="K2604" t="b">
        <v>1</v>
      </c>
      <c r="L2604">
        <f t="shared" si="40"/>
        <v>1</v>
      </c>
      <c r="M2604">
        <f t="shared" si="40"/>
        <v>1</v>
      </c>
      <c r="N2604" t="b">
        <v>0</v>
      </c>
      <c r="O2604">
        <v>1</v>
      </c>
      <c r="P2604" t="s">
        <v>6511</v>
      </c>
      <c r="Q2604">
        <v>2</v>
      </c>
      <c r="R2604" t="b">
        <v>1</v>
      </c>
    </row>
    <row r="2605" spans="1:18" hidden="1">
      <c r="A2605" t="s">
        <v>192</v>
      </c>
      <c r="B2605" t="s">
        <v>6512</v>
      </c>
      <c r="C2605" t="s">
        <v>6513</v>
      </c>
      <c r="E2605">
        <v>0</v>
      </c>
      <c r="F2605">
        <v>0</v>
      </c>
      <c r="G2605">
        <v>1</v>
      </c>
      <c r="H2605">
        <v>1</v>
      </c>
      <c r="J2605" t="s">
        <v>93</v>
      </c>
      <c r="K2605" t="b">
        <v>1</v>
      </c>
      <c r="L2605">
        <f t="shared" si="40"/>
        <v>1</v>
      </c>
      <c r="M2605">
        <f t="shared" si="40"/>
        <v>1</v>
      </c>
      <c r="N2605" t="b">
        <v>0</v>
      </c>
      <c r="O2605">
        <v>0</v>
      </c>
      <c r="Q2605">
        <v>0</v>
      </c>
      <c r="R2605" t="b">
        <v>0</v>
      </c>
    </row>
    <row r="2606" spans="1:18">
      <c r="A2606" t="s">
        <v>192</v>
      </c>
      <c r="B2606" t="s">
        <v>6514</v>
      </c>
      <c r="C2606" t="s">
        <v>6515</v>
      </c>
      <c r="E2606">
        <v>0</v>
      </c>
      <c r="F2606">
        <v>0</v>
      </c>
      <c r="G2606">
        <v>1</v>
      </c>
      <c r="H2606">
        <v>1</v>
      </c>
      <c r="J2606" t="s">
        <v>22</v>
      </c>
      <c r="K2606" t="b">
        <v>1</v>
      </c>
      <c r="L2606">
        <f t="shared" si="40"/>
        <v>1</v>
      </c>
      <c r="M2606">
        <f t="shared" si="40"/>
        <v>1</v>
      </c>
      <c r="N2606" t="b">
        <v>0</v>
      </c>
      <c r="O2606">
        <v>1</v>
      </c>
      <c r="P2606" t="s">
        <v>6516</v>
      </c>
      <c r="Q2606">
        <v>2</v>
      </c>
      <c r="R2606" t="b">
        <v>1</v>
      </c>
    </row>
    <row r="2607" spans="1:18">
      <c r="A2607" t="s">
        <v>192</v>
      </c>
      <c r="B2607" t="s">
        <v>6517</v>
      </c>
      <c r="C2607" t="s">
        <v>6518</v>
      </c>
      <c r="E2607">
        <v>0</v>
      </c>
      <c r="F2607">
        <v>0</v>
      </c>
      <c r="G2607">
        <v>1</v>
      </c>
      <c r="H2607">
        <v>1</v>
      </c>
      <c r="J2607" t="s">
        <v>22</v>
      </c>
      <c r="K2607" t="b">
        <v>1</v>
      </c>
      <c r="L2607">
        <f t="shared" si="40"/>
        <v>1</v>
      </c>
      <c r="M2607">
        <f t="shared" si="40"/>
        <v>1</v>
      </c>
      <c r="N2607" t="b">
        <v>0</v>
      </c>
      <c r="O2607">
        <v>1</v>
      </c>
      <c r="P2607" t="s">
        <v>6519</v>
      </c>
      <c r="Q2607">
        <v>2</v>
      </c>
      <c r="R2607" t="b">
        <v>1</v>
      </c>
    </row>
    <row r="2608" spans="1:18" hidden="1">
      <c r="A2608" t="s">
        <v>192</v>
      </c>
      <c r="B2608" t="s">
        <v>6520</v>
      </c>
      <c r="C2608" t="s">
        <v>6521</v>
      </c>
      <c r="E2608">
        <v>0</v>
      </c>
      <c r="F2608">
        <v>0</v>
      </c>
      <c r="G2608">
        <v>1</v>
      </c>
      <c r="H2608">
        <v>1</v>
      </c>
      <c r="J2608" t="s">
        <v>93</v>
      </c>
      <c r="K2608" t="b">
        <v>1</v>
      </c>
      <c r="L2608">
        <f t="shared" si="40"/>
        <v>1</v>
      </c>
      <c r="M2608">
        <f t="shared" si="40"/>
        <v>1</v>
      </c>
      <c r="N2608" t="b">
        <v>0</v>
      </c>
      <c r="O2608">
        <v>0</v>
      </c>
      <c r="Q2608">
        <v>0</v>
      </c>
      <c r="R2608" t="b">
        <v>0</v>
      </c>
    </row>
    <row r="2609" spans="1:18" hidden="1">
      <c r="A2609" t="s">
        <v>192</v>
      </c>
      <c r="B2609" t="s">
        <v>6522</v>
      </c>
      <c r="C2609" t="s">
        <v>6523</v>
      </c>
      <c r="E2609">
        <v>0</v>
      </c>
      <c r="F2609">
        <v>0</v>
      </c>
      <c r="G2609">
        <v>1</v>
      </c>
      <c r="H2609">
        <v>1</v>
      </c>
      <c r="J2609" t="s">
        <v>93</v>
      </c>
      <c r="K2609" t="b">
        <v>1</v>
      </c>
      <c r="L2609">
        <f t="shared" si="40"/>
        <v>1</v>
      </c>
      <c r="M2609">
        <f t="shared" si="40"/>
        <v>1</v>
      </c>
      <c r="N2609" t="b">
        <v>0</v>
      </c>
      <c r="O2609">
        <v>0</v>
      </c>
      <c r="Q2609">
        <v>0</v>
      </c>
      <c r="R2609" t="b">
        <v>0</v>
      </c>
    </row>
    <row r="2610" spans="1:18" hidden="1">
      <c r="A2610" t="s">
        <v>192</v>
      </c>
      <c r="B2610" t="s">
        <v>6524</v>
      </c>
      <c r="C2610" t="s">
        <v>6525</v>
      </c>
      <c r="E2610">
        <v>0</v>
      </c>
      <c r="F2610">
        <v>0</v>
      </c>
      <c r="G2610">
        <v>1</v>
      </c>
      <c r="H2610">
        <v>1</v>
      </c>
      <c r="J2610" t="s">
        <v>93</v>
      </c>
      <c r="K2610" t="b">
        <v>1</v>
      </c>
      <c r="L2610">
        <f t="shared" si="40"/>
        <v>1</v>
      </c>
      <c r="M2610">
        <f t="shared" si="40"/>
        <v>1</v>
      </c>
      <c r="N2610" t="b">
        <v>0</v>
      </c>
      <c r="O2610">
        <v>0.5</v>
      </c>
      <c r="P2610" t="s">
        <v>3534</v>
      </c>
      <c r="Q2610">
        <v>2</v>
      </c>
      <c r="R2610" t="b">
        <v>1</v>
      </c>
    </row>
    <row r="2611" spans="1:18" hidden="1">
      <c r="A2611" t="s">
        <v>192</v>
      </c>
      <c r="B2611" t="s">
        <v>6526</v>
      </c>
      <c r="C2611" t="s">
        <v>6527</v>
      </c>
      <c r="E2611">
        <v>0</v>
      </c>
      <c r="F2611">
        <v>0</v>
      </c>
      <c r="G2611">
        <v>1</v>
      </c>
      <c r="H2611">
        <v>1</v>
      </c>
      <c r="J2611" t="s">
        <v>93</v>
      </c>
      <c r="K2611" t="b">
        <v>1</v>
      </c>
      <c r="L2611">
        <f t="shared" si="40"/>
        <v>1</v>
      </c>
      <c r="M2611">
        <f t="shared" si="40"/>
        <v>1</v>
      </c>
      <c r="N2611" t="b">
        <v>0</v>
      </c>
      <c r="O2611">
        <v>0.33329999999999999</v>
      </c>
      <c r="P2611" t="s">
        <v>6528</v>
      </c>
      <c r="Q2611">
        <v>2</v>
      </c>
      <c r="R2611" t="b">
        <v>1</v>
      </c>
    </row>
    <row r="2612" spans="1:18" hidden="1">
      <c r="A2612" t="s">
        <v>192</v>
      </c>
      <c r="B2612" t="s">
        <v>6529</v>
      </c>
      <c r="C2612" t="s">
        <v>6530</v>
      </c>
      <c r="E2612">
        <v>0</v>
      </c>
      <c r="F2612">
        <v>0</v>
      </c>
      <c r="G2612">
        <v>1</v>
      </c>
      <c r="H2612">
        <v>1</v>
      </c>
      <c r="J2612" t="s">
        <v>93</v>
      </c>
      <c r="K2612" t="b">
        <v>1</v>
      </c>
      <c r="L2612">
        <f t="shared" si="40"/>
        <v>1</v>
      </c>
      <c r="M2612">
        <f t="shared" si="40"/>
        <v>1</v>
      </c>
      <c r="N2612" t="b">
        <v>0</v>
      </c>
      <c r="O2612">
        <v>0.5</v>
      </c>
      <c r="P2612" t="s">
        <v>3983</v>
      </c>
      <c r="Q2612">
        <v>2</v>
      </c>
      <c r="R2612" t="b">
        <v>1</v>
      </c>
    </row>
    <row r="2613" spans="1:18" hidden="1">
      <c r="A2613" t="s">
        <v>192</v>
      </c>
      <c r="B2613" t="s">
        <v>6531</v>
      </c>
      <c r="C2613" t="s">
        <v>6532</v>
      </c>
      <c r="E2613">
        <v>0</v>
      </c>
      <c r="F2613">
        <v>0</v>
      </c>
      <c r="G2613">
        <v>1</v>
      </c>
      <c r="H2613">
        <v>1</v>
      </c>
      <c r="J2613" t="s">
        <v>93</v>
      </c>
      <c r="K2613" t="b">
        <v>1</v>
      </c>
      <c r="L2613">
        <f t="shared" si="40"/>
        <v>1</v>
      </c>
      <c r="M2613">
        <f t="shared" si="40"/>
        <v>1</v>
      </c>
      <c r="N2613" t="b">
        <v>0</v>
      </c>
      <c r="O2613">
        <v>0.5</v>
      </c>
      <c r="P2613" t="s">
        <v>6533</v>
      </c>
      <c r="Q2613">
        <v>2</v>
      </c>
      <c r="R2613" t="b">
        <v>1</v>
      </c>
    </row>
    <row r="2614" spans="1:18" hidden="1">
      <c r="A2614" t="s">
        <v>192</v>
      </c>
      <c r="B2614" t="s">
        <v>6534</v>
      </c>
      <c r="C2614" t="s">
        <v>6535</v>
      </c>
      <c r="E2614">
        <v>0</v>
      </c>
      <c r="F2614">
        <v>0</v>
      </c>
      <c r="G2614">
        <v>1</v>
      </c>
      <c r="H2614">
        <v>1</v>
      </c>
      <c r="J2614" t="s">
        <v>93</v>
      </c>
      <c r="K2614" t="b">
        <v>1</v>
      </c>
      <c r="L2614">
        <f t="shared" si="40"/>
        <v>1</v>
      </c>
      <c r="M2614">
        <f t="shared" si="40"/>
        <v>1</v>
      </c>
      <c r="N2614" t="b">
        <v>0</v>
      </c>
      <c r="O2614">
        <v>0.5</v>
      </c>
      <c r="P2614" t="s">
        <v>5884</v>
      </c>
      <c r="Q2614">
        <v>2</v>
      </c>
      <c r="R2614" t="b">
        <v>1</v>
      </c>
    </row>
    <row r="2615" spans="1:18" hidden="1">
      <c r="A2615" t="s">
        <v>192</v>
      </c>
      <c r="B2615" t="s">
        <v>6536</v>
      </c>
      <c r="C2615" t="s">
        <v>6537</v>
      </c>
      <c r="E2615">
        <v>0</v>
      </c>
      <c r="F2615">
        <v>0</v>
      </c>
      <c r="G2615">
        <v>1</v>
      </c>
      <c r="H2615">
        <v>1</v>
      </c>
      <c r="J2615" t="s">
        <v>93</v>
      </c>
      <c r="K2615" t="b">
        <v>1</v>
      </c>
      <c r="L2615">
        <f t="shared" si="40"/>
        <v>1</v>
      </c>
      <c r="M2615">
        <f t="shared" si="40"/>
        <v>1</v>
      </c>
      <c r="N2615" t="b">
        <v>0</v>
      </c>
      <c r="O2615">
        <v>0.5</v>
      </c>
      <c r="P2615" t="s">
        <v>4685</v>
      </c>
      <c r="Q2615">
        <v>2</v>
      </c>
      <c r="R2615" t="b">
        <v>1</v>
      </c>
    </row>
    <row r="2616" spans="1:18" hidden="1">
      <c r="A2616" t="s">
        <v>192</v>
      </c>
      <c r="B2616" t="s">
        <v>6538</v>
      </c>
      <c r="C2616" t="s">
        <v>6539</v>
      </c>
      <c r="E2616">
        <v>0</v>
      </c>
      <c r="F2616">
        <v>0</v>
      </c>
      <c r="G2616">
        <v>1</v>
      </c>
      <c r="H2616">
        <v>1</v>
      </c>
      <c r="J2616" t="s">
        <v>93</v>
      </c>
      <c r="K2616" t="b">
        <v>1</v>
      </c>
      <c r="L2616">
        <f t="shared" si="40"/>
        <v>1</v>
      </c>
      <c r="M2616">
        <f t="shared" si="40"/>
        <v>1</v>
      </c>
      <c r="N2616" t="b">
        <v>0</v>
      </c>
      <c r="O2616">
        <v>0.5</v>
      </c>
      <c r="P2616" t="s">
        <v>6540</v>
      </c>
      <c r="Q2616">
        <v>2</v>
      </c>
      <c r="R2616" t="b">
        <v>1</v>
      </c>
    </row>
    <row r="2617" spans="1:18" hidden="1">
      <c r="A2617" t="s">
        <v>192</v>
      </c>
      <c r="B2617" t="s">
        <v>6541</v>
      </c>
      <c r="C2617" t="s">
        <v>6542</v>
      </c>
      <c r="E2617">
        <v>0</v>
      </c>
      <c r="F2617">
        <v>0</v>
      </c>
      <c r="G2617">
        <v>1</v>
      </c>
      <c r="H2617">
        <v>1</v>
      </c>
      <c r="J2617" t="s">
        <v>93</v>
      </c>
      <c r="K2617" t="b">
        <v>1</v>
      </c>
      <c r="L2617">
        <f t="shared" si="40"/>
        <v>1</v>
      </c>
      <c r="M2617">
        <f t="shared" si="40"/>
        <v>1</v>
      </c>
      <c r="N2617" t="b">
        <v>0</v>
      </c>
      <c r="O2617">
        <v>0</v>
      </c>
      <c r="Q2617">
        <v>0</v>
      </c>
      <c r="R2617" t="b">
        <v>0</v>
      </c>
    </row>
    <row r="2618" spans="1:18" hidden="1">
      <c r="A2618" t="s">
        <v>192</v>
      </c>
      <c r="B2618" t="s">
        <v>6543</v>
      </c>
      <c r="C2618" t="s">
        <v>6544</v>
      </c>
      <c r="E2618">
        <v>0</v>
      </c>
      <c r="F2618">
        <v>0</v>
      </c>
      <c r="G2618">
        <v>1</v>
      </c>
      <c r="H2618">
        <v>1</v>
      </c>
      <c r="J2618" t="s">
        <v>93</v>
      </c>
      <c r="K2618" t="b">
        <v>1</v>
      </c>
      <c r="L2618">
        <f t="shared" si="40"/>
        <v>1</v>
      </c>
      <c r="M2618">
        <f t="shared" si="40"/>
        <v>1</v>
      </c>
      <c r="N2618" t="b">
        <v>0</v>
      </c>
      <c r="O2618">
        <v>0.33329999999999999</v>
      </c>
      <c r="P2618" t="s">
        <v>6382</v>
      </c>
      <c r="Q2618">
        <v>4</v>
      </c>
      <c r="R2618" t="b">
        <v>1</v>
      </c>
    </row>
    <row r="2619" spans="1:18" hidden="1">
      <c r="A2619" t="s">
        <v>192</v>
      </c>
      <c r="B2619" t="s">
        <v>6545</v>
      </c>
      <c r="C2619" t="s">
        <v>6546</v>
      </c>
      <c r="E2619">
        <v>0</v>
      </c>
      <c r="F2619">
        <v>0</v>
      </c>
      <c r="G2619">
        <v>1</v>
      </c>
      <c r="H2619">
        <v>1</v>
      </c>
      <c r="J2619" t="s">
        <v>93</v>
      </c>
      <c r="K2619" t="b">
        <v>1</v>
      </c>
      <c r="L2619">
        <f t="shared" si="40"/>
        <v>1</v>
      </c>
      <c r="M2619">
        <f t="shared" si="40"/>
        <v>1</v>
      </c>
      <c r="N2619" t="b">
        <v>0</v>
      </c>
      <c r="O2619">
        <v>0</v>
      </c>
      <c r="Q2619">
        <v>0</v>
      </c>
      <c r="R2619" t="b">
        <v>0</v>
      </c>
    </row>
    <row r="2620" spans="1:18">
      <c r="A2620" t="s">
        <v>192</v>
      </c>
      <c r="B2620" t="s">
        <v>6547</v>
      </c>
      <c r="C2620" t="s">
        <v>6548</v>
      </c>
      <c r="E2620">
        <v>0</v>
      </c>
      <c r="F2620">
        <v>0</v>
      </c>
      <c r="G2620">
        <v>1</v>
      </c>
      <c r="H2620">
        <v>1</v>
      </c>
      <c r="J2620" t="s">
        <v>22</v>
      </c>
      <c r="K2620" t="b">
        <v>1</v>
      </c>
      <c r="L2620">
        <f t="shared" si="40"/>
        <v>1</v>
      </c>
      <c r="M2620">
        <f t="shared" si="40"/>
        <v>1</v>
      </c>
      <c r="N2620" t="b">
        <v>0</v>
      </c>
      <c r="O2620">
        <v>1</v>
      </c>
      <c r="P2620" t="s">
        <v>6528</v>
      </c>
      <c r="Q2620">
        <v>2</v>
      </c>
      <c r="R2620" t="b">
        <v>1</v>
      </c>
    </row>
    <row r="2621" spans="1:18" hidden="1">
      <c r="A2621" t="s">
        <v>816</v>
      </c>
      <c r="B2621" t="s">
        <v>6549</v>
      </c>
      <c r="C2621" t="s">
        <v>6550</v>
      </c>
      <c r="D2621" t="s">
        <v>519</v>
      </c>
      <c r="E2621">
        <v>1</v>
      </c>
      <c r="F2621">
        <v>1</v>
      </c>
      <c r="G2621">
        <v>0</v>
      </c>
      <c r="H2621">
        <v>0</v>
      </c>
      <c r="I2621" t="s">
        <v>819</v>
      </c>
      <c r="J2621" t="s">
        <v>93</v>
      </c>
      <c r="K2621" t="b">
        <v>0</v>
      </c>
      <c r="L2621">
        <f t="shared" si="40"/>
        <v>1</v>
      </c>
      <c r="M2621">
        <f t="shared" si="40"/>
        <v>1</v>
      </c>
      <c r="N2621" t="b">
        <v>0</v>
      </c>
      <c r="O2621">
        <v>0</v>
      </c>
      <c r="Q2621">
        <v>0</v>
      </c>
      <c r="R2621" t="b">
        <v>0</v>
      </c>
    </row>
    <row r="2622" spans="1:18" hidden="1">
      <c r="A2622" t="s">
        <v>87</v>
      </c>
      <c r="B2622" t="s">
        <v>6551</v>
      </c>
      <c r="C2622" t="s">
        <v>6552</v>
      </c>
      <c r="E2622">
        <v>0</v>
      </c>
      <c r="F2622">
        <v>0</v>
      </c>
      <c r="G2622">
        <v>1</v>
      </c>
      <c r="H2622">
        <v>1</v>
      </c>
      <c r="J2622" t="s">
        <v>93</v>
      </c>
      <c r="K2622" t="b">
        <v>1</v>
      </c>
      <c r="L2622">
        <f t="shared" si="40"/>
        <v>1</v>
      </c>
      <c r="M2622">
        <f t="shared" si="40"/>
        <v>1</v>
      </c>
      <c r="N2622" t="b">
        <v>0</v>
      </c>
      <c r="O2622">
        <v>0</v>
      </c>
      <c r="Q2622">
        <v>0</v>
      </c>
      <c r="R2622" t="b">
        <v>0</v>
      </c>
    </row>
    <row r="2623" spans="1:18" hidden="1">
      <c r="A2623" t="s">
        <v>2901</v>
      </c>
      <c r="B2623" t="s">
        <v>6553</v>
      </c>
      <c r="C2623" t="s">
        <v>6554</v>
      </c>
      <c r="E2623">
        <v>0</v>
      </c>
      <c r="F2623">
        <v>0</v>
      </c>
      <c r="G2623">
        <v>1</v>
      </c>
      <c r="H2623">
        <v>1</v>
      </c>
      <c r="J2623" t="s">
        <v>93</v>
      </c>
      <c r="K2623" t="b">
        <v>0</v>
      </c>
      <c r="L2623">
        <f t="shared" si="40"/>
        <v>1</v>
      </c>
      <c r="M2623">
        <f t="shared" si="40"/>
        <v>1</v>
      </c>
      <c r="N2623" t="b">
        <v>0</v>
      </c>
      <c r="O2623">
        <v>0</v>
      </c>
      <c r="Q2623">
        <v>0</v>
      </c>
      <c r="R2623" t="b">
        <v>0</v>
      </c>
    </row>
    <row r="2624" spans="1:18">
      <c r="A2624" t="s">
        <v>1782</v>
      </c>
      <c r="B2624" t="s">
        <v>6555</v>
      </c>
      <c r="C2624" t="s">
        <v>6556</v>
      </c>
      <c r="E2624">
        <v>0</v>
      </c>
      <c r="F2624">
        <v>0</v>
      </c>
      <c r="G2624">
        <v>1</v>
      </c>
      <c r="H2624">
        <v>1</v>
      </c>
      <c r="J2624" t="s">
        <v>22</v>
      </c>
      <c r="K2624" t="b">
        <v>1</v>
      </c>
      <c r="L2624">
        <f t="shared" si="40"/>
        <v>1</v>
      </c>
      <c r="M2624">
        <f t="shared" si="40"/>
        <v>1</v>
      </c>
      <c r="N2624" t="b">
        <v>0</v>
      </c>
      <c r="O2624">
        <v>1</v>
      </c>
      <c r="P2624" t="s">
        <v>6557</v>
      </c>
      <c r="Q2624">
        <v>2</v>
      </c>
      <c r="R2624" t="b">
        <v>1</v>
      </c>
    </row>
    <row r="2625" spans="1:18">
      <c r="A2625" t="s">
        <v>1143</v>
      </c>
      <c r="B2625" t="s">
        <v>6558</v>
      </c>
      <c r="C2625" t="s">
        <v>6559</v>
      </c>
      <c r="E2625">
        <v>0</v>
      </c>
      <c r="F2625">
        <v>0</v>
      </c>
      <c r="G2625">
        <v>0</v>
      </c>
      <c r="H2625">
        <v>0</v>
      </c>
      <c r="J2625" t="s">
        <v>22</v>
      </c>
      <c r="K2625" t="b">
        <v>1</v>
      </c>
      <c r="L2625">
        <f t="shared" si="40"/>
        <v>0</v>
      </c>
      <c r="M2625">
        <f t="shared" si="40"/>
        <v>0</v>
      </c>
      <c r="N2625" t="b">
        <v>0</v>
      </c>
      <c r="O2625">
        <v>1</v>
      </c>
      <c r="P2625" t="s">
        <v>6560</v>
      </c>
      <c r="Q2625">
        <v>2</v>
      </c>
      <c r="R2625" t="b">
        <v>1</v>
      </c>
    </row>
    <row r="2626" spans="1:18" hidden="1">
      <c r="A2626" t="s">
        <v>1143</v>
      </c>
      <c r="B2626" t="s">
        <v>6561</v>
      </c>
      <c r="C2626" s="2" t="s">
        <v>6562</v>
      </c>
      <c r="D2626" s="2"/>
      <c r="E2626">
        <v>0</v>
      </c>
      <c r="F2626">
        <v>0</v>
      </c>
      <c r="G2626">
        <v>0</v>
      </c>
      <c r="H2626">
        <v>0</v>
      </c>
      <c r="J2626" t="s">
        <v>93</v>
      </c>
      <c r="K2626" t="b">
        <v>1</v>
      </c>
      <c r="L2626">
        <f t="shared" si="40"/>
        <v>0</v>
      </c>
      <c r="M2626">
        <f t="shared" si="40"/>
        <v>0</v>
      </c>
      <c r="N2626" t="b">
        <v>0</v>
      </c>
      <c r="O2626">
        <v>0</v>
      </c>
      <c r="Q2626">
        <v>0</v>
      </c>
      <c r="R2626" t="b">
        <v>0</v>
      </c>
    </row>
    <row r="2627" spans="1:18">
      <c r="A2627" t="s">
        <v>1143</v>
      </c>
      <c r="B2627" t="s">
        <v>6563</v>
      </c>
      <c r="C2627" t="s">
        <v>6564</v>
      </c>
      <c r="E2627">
        <v>0</v>
      </c>
      <c r="F2627">
        <v>0</v>
      </c>
      <c r="G2627">
        <v>0</v>
      </c>
      <c r="H2627">
        <v>0</v>
      </c>
      <c r="J2627" t="s">
        <v>22</v>
      </c>
      <c r="K2627" t="b">
        <v>1</v>
      </c>
      <c r="L2627">
        <f t="shared" ref="L2627:M2690" si="41">E2627+G2627</f>
        <v>0</v>
      </c>
      <c r="M2627">
        <f t="shared" si="41"/>
        <v>0</v>
      </c>
      <c r="N2627" t="b">
        <v>0</v>
      </c>
      <c r="O2627">
        <v>1</v>
      </c>
      <c r="P2627" t="s">
        <v>6565</v>
      </c>
      <c r="Q2627">
        <v>2</v>
      </c>
      <c r="R2627" t="b">
        <v>1</v>
      </c>
    </row>
    <row r="2628" spans="1:18">
      <c r="A2628" t="s">
        <v>1143</v>
      </c>
      <c r="B2628" t="s">
        <v>6566</v>
      </c>
      <c r="C2628" t="s">
        <v>6567</v>
      </c>
      <c r="E2628">
        <v>0</v>
      </c>
      <c r="F2628">
        <v>0</v>
      </c>
      <c r="G2628">
        <v>0</v>
      </c>
      <c r="H2628">
        <v>0</v>
      </c>
      <c r="J2628" t="s">
        <v>22</v>
      </c>
      <c r="K2628" t="b">
        <v>1</v>
      </c>
      <c r="L2628">
        <f t="shared" si="41"/>
        <v>0</v>
      </c>
      <c r="M2628">
        <f t="shared" si="41"/>
        <v>0</v>
      </c>
      <c r="N2628" t="b">
        <v>0</v>
      </c>
      <c r="O2628">
        <v>1</v>
      </c>
      <c r="P2628" t="s">
        <v>6568</v>
      </c>
      <c r="Q2628">
        <v>2</v>
      </c>
      <c r="R2628" t="b">
        <v>1</v>
      </c>
    </row>
    <row r="2629" spans="1:18">
      <c r="A2629" t="s">
        <v>1143</v>
      </c>
      <c r="B2629" t="s">
        <v>6569</v>
      </c>
      <c r="C2629" t="s">
        <v>6570</v>
      </c>
      <c r="E2629">
        <v>0</v>
      </c>
      <c r="F2629">
        <v>0</v>
      </c>
      <c r="G2629">
        <v>0</v>
      </c>
      <c r="H2629">
        <v>0</v>
      </c>
      <c r="J2629" t="s">
        <v>22</v>
      </c>
      <c r="K2629" t="b">
        <v>1</v>
      </c>
      <c r="L2629">
        <f t="shared" si="41"/>
        <v>0</v>
      </c>
      <c r="M2629">
        <f t="shared" si="41"/>
        <v>0</v>
      </c>
      <c r="N2629" t="b">
        <v>0</v>
      </c>
      <c r="O2629">
        <v>1</v>
      </c>
      <c r="P2629" t="s">
        <v>6571</v>
      </c>
      <c r="Q2629">
        <v>2</v>
      </c>
      <c r="R2629" t="b">
        <v>1</v>
      </c>
    </row>
    <row r="2630" spans="1:18" hidden="1">
      <c r="A2630" t="s">
        <v>1143</v>
      </c>
      <c r="B2630" t="s">
        <v>6572</v>
      </c>
      <c r="C2630" t="s">
        <v>6573</v>
      </c>
      <c r="E2630">
        <v>0</v>
      </c>
      <c r="F2630">
        <v>0</v>
      </c>
      <c r="G2630">
        <v>0</v>
      </c>
      <c r="H2630">
        <v>0</v>
      </c>
      <c r="J2630" t="s">
        <v>93</v>
      </c>
      <c r="K2630" t="b">
        <v>1</v>
      </c>
      <c r="L2630">
        <f t="shared" si="41"/>
        <v>0</v>
      </c>
      <c r="M2630">
        <f t="shared" si="41"/>
        <v>0</v>
      </c>
      <c r="N2630" t="b">
        <v>0</v>
      </c>
      <c r="O2630">
        <v>0.25</v>
      </c>
      <c r="P2630" t="s">
        <v>6574</v>
      </c>
      <c r="Q2630">
        <v>8</v>
      </c>
      <c r="R2630" t="b">
        <v>1</v>
      </c>
    </row>
    <row r="2631" spans="1:18" hidden="1">
      <c r="A2631" t="s">
        <v>1143</v>
      </c>
      <c r="B2631" t="s">
        <v>6575</v>
      </c>
      <c r="C2631" t="s">
        <v>6576</v>
      </c>
      <c r="E2631">
        <v>0</v>
      </c>
      <c r="F2631">
        <v>0</v>
      </c>
      <c r="G2631">
        <v>0</v>
      </c>
      <c r="H2631">
        <v>0</v>
      </c>
      <c r="J2631" t="s">
        <v>93</v>
      </c>
      <c r="K2631" t="b">
        <v>1</v>
      </c>
      <c r="L2631">
        <f t="shared" si="41"/>
        <v>0</v>
      </c>
      <c r="M2631">
        <f t="shared" si="41"/>
        <v>0</v>
      </c>
      <c r="N2631" t="b">
        <v>0</v>
      </c>
      <c r="O2631">
        <v>0.25</v>
      </c>
      <c r="P2631" t="s">
        <v>5356</v>
      </c>
      <c r="Q2631">
        <v>8</v>
      </c>
      <c r="R2631" t="b">
        <v>1</v>
      </c>
    </row>
    <row r="2632" spans="1:18" hidden="1">
      <c r="A2632" t="s">
        <v>1143</v>
      </c>
      <c r="B2632" t="s">
        <v>6577</v>
      </c>
      <c r="C2632" t="s">
        <v>6578</v>
      </c>
      <c r="E2632">
        <v>0</v>
      </c>
      <c r="F2632">
        <v>0</v>
      </c>
      <c r="G2632">
        <v>0</v>
      </c>
      <c r="H2632">
        <v>0</v>
      </c>
      <c r="J2632" t="s">
        <v>93</v>
      </c>
      <c r="K2632" t="b">
        <v>1</v>
      </c>
      <c r="L2632">
        <f t="shared" si="41"/>
        <v>0</v>
      </c>
      <c r="M2632">
        <f t="shared" si="41"/>
        <v>0</v>
      </c>
      <c r="N2632" t="b">
        <v>0</v>
      </c>
      <c r="O2632">
        <v>0.25</v>
      </c>
      <c r="P2632" t="s">
        <v>6574</v>
      </c>
      <c r="Q2632">
        <v>8</v>
      </c>
      <c r="R2632" t="b">
        <v>1</v>
      </c>
    </row>
    <row r="2633" spans="1:18" hidden="1">
      <c r="A2633" t="s">
        <v>1143</v>
      </c>
      <c r="B2633" t="s">
        <v>6579</v>
      </c>
      <c r="C2633" t="s">
        <v>6580</v>
      </c>
      <c r="E2633">
        <v>0</v>
      </c>
      <c r="F2633">
        <v>0</v>
      </c>
      <c r="G2633">
        <v>0</v>
      </c>
      <c r="H2633">
        <v>0</v>
      </c>
      <c r="J2633" t="s">
        <v>93</v>
      </c>
      <c r="K2633" t="b">
        <v>1</v>
      </c>
      <c r="L2633">
        <f t="shared" si="41"/>
        <v>0</v>
      </c>
      <c r="M2633">
        <f t="shared" si="41"/>
        <v>0</v>
      </c>
      <c r="N2633" t="b">
        <v>0</v>
      </c>
      <c r="O2633">
        <v>0</v>
      </c>
      <c r="Q2633">
        <v>0</v>
      </c>
      <c r="R2633" t="b">
        <v>0</v>
      </c>
    </row>
    <row r="2634" spans="1:18" hidden="1">
      <c r="A2634" t="s">
        <v>1143</v>
      </c>
      <c r="B2634" t="s">
        <v>6581</v>
      </c>
      <c r="C2634" t="s">
        <v>6582</v>
      </c>
      <c r="E2634">
        <v>0</v>
      </c>
      <c r="F2634">
        <v>0</v>
      </c>
      <c r="G2634">
        <v>0</v>
      </c>
      <c r="H2634">
        <v>0</v>
      </c>
      <c r="J2634" t="s">
        <v>93</v>
      </c>
      <c r="K2634" t="b">
        <v>1</v>
      </c>
      <c r="L2634">
        <f t="shared" si="41"/>
        <v>0</v>
      </c>
      <c r="M2634">
        <f t="shared" si="41"/>
        <v>0</v>
      </c>
      <c r="N2634" t="b">
        <v>0</v>
      </c>
      <c r="O2634">
        <v>0</v>
      </c>
      <c r="Q2634">
        <v>0</v>
      </c>
      <c r="R2634" t="b">
        <v>0</v>
      </c>
    </row>
    <row r="2635" spans="1:18" hidden="1">
      <c r="A2635" t="s">
        <v>1143</v>
      </c>
      <c r="B2635" t="s">
        <v>6583</v>
      </c>
      <c r="C2635" t="s">
        <v>6584</v>
      </c>
      <c r="E2635">
        <v>0</v>
      </c>
      <c r="F2635">
        <v>0</v>
      </c>
      <c r="G2635">
        <v>0</v>
      </c>
      <c r="H2635">
        <v>0</v>
      </c>
      <c r="J2635" t="s">
        <v>93</v>
      </c>
      <c r="K2635" t="b">
        <v>1</v>
      </c>
      <c r="L2635">
        <f t="shared" si="41"/>
        <v>0</v>
      </c>
      <c r="M2635">
        <f t="shared" si="41"/>
        <v>0</v>
      </c>
      <c r="N2635" t="b">
        <v>0</v>
      </c>
      <c r="O2635">
        <v>0</v>
      </c>
      <c r="Q2635">
        <v>0</v>
      </c>
      <c r="R2635" t="b">
        <v>0</v>
      </c>
    </row>
    <row r="2636" spans="1:18">
      <c r="A2636" t="s">
        <v>1143</v>
      </c>
      <c r="B2636" t="s">
        <v>6585</v>
      </c>
      <c r="C2636" t="s">
        <v>6586</v>
      </c>
      <c r="E2636">
        <v>0</v>
      </c>
      <c r="F2636">
        <v>0</v>
      </c>
      <c r="G2636">
        <v>0</v>
      </c>
      <c r="H2636">
        <v>0</v>
      </c>
      <c r="J2636" t="s">
        <v>22</v>
      </c>
      <c r="K2636" t="b">
        <v>1</v>
      </c>
      <c r="L2636">
        <f t="shared" si="41"/>
        <v>0</v>
      </c>
      <c r="M2636">
        <f t="shared" si="41"/>
        <v>0</v>
      </c>
      <c r="N2636" t="b">
        <v>0</v>
      </c>
      <c r="O2636">
        <v>1</v>
      </c>
      <c r="P2636" t="s">
        <v>6587</v>
      </c>
      <c r="Q2636">
        <v>2</v>
      </c>
      <c r="R2636" t="b">
        <v>1</v>
      </c>
    </row>
    <row r="2637" spans="1:18" hidden="1">
      <c r="A2637" t="s">
        <v>1143</v>
      </c>
      <c r="B2637" t="s">
        <v>6588</v>
      </c>
      <c r="C2637" t="s">
        <v>6589</v>
      </c>
      <c r="E2637">
        <v>0</v>
      </c>
      <c r="F2637">
        <v>0</v>
      </c>
      <c r="G2637">
        <v>0</v>
      </c>
      <c r="H2637">
        <v>0</v>
      </c>
      <c r="J2637" t="s">
        <v>93</v>
      </c>
      <c r="K2637" t="b">
        <v>1</v>
      </c>
      <c r="L2637">
        <f t="shared" si="41"/>
        <v>0</v>
      </c>
      <c r="M2637">
        <f t="shared" si="41"/>
        <v>0</v>
      </c>
      <c r="N2637" t="b">
        <v>0</v>
      </c>
      <c r="O2637">
        <v>0</v>
      </c>
      <c r="Q2637">
        <v>0</v>
      </c>
      <c r="R2637" t="b">
        <v>0</v>
      </c>
    </row>
    <row r="2638" spans="1:18" hidden="1">
      <c r="A2638" t="s">
        <v>4383</v>
      </c>
      <c r="B2638" t="s">
        <v>6590</v>
      </c>
      <c r="C2638" t="s">
        <v>6591</v>
      </c>
      <c r="E2638">
        <v>0</v>
      </c>
      <c r="F2638">
        <v>0</v>
      </c>
      <c r="G2638">
        <v>0</v>
      </c>
      <c r="H2638">
        <v>0</v>
      </c>
      <c r="J2638" t="s">
        <v>93</v>
      </c>
      <c r="K2638" t="b">
        <v>1</v>
      </c>
      <c r="L2638">
        <f t="shared" si="41"/>
        <v>0</v>
      </c>
      <c r="M2638">
        <f t="shared" si="41"/>
        <v>0</v>
      </c>
      <c r="N2638" t="b">
        <v>0</v>
      </c>
      <c r="O2638">
        <v>0</v>
      </c>
      <c r="Q2638">
        <v>0</v>
      </c>
      <c r="R2638" t="b">
        <v>0</v>
      </c>
    </row>
    <row r="2639" spans="1:18" hidden="1">
      <c r="A2639" t="s">
        <v>4383</v>
      </c>
      <c r="B2639" t="s">
        <v>6592</v>
      </c>
      <c r="C2639" t="s">
        <v>6593</v>
      </c>
      <c r="E2639">
        <v>0</v>
      </c>
      <c r="F2639">
        <v>0</v>
      </c>
      <c r="G2639">
        <v>0</v>
      </c>
      <c r="H2639">
        <v>0</v>
      </c>
      <c r="J2639" t="s">
        <v>93</v>
      </c>
      <c r="K2639" t="b">
        <v>1</v>
      </c>
      <c r="L2639">
        <f t="shared" si="41"/>
        <v>0</v>
      </c>
      <c r="M2639">
        <f t="shared" si="41"/>
        <v>0</v>
      </c>
      <c r="N2639" t="b">
        <v>0</v>
      </c>
      <c r="O2639">
        <v>0</v>
      </c>
      <c r="Q2639">
        <v>0</v>
      </c>
      <c r="R2639" t="b">
        <v>0</v>
      </c>
    </row>
    <row r="2640" spans="1:18">
      <c r="A2640" t="s">
        <v>4383</v>
      </c>
      <c r="B2640" t="s">
        <v>6594</v>
      </c>
      <c r="C2640" t="s">
        <v>6595</v>
      </c>
      <c r="E2640">
        <v>0</v>
      </c>
      <c r="F2640">
        <v>0</v>
      </c>
      <c r="G2640">
        <v>0</v>
      </c>
      <c r="H2640">
        <v>0</v>
      </c>
      <c r="J2640" t="s">
        <v>22</v>
      </c>
      <c r="K2640" t="b">
        <v>1</v>
      </c>
      <c r="L2640">
        <f t="shared" si="41"/>
        <v>0</v>
      </c>
      <c r="M2640">
        <f t="shared" si="41"/>
        <v>0</v>
      </c>
      <c r="N2640" t="b">
        <v>0</v>
      </c>
      <c r="O2640">
        <v>1</v>
      </c>
      <c r="P2640" t="s">
        <v>2375</v>
      </c>
      <c r="Q2640">
        <v>2</v>
      </c>
      <c r="R2640" t="b">
        <v>1</v>
      </c>
    </row>
    <row r="2641" spans="1:18">
      <c r="A2641" t="s">
        <v>4383</v>
      </c>
      <c r="B2641" t="s">
        <v>6596</v>
      </c>
      <c r="C2641" t="s">
        <v>6597</v>
      </c>
      <c r="E2641">
        <v>0</v>
      </c>
      <c r="F2641">
        <v>0</v>
      </c>
      <c r="G2641">
        <v>0</v>
      </c>
      <c r="H2641">
        <v>0</v>
      </c>
      <c r="J2641" t="s">
        <v>22</v>
      </c>
      <c r="K2641" t="b">
        <v>1</v>
      </c>
      <c r="L2641">
        <f t="shared" si="41"/>
        <v>0</v>
      </c>
      <c r="M2641">
        <f t="shared" si="41"/>
        <v>0</v>
      </c>
      <c r="N2641" t="b">
        <v>0</v>
      </c>
      <c r="O2641">
        <v>1</v>
      </c>
      <c r="P2641" t="s">
        <v>2551</v>
      </c>
      <c r="Q2641">
        <v>2</v>
      </c>
      <c r="R2641" t="b">
        <v>1</v>
      </c>
    </row>
    <row r="2642" spans="1:18" hidden="1">
      <c r="A2642" t="s">
        <v>4383</v>
      </c>
      <c r="B2642" t="s">
        <v>6598</v>
      </c>
      <c r="C2642" t="s">
        <v>6599</v>
      </c>
      <c r="E2642">
        <v>0</v>
      </c>
      <c r="F2642">
        <v>0</v>
      </c>
      <c r="G2642">
        <v>0</v>
      </c>
      <c r="H2642">
        <v>0</v>
      </c>
      <c r="J2642" t="s">
        <v>93</v>
      </c>
      <c r="K2642" t="b">
        <v>1</v>
      </c>
      <c r="L2642">
        <f t="shared" si="41"/>
        <v>0</v>
      </c>
      <c r="M2642">
        <f t="shared" si="41"/>
        <v>0</v>
      </c>
      <c r="N2642" t="b">
        <v>0</v>
      </c>
      <c r="O2642">
        <v>0</v>
      </c>
      <c r="Q2642">
        <v>0</v>
      </c>
      <c r="R2642" t="b">
        <v>0</v>
      </c>
    </row>
    <row r="2643" spans="1:18" hidden="1">
      <c r="A2643" t="s">
        <v>4383</v>
      </c>
      <c r="B2643" t="s">
        <v>6600</v>
      </c>
      <c r="C2643" t="s">
        <v>6601</v>
      </c>
      <c r="E2643">
        <v>0</v>
      </c>
      <c r="F2643">
        <v>0</v>
      </c>
      <c r="G2643">
        <v>0</v>
      </c>
      <c r="H2643">
        <v>0</v>
      </c>
      <c r="J2643" t="s">
        <v>93</v>
      </c>
      <c r="K2643" t="b">
        <v>1</v>
      </c>
      <c r="L2643">
        <f t="shared" si="41"/>
        <v>0</v>
      </c>
      <c r="M2643">
        <f t="shared" si="41"/>
        <v>0</v>
      </c>
      <c r="N2643" t="b">
        <v>0</v>
      </c>
      <c r="O2643">
        <v>0</v>
      </c>
      <c r="Q2643">
        <v>0</v>
      </c>
      <c r="R2643" t="b">
        <v>0</v>
      </c>
    </row>
    <row r="2644" spans="1:18">
      <c r="A2644" t="s">
        <v>4383</v>
      </c>
      <c r="B2644" t="s">
        <v>6602</v>
      </c>
      <c r="C2644" t="s">
        <v>6603</v>
      </c>
      <c r="E2644">
        <v>0</v>
      </c>
      <c r="F2644">
        <v>0</v>
      </c>
      <c r="G2644">
        <v>0</v>
      </c>
      <c r="H2644">
        <v>0</v>
      </c>
      <c r="J2644" t="s">
        <v>22</v>
      </c>
      <c r="K2644" t="b">
        <v>1</v>
      </c>
      <c r="L2644">
        <f t="shared" si="41"/>
        <v>0</v>
      </c>
      <c r="M2644">
        <f t="shared" si="41"/>
        <v>0</v>
      </c>
      <c r="N2644" t="b">
        <v>0</v>
      </c>
      <c r="O2644">
        <v>1</v>
      </c>
      <c r="P2644" t="s">
        <v>3131</v>
      </c>
      <c r="Q2644">
        <v>2</v>
      </c>
      <c r="R2644" t="b">
        <v>1</v>
      </c>
    </row>
    <row r="2645" spans="1:18">
      <c r="A2645" t="s">
        <v>4383</v>
      </c>
      <c r="B2645" t="s">
        <v>6604</v>
      </c>
      <c r="C2645" t="s">
        <v>6605</v>
      </c>
      <c r="E2645">
        <v>0</v>
      </c>
      <c r="F2645">
        <v>0</v>
      </c>
      <c r="G2645">
        <v>0</v>
      </c>
      <c r="H2645">
        <v>0</v>
      </c>
      <c r="J2645" t="s">
        <v>22</v>
      </c>
      <c r="K2645" t="b">
        <v>1</v>
      </c>
      <c r="L2645">
        <f t="shared" si="41"/>
        <v>0</v>
      </c>
      <c r="M2645">
        <f t="shared" si="41"/>
        <v>0</v>
      </c>
      <c r="N2645" t="b">
        <v>0</v>
      </c>
      <c r="O2645">
        <v>1</v>
      </c>
      <c r="P2645" t="s">
        <v>3564</v>
      </c>
      <c r="Q2645">
        <v>2</v>
      </c>
      <c r="R2645" t="b">
        <v>1</v>
      </c>
    </row>
    <row r="2646" spans="1:18">
      <c r="A2646" t="s">
        <v>4383</v>
      </c>
      <c r="B2646" t="s">
        <v>6606</v>
      </c>
      <c r="C2646" t="s">
        <v>6607</v>
      </c>
      <c r="E2646">
        <v>0</v>
      </c>
      <c r="F2646">
        <v>0</v>
      </c>
      <c r="G2646">
        <v>0</v>
      </c>
      <c r="H2646">
        <v>0</v>
      </c>
      <c r="J2646" t="s">
        <v>22</v>
      </c>
      <c r="K2646" t="b">
        <v>1</v>
      </c>
      <c r="L2646">
        <f t="shared" si="41"/>
        <v>0</v>
      </c>
      <c r="M2646">
        <f t="shared" si="41"/>
        <v>0</v>
      </c>
      <c r="N2646" t="b">
        <v>0</v>
      </c>
      <c r="O2646">
        <v>1</v>
      </c>
      <c r="P2646" t="s">
        <v>3611</v>
      </c>
      <c r="Q2646">
        <v>2</v>
      </c>
      <c r="R2646" t="b">
        <v>1</v>
      </c>
    </row>
    <row r="2647" spans="1:18">
      <c r="A2647" t="s">
        <v>4383</v>
      </c>
      <c r="B2647" t="s">
        <v>6608</v>
      </c>
      <c r="C2647" t="s">
        <v>6609</v>
      </c>
      <c r="E2647">
        <v>0</v>
      </c>
      <c r="F2647">
        <v>0</v>
      </c>
      <c r="G2647">
        <v>0</v>
      </c>
      <c r="H2647">
        <v>0</v>
      </c>
      <c r="J2647" t="s">
        <v>22</v>
      </c>
      <c r="K2647" t="b">
        <v>1</v>
      </c>
      <c r="L2647">
        <f t="shared" si="41"/>
        <v>0</v>
      </c>
      <c r="M2647">
        <f t="shared" si="41"/>
        <v>0</v>
      </c>
      <c r="N2647" t="b">
        <v>0</v>
      </c>
      <c r="O2647">
        <v>1</v>
      </c>
      <c r="P2647" t="s">
        <v>5683</v>
      </c>
      <c r="Q2647">
        <v>2</v>
      </c>
      <c r="R2647" t="b">
        <v>1</v>
      </c>
    </row>
    <row r="2648" spans="1:18">
      <c r="A2648" t="s">
        <v>573</v>
      </c>
      <c r="B2648" t="s">
        <v>6610</v>
      </c>
      <c r="C2648" t="s">
        <v>6611</v>
      </c>
      <c r="E2648">
        <v>0</v>
      </c>
      <c r="F2648">
        <v>0</v>
      </c>
      <c r="G2648">
        <v>3</v>
      </c>
      <c r="H2648">
        <v>3</v>
      </c>
      <c r="J2648" t="s">
        <v>22</v>
      </c>
      <c r="K2648" t="b">
        <v>1</v>
      </c>
      <c r="L2648">
        <f t="shared" si="41"/>
        <v>3</v>
      </c>
      <c r="M2648">
        <f t="shared" si="41"/>
        <v>3</v>
      </c>
      <c r="N2648" t="b">
        <v>0</v>
      </c>
      <c r="O2648">
        <v>1</v>
      </c>
      <c r="P2648" t="s">
        <v>6612</v>
      </c>
      <c r="Q2648">
        <v>2</v>
      </c>
      <c r="R2648" t="b">
        <v>1</v>
      </c>
    </row>
    <row r="2649" spans="1:18">
      <c r="A2649" t="s">
        <v>573</v>
      </c>
      <c r="B2649" t="s">
        <v>6613</v>
      </c>
      <c r="C2649" t="s">
        <v>6614</v>
      </c>
      <c r="E2649">
        <v>0</v>
      </c>
      <c r="F2649">
        <v>0</v>
      </c>
      <c r="G2649">
        <v>3</v>
      </c>
      <c r="H2649">
        <v>3</v>
      </c>
      <c r="J2649" t="s">
        <v>22</v>
      </c>
      <c r="K2649" t="b">
        <v>1</v>
      </c>
      <c r="L2649">
        <f t="shared" si="41"/>
        <v>3</v>
      </c>
      <c r="M2649">
        <f t="shared" si="41"/>
        <v>3</v>
      </c>
      <c r="N2649" t="b">
        <v>0</v>
      </c>
      <c r="O2649">
        <v>1</v>
      </c>
      <c r="P2649" t="s">
        <v>6615</v>
      </c>
      <c r="Q2649">
        <v>2</v>
      </c>
      <c r="R2649" t="b">
        <v>1</v>
      </c>
    </row>
    <row r="2650" spans="1:18" hidden="1">
      <c r="A2650" t="s">
        <v>4912</v>
      </c>
      <c r="B2650" t="s">
        <v>6616</v>
      </c>
      <c r="C2650" t="s">
        <v>6617</v>
      </c>
      <c r="E2650">
        <v>0</v>
      </c>
      <c r="F2650">
        <v>0</v>
      </c>
      <c r="G2650">
        <v>1</v>
      </c>
      <c r="H2650">
        <v>2</v>
      </c>
      <c r="J2650" t="s">
        <v>93</v>
      </c>
      <c r="K2650" t="b">
        <v>0</v>
      </c>
      <c r="L2650">
        <f t="shared" si="41"/>
        <v>1</v>
      </c>
      <c r="M2650">
        <f t="shared" si="41"/>
        <v>2</v>
      </c>
      <c r="N2650" t="b">
        <v>0</v>
      </c>
      <c r="O2650">
        <v>0</v>
      </c>
      <c r="Q2650">
        <v>0</v>
      </c>
      <c r="R2650" t="b">
        <v>0</v>
      </c>
    </row>
    <row r="2651" spans="1:18" hidden="1">
      <c r="A2651" t="s">
        <v>235</v>
      </c>
      <c r="B2651" t="s">
        <v>6618</v>
      </c>
      <c r="C2651" t="s">
        <v>6619</v>
      </c>
      <c r="E2651">
        <v>0</v>
      </c>
      <c r="F2651">
        <v>0</v>
      </c>
      <c r="G2651">
        <v>1</v>
      </c>
      <c r="H2651">
        <v>17</v>
      </c>
      <c r="J2651" t="s">
        <v>93</v>
      </c>
      <c r="K2651" t="b">
        <v>1</v>
      </c>
      <c r="L2651">
        <f t="shared" si="41"/>
        <v>1</v>
      </c>
      <c r="M2651">
        <f t="shared" si="41"/>
        <v>17</v>
      </c>
      <c r="N2651" t="b">
        <v>0</v>
      </c>
      <c r="O2651">
        <v>0</v>
      </c>
      <c r="Q2651">
        <v>0</v>
      </c>
      <c r="R2651" t="b">
        <v>0</v>
      </c>
    </row>
    <row r="2652" spans="1:18">
      <c r="A2652" t="s">
        <v>1191</v>
      </c>
      <c r="B2652" t="s">
        <v>6620</v>
      </c>
      <c r="C2652" t="s">
        <v>6621</v>
      </c>
      <c r="E2652">
        <v>0</v>
      </c>
      <c r="F2652">
        <v>0</v>
      </c>
      <c r="G2652">
        <v>1</v>
      </c>
      <c r="H2652">
        <v>2</v>
      </c>
      <c r="J2652" t="s">
        <v>22</v>
      </c>
      <c r="K2652" t="b">
        <v>1</v>
      </c>
      <c r="L2652">
        <f t="shared" si="41"/>
        <v>1</v>
      </c>
      <c r="M2652">
        <f t="shared" si="41"/>
        <v>2</v>
      </c>
      <c r="N2652" t="b">
        <v>0</v>
      </c>
      <c r="O2652">
        <v>1</v>
      </c>
      <c r="P2652" t="s">
        <v>6622</v>
      </c>
      <c r="Q2652">
        <v>2</v>
      </c>
      <c r="R2652" t="b">
        <v>1</v>
      </c>
    </row>
    <row r="2653" spans="1:18">
      <c r="A2653" t="s">
        <v>1191</v>
      </c>
      <c r="B2653" t="s">
        <v>6623</v>
      </c>
      <c r="C2653" t="s">
        <v>6624</v>
      </c>
      <c r="E2653">
        <v>0</v>
      </c>
      <c r="F2653">
        <v>0</v>
      </c>
      <c r="G2653">
        <v>1</v>
      </c>
      <c r="H2653">
        <v>2</v>
      </c>
      <c r="J2653" t="s">
        <v>22</v>
      </c>
      <c r="K2653" t="b">
        <v>1</v>
      </c>
      <c r="L2653">
        <f t="shared" si="41"/>
        <v>1</v>
      </c>
      <c r="M2653">
        <f t="shared" si="41"/>
        <v>2</v>
      </c>
      <c r="N2653" t="b">
        <v>0</v>
      </c>
      <c r="O2653">
        <v>1</v>
      </c>
      <c r="P2653" t="s">
        <v>6625</v>
      </c>
      <c r="Q2653">
        <v>2</v>
      </c>
      <c r="R2653" t="b">
        <v>1</v>
      </c>
    </row>
    <row r="2654" spans="1:18">
      <c r="A2654" t="s">
        <v>1191</v>
      </c>
      <c r="B2654" t="s">
        <v>6626</v>
      </c>
      <c r="C2654" t="s">
        <v>6627</v>
      </c>
      <c r="E2654">
        <v>0</v>
      </c>
      <c r="F2654">
        <v>0</v>
      </c>
      <c r="G2654">
        <v>3</v>
      </c>
      <c r="H2654">
        <v>6</v>
      </c>
      <c r="J2654" t="s">
        <v>22</v>
      </c>
      <c r="K2654" t="b">
        <v>1</v>
      </c>
      <c r="L2654">
        <f t="shared" si="41"/>
        <v>3</v>
      </c>
      <c r="M2654">
        <f t="shared" si="41"/>
        <v>6</v>
      </c>
      <c r="N2654" t="b">
        <v>0</v>
      </c>
      <c r="O2654">
        <v>1</v>
      </c>
      <c r="P2654" t="s">
        <v>6628</v>
      </c>
      <c r="Q2654">
        <v>2</v>
      </c>
      <c r="R2654" t="b">
        <v>1</v>
      </c>
    </row>
    <row r="2655" spans="1:18">
      <c r="A2655" t="s">
        <v>1191</v>
      </c>
      <c r="B2655" t="s">
        <v>6629</v>
      </c>
      <c r="C2655" t="s">
        <v>6630</v>
      </c>
      <c r="E2655">
        <v>0</v>
      </c>
      <c r="F2655">
        <v>0</v>
      </c>
      <c r="G2655">
        <v>1</v>
      </c>
      <c r="H2655">
        <v>2</v>
      </c>
      <c r="J2655" t="s">
        <v>22</v>
      </c>
      <c r="K2655" t="b">
        <v>1</v>
      </c>
      <c r="L2655">
        <f t="shared" si="41"/>
        <v>1</v>
      </c>
      <c r="M2655">
        <f t="shared" si="41"/>
        <v>2</v>
      </c>
      <c r="N2655" t="b">
        <v>0</v>
      </c>
      <c r="O2655">
        <v>1</v>
      </c>
      <c r="P2655" t="s">
        <v>6631</v>
      </c>
      <c r="Q2655">
        <v>2</v>
      </c>
      <c r="R2655" t="b">
        <v>1</v>
      </c>
    </row>
    <row r="2656" spans="1:18">
      <c r="A2656" t="s">
        <v>1191</v>
      </c>
      <c r="B2656" t="s">
        <v>6632</v>
      </c>
      <c r="C2656" t="s">
        <v>6633</v>
      </c>
      <c r="E2656">
        <v>0</v>
      </c>
      <c r="F2656">
        <v>0</v>
      </c>
      <c r="G2656">
        <v>3</v>
      </c>
      <c r="H2656">
        <v>6</v>
      </c>
      <c r="J2656" t="s">
        <v>22</v>
      </c>
      <c r="K2656" t="b">
        <v>1</v>
      </c>
      <c r="L2656">
        <f t="shared" si="41"/>
        <v>3</v>
      </c>
      <c r="M2656">
        <f t="shared" si="41"/>
        <v>6</v>
      </c>
      <c r="N2656" t="b">
        <v>0</v>
      </c>
      <c r="O2656">
        <v>1</v>
      </c>
      <c r="P2656" t="s">
        <v>6634</v>
      </c>
      <c r="Q2656">
        <v>2</v>
      </c>
      <c r="R2656" t="b">
        <v>1</v>
      </c>
    </row>
    <row r="2657" spans="1:18" hidden="1">
      <c r="A2657" t="s">
        <v>1191</v>
      </c>
      <c r="B2657" t="s">
        <v>6635</v>
      </c>
      <c r="C2657" t="s">
        <v>6636</v>
      </c>
      <c r="E2657">
        <v>0</v>
      </c>
      <c r="F2657">
        <v>0</v>
      </c>
      <c r="G2657">
        <v>1</v>
      </c>
      <c r="H2657">
        <v>2</v>
      </c>
      <c r="J2657" t="s">
        <v>93</v>
      </c>
      <c r="K2657" t="b">
        <v>1</v>
      </c>
      <c r="L2657">
        <f t="shared" si="41"/>
        <v>1</v>
      </c>
      <c r="M2657">
        <f t="shared" si="41"/>
        <v>2</v>
      </c>
      <c r="N2657" t="b">
        <v>0</v>
      </c>
      <c r="O2657">
        <v>0</v>
      </c>
      <c r="Q2657">
        <v>0</v>
      </c>
      <c r="R2657" t="b">
        <v>0</v>
      </c>
    </row>
    <row r="2658" spans="1:18" hidden="1">
      <c r="A2658" t="s">
        <v>1191</v>
      </c>
      <c r="B2658" t="s">
        <v>6637</v>
      </c>
      <c r="C2658" t="s">
        <v>6638</v>
      </c>
      <c r="E2658">
        <v>0</v>
      </c>
      <c r="F2658">
        <v>0</v>
      </c>
      <c r="G2658">
        <v>2</v>
      </c>
      <c r="H2658">
        <v>4</v>
      </c>
      <c r="J2658" t="s">
        <v>93</v>
      </c>
      <c r="K2658" t="b">
        <v>1</v>
      </c>
      <c r="L2658">
        <f t="shared" si="41"/>
        <v>2</v>
      </c>
      <c r="M2658">
        <f t="shared" si="41"/>
        <v>4</v>
      </c>
      <c r="N2658" t="b">
        <v>0</v>
      </c>
      <c r="O2658">
        <v>0.4</v>
      </c>
      <c r="P2658" t="s">
        <v>6639</v>
      </c>
      <c r="Q2658">
        <v>4</v>
      </c>
      <c r="R2658" t="b">
        <v>1</v>
      </c>
    </row>
    <row r="2659" spans="1:18" hidden="1">
      <c r="A2659" t="s">
        <v>1191</v>
      </c>
      <c r="B2659" t="s">
        <v>6640</v>
      </c>
      <c r="C2659" t="s">
        <v>6641</v>
      </c>
      <c r="E2659">
        <v>0</v>
      </c>
      <c r="F2659">
        <v>0</v>
      </c>
      <c r="G2659">
        <v>2</v>
      </c>
      <c r="H2659">
        <v>4</v>
      </c>
      <c r="J2659" t="s">
        <v>93</v>
      </c>
      <c r="K2659" t="b">
        <v>1</v>
      </c>
      <c r="L2659">
        <f t="shared" si="41"/>
        <v>2</v>
      </c>
      <c r="M2659">
        <f t="shared" si="41"/>
        <v>4</v>
      </c>
      <c r="N2659" t="b">
        <v>0</v>
      </c>
      <c r="O2659">
        <v>0.4</v>
      </c>
      <c r="P2659" t="s">
        <v>6642</v>
      </c>
      <c r="Q2659">
        <v>4</v>
      </c>
      <c r="R2659" t="b">
        <v>1</v>
      </c>
    </row>
    <row r="2660" spans="1:18">
      <c r="A2660" t="s">
        <v>1191</v>
      </c>
      <c r="B2660" t="s">
        <v>6643</v>
      </c>
      <c r="C2660" t="s">
        <v>6644</v>
      </c>
      <c r="E2660">
        <v>0</v>
      </c>
      <c r="F2660">
        <v>0</v>
      </c>
      <c r="G2660">
        <v>1</v>
      </c>
      <c r="H2660">
        <v>1</v>
      </c>
      <c r="J2660" t="s">
        <v>22</v>
      </c>
      <c r="K2660" t="b">
        <v>1</v>
      </c>
      <c r="L2660">
        <f t="shared" si="41"/>
        <v>1</v>
      </c>
      <c r="M2660">
        <f t="shared" si="41"/>
        <v>1</v>
      </c>
      <c r="N2660" t="b">
        <v>0</v>
      </c>
      <c r="O2660">
        <v>1</v>
      </c>
      <c r="P2660" t="s">
        <v>6645</v>
      </c>
      <c r="Q2660">
        <v>2</v>
      </c>
      <c r="R2660" t="b">
        <v>1</v>
      </c>
    </row>
    <row r="2661" spans="1:18">
      <c r="A2661" t="s">
        <v>1191</v>
      </c>
      <c r="B2661" t="s">
        <v>6646</v>
      </c>
      <c r="C2661" t="s">
        <v>6647</v>
      </c>
      <c r="E2661">
        <v>0</v>
      </c>
      <c r="F2661">
        <v>0</v>
      </c>
      <c r="G2661">
        <v>1</v>
      </c>
      <c r="H2661">
        <v>17</v>
      </c>
      <c r="J2661" t="s">
        <v>22</v>
      </c>
      <c r="K2661" t="b">
        <v>1</v>
      </c>
      <c r="L2661">
        <f t="shared" si="41"/>
        <v>1</v>
      </c>
      <c r="M2661">
        <f t="shared" si="41"/>
        <v>17</v>
      </c>
      <c r="N2661" t="b">
        <v>0</v>
      </c>
      <c r="O2661">
        <v>1</v>
      </c>
      <c r="P2661" t="s">
        <v>6648</v>
      </c>
      <c r="Q2661">
        <v>2</v>
      </c>
      <c r="R2661" t="b">
        <v>1</v>
      </c>
    </row>
    <row r="2662" spans="1:18" hidden="1">
      <c r="A2662" t="s">
        <v>1191</v>
      </c>
      <c r="B2662" t="s">
        <v>6649</v>
      </c>
      <c r="C2662" t="s">
        <v>6650</v>
      </c>
      <c r="E2662">
        <v>0</v>
      </c>
      <c r="F2662">
        <v>0</v>
      </c>
      <c r="G2662">
        <v>1</v>
      </c>
      <c r="H2662">
        <v>2</v>
      </c>
      <c r="J2662" t="s">
        <v>93</v>
      </c>
      <c r="K2662" t="b">
        <v>1</v>
      </c>
      <c r="L2662">
        <f t="shared" si="41"/>
        <v>1</v>
      </c>
      <c r="M2662">
        <f t="shared" si="41"/>
        <v>2</v>
      </c>
      <c r="N2662" t="b">
        <v>0</v>
      </c>
      <c r="O2662">
        <v>0.2</v>
      </c>
      <c r="P2662" t="s">
        <v>6651</v>
      </c>
      <c r="Q2662">
        <v>8</v>
      </c>
      <c r="R2662" t="b">
        <v>1</v>
      </c>
    </row>
    <row r="2663" spans="1:18">
      <c r="A2663" t="s">
        <v>1191</v>
      </c>
      <c r="B2663" t="s">
        <v>6652</v>
      </c>
      <c r="C2663" t="s">
        <v>6653</v>
      </c>
      <c r="E2663">
        <v>0</v>
      </c>
      <c r="F2663">
        <v>0</v>
      </c>
      <c r="G2663">
        <v>1</v>
      </c>
      <c r="H2663">
        <v>1</v>
      </c>
      <c r="J2663" t="s">
        <v>22</v>
      </c>
      <c r="K2663" t="b">
        <v>1</v>
      </c>
      <c r="L2663">
        <f t="shared" si="41"/>
        <v>1</v>
      </c>
      <c r="M2663">
        <f t="shared" si="41"/>
        <v>1</v>
      </c>
      <c r="N2663" t="b">
        <v>0</v>
      </c>
      <c r="O2663">
        <v>1</v>
      </c>
      <c r="P2663" t="s">
        <v>6654</v>
      </c>
      <c r="Q2663">
        <v>2</v>
      </c>
      <c r="R2663" t="b">
        <v>1</v>
      </c>
    </row>
    <row r="2664" spans="1:18">
      <c r="A2664" t="s">
        <v>1191</v>
      </c>
      <c r="B2664" t="s">
        <v>6655</v>
      </c>
      <c r="C2664" t="s">
        <v>6656</v>
      </c>
      <c r="E2664">
        <v>0</v>
      </c>
      <c r="F2664">
        <v>0</v>
      </c>
      <c r="G2664">
        <v>1</v>
      </c>
      <c r="H2664">
        <v>1</v>
      </c>
      <c r="J2664" t="s">
        <v>22</v>
      </c>
      <c r="K2664" t="b">
        <v>1</v>
      </c>
      <c r="L2664">
        <f t="shared" si="41"/>
        <v>1</v>
      </c>
      <c r="M2664">
        <f t="shared" si="41"/>
        <v>1</v>
      </c>
      <c r="N2664" t="b">
        <v>0</v>
      </c>
      <c r="O2664">
        <v>1</v>
      </c>
      <c r="P2664" t="s">
        <v>6657</v>
      </c>
      <c r="Q2664">
        <v>2</v>
      </c>
      <c r="R2664" t="b">
        <v>1</v>
      </c>
    </row>
    <row r="2665" spans="1:18">
      <c r="A2665" t="s">
        <v>1191</v>
      </c>
      <c r="B2665" t="s">
        <v>6658</v>
      </c>
      <c r="C2665" t="s">
        <v>6659</v>
      </c>
      <c r="E2665">
        <v>0</v>
      </c>
      <c r="F2665">
        <v>0</v>
      </c>
      <c r="G2665">
        <v>1</v>
      </c>
      <c r="H2665">
        <v>7</v>
      </c>
      <c r="J2665" t="s">
        <v>22</v>
      </c>
      <c r="K2665" t="b">
        <v>1</v>
      </c>
      <c r="L2665">
        <f t="shared" si="41"/>
        <v>1</v>
      </c>
      <c r="M2665">
        <f t="shared" si="41"/>
        <v>7</v>
      </c>
      <c r="N2665" t="b">
        <v>0</v>
      </c>
      <c r="O2665">
        <v>1</v>
      </c>
      <c r="P2665" t="s">
        <v>6660</v>
      </c>
      <c r="Q2665">
        <v>2</v>
      </c>
      <c r="R2665" t="b">
        <v>1</v>
      </c>
    </row>
    <row r="2666" spans="1:18" hidden="1">
      <c r="A2666" t="s">
        <v>1191</v>
      </c>
      <c r="B2666" t="s">
        <v>6661</v>
      </c>
      <c r="C2666" t="s">
        <v>6662</v>
      </c>
      <c r="E2666">
        <v>0</v>
      </c>
      <c r="F2666">
        <v>0</v>
      </c>
      <c r="G2666">
        <v>1</v>
      </c>
      <c r="H2666">
        <v>7</v>
      </c>
      <c r="J2666" t="s">
        <v>93</v>
      </c>
      <c r="K2666" t="b">
        <v>1</v>
      </c>
      <c r="L2666">
        <f t="shared" si="41"/>
        <v>1</v>
      </c>
      <c r="M2666">
        <f t="shared" si="41"/>
        <v>7</v>
      </c>
      <c r="N2666" t="b">
        <v>0</v>
      </c>
      <c r="O2666">
        <v>0.2</v>
      </c>
      <c r="P2666" t="s">
        <v>4715</v>
      </c>
      <c r="Q2666">
        <v>8</v>
      </c>
      <c r="R2666" t="b">
        <v>1</v>
      </c>
    </row>
    <row r="2667" spans="1:18">
      <c r="A2667" t="s">
        <v>1191</v>
      </c>
      <c r="B2667" t="s">
        <v>6663</v>
      </c>
      <c r="C2667" t="s">
        <v>6664</v>
      </c>
      <c r="E2667">
        <v>0</v>
      </c>
      <c r="F2667">
        <v>0</v>
      </c>
      <c r="G2667">
        <v>1</v>
      </c>
      <c r="H2667">
        <v>2</v>
      </c>
      <c r="J2667" t="s">
        <v>22</v>
      </c>
      <c r="K2667" t="b">
        <v>1</v>
      </c>
      <c r="L2667">
        <f t="shared" si="41"/>
        <v>1</v>
      </c>
      <c r="M2667">
        <f t="shared" si="41"/>
        <v>2</v>
      </c>
      <c r="N2667" t="b">
        <v>0</v>
      </c>
      <c r="O2667">
        <v>1</v>
      </c>
      <c r="P2667" t="s">
        <v>6665</v>
      </c>
      <c r="Q2667">
        <v>2</v>
      </c>
      <c r="R2667" t="b">
        <v>1</v>
      </c>
    </row>
    <row r="2668" spans="1:18" hidden="1">
      <c r="A2668" t="s">
        <v>790</v>
      </c>
      <c r="B2668" t="s">
        <v>6666</v>
      </c>
      <c r="C2668" t="s">
        <v>6667</v>
      </c>
      <c r="E2668">
        <v>0</v>
      </c>
      <c r="F2668">
        <v>0</v>
      </c>
      <c r="G2668">
        <v>1</v>
      </c>
      <c r="H2668">
        <v>2</v>
      </c>
      <c r="J2668" t="s">
        <v>93</v>
      </c>
      <c r="K2668" t="b">
        <v>0</v>
      </c>
      <c r="L2668">
        <f t="shared" si="41"/>
        <v>1</v>
      </c>
      <c r="M2668">
        <f t="shared" si="41"/>
        <v>2</v>
      </c>
      <c r="N2668" t="b">
        <v>0</v>
      </c>
      <c r="O2668">
        <v>0</v>
      </c>
      <c r="Q2668">
        <v>0</v>
      </c>
      <c r="R2668" t="b">
        <v>0</v>
      </c>
    </row>
    <row r="2669" spans="1:18">
      <c r="A2669" t="s">
        <v>1987</v>
      </c>
      <c r="B2669" t="s">
        <v>6668</v>
      </c>
      <c r="C2669" t="s">
        <v>6669</v>
      </c>
      <c r="E2669">
        <v>0</v>
      </c>
      <c r="F2669">
        <v>0</v>
      </c>
      <c r="G2669">
        <v>1</v>
      </c>
      <c r="H2669">
        <v>4</v>
      </c>
      <c r="J2669" t="s">
        <v>22</v>
      </c>
      <c r="K2669" t="b">
        <v>1</v>
      </c>
      <c r="L2669">
        <f t="shared" si="41"/>
        <v>1</v>
      </c>
      <c r="M2669">
        <f t="shared" si="41"/>
        <v>4</v>
      </c>
      <c r="N2669" t="b">
        <v>0</v>
      </c>
      <c r="O2669">
        <v>1</v>
      </c>
      <c r="P2669" t="s">
        <v>6670</v>
      </c>
      <c r="Q2669">
        <v>2</v>
      </c>
      <c r="R2669" t="b">
        <v>1</v>
      </c>
    </row>
    <row r="2670" spans="1:18">
      <c r="A2670" t="s">
        <v>205</v>
      </c>
      <c r="B2670" t="s">
        <v>6671</v>
      </c>
      <c r="C2670" t="s">
        <v>6672</v>
      </c>
      <c r="E2670">
        <v>0</v>
      </c>
      <c r="F2670">
        <v>0</v>
      </c>
      <c r="G2670">
        <v>2</v>
      </c>
      <c r="H2670">
        <v>2</v>
      </c>
      <c r="J2670" t="s">
        <v>22</v>
      </c>
      <c r="K2670" t="b">
        <v>1</v>
      </c>
      <c r="L2670">
        <f t="shared" si="41"/>
        <v>2</v>
      </c>
      <c r="M2670">
        <f t="shared" si="41"/>
        <v>2</v>
      </c>
      <c r="N2670" t="b">
        <v>0</v>
      </c>
      <c r="O2670">
        <v>1</v>
      </c>
      <c r="P2670" t="s">
        <v>6673</v>
      </c>
      <c r="Q2670">
        <v>2</v>
      </c>
      <c r="R2670" t="b">
        <v>1</v>
      </c>
    </row>
    <row r="2671" spans="1:18">
      <c r="A2671" t="s">
        <v>205</v>
      </c>
      <c r="B2671" t="s">
        <v>6674</v>
      </c>
      <c r="C2671" t="s">
        <v>6675</v>
      </c>
      <c r="E2671">
        <v>0</v>
      </c>
      <c r="F2671">
        <v>0</v>
      </c>
      <c r="G2671">
        <v>1</v>
      </c>
      <c r="H2671">
        <v>1</v>
      </c>
      <c r="J2671" t="s">
        <v>22</v>
      </c>
      <c r="K2671" t="b">
        <v>1</v>
      </c>
      <c r="L2671">
        <f t="shared" si="41"/>
        <v>1</v>
      </c>
      <c r="M2671">
        <f t="shared" si="41"/>
        <v>1</v>
      </c>
      <c r="N2671" t="b">
        <v>0</v>
      </c>
      <c r="O2671">
        <v>1</v>
      </c>
      <c r="P2671" t="s">
        <v>4167</v>
      </c>
      <c r="Q2671">
        <v>2</v>
      </c>
      <c r="R2671" t="b">
        <v>1</v>
      </c>
    </row>
    <row r="2672" spans="1:18" hidden="1">
      <c r="A2672" t="s">
        <v>205</v>
      </c>
      <c r="B2672" t="s">
        <v>6676</v>
      </c>
      <c r="C2672" t="s">
        <v>6677</v>
      </c>
      <c r="E2672">
        <v>0</v>
      </c>
      <c r="F2672">
        <v>0</v>
      </c>
      <c r="G2672">
        <v>1</v>
      </c>
      <c r="H2672">
        <v>3</v>
      </c>
      <c r="J2672" t="s">
        <v>93</v>
      </c>
      <c r="K2672" t="b">
        <v>1</v>
      </c>
      <c r="L2672">
        <f t="shared" si="41"/>
        <v>1</v>
      </c>
      <c r="M2672">
        <f t="shared" si="41"/>
        <v>3</v>
      </c>
      <c r="N2672" t="b">
        <v>0</v>
      </c>
      <c r="O2672">
        <v>0</v>
      </c>
      <c r="Q2672">
        <v>0</v>
      </c>
      <c r="R2672" t="b">
        <v>0</v>
      </c>
    </row>
    <row r="2673" spans="1:18" hidden="1">
      <c r="A2673" t="s">
        <v>205</v>
      </c>
      <c r="B2673" t="s">
        <v>6678</v>
      </c>
      <c r="C2673" t="s">
        <v>6679</v>
      </c>
      <c r="E2673">
        <v>0</v>
      </c>
      <c r="F2673">
        <v>0</v>
      </c>
      <c r="G2673">
        <v>4</v>
      </c>
      <c r="H2673">
        <v>47</v>
      </c>
      <c r="J2673" t="s">
        <v>93</v>
      </c>
      <c r="K2673" t="b">
        <v>1</v>
      </c>
      <c r="L2673">
        <f t="shared" si="41"/>
        <v>4</v>
      </c>
      <c r="M2673">
        <f t="shared" si="41"/>
        <v>47</v>
      </c>
      <c r="N2673" t="b">
        <v>0</v>
      </c>
      <c r="O2673">
        <v>0</v>
      </c>
      <c r="Q2673">
        <v>0</v>
      </c>
      <c r="R2673" t="b">
        <v>0</v>
      </c>
    </row>
    <row r="2674" spans="1:18" hidden="1">
      <c r="A2674" t="s">
        <v>3105</v>
      </c>
      <c r="B2674" t="s">
        <v>6680</v>
      </c>
      <c r="C2674" t="s">
        <v>6681</v>
      </c>
      <c r="E2674">
        <v>0</v>
      </c>
      <c r="F2674">
        <v>0</v>
      </c>
      <c r="G2674">
        <v>1</v>
      </c>
      <c r="H2674">
        <v>2</v>
      </c>
      <c r="J2674" t="s">
        <v>93</v>
      </c>
      <c r="K2674" t="b">
        <v>1</v>
      </c>
      <c r="L2674">
        <f t="shared" si="41"/>
        <v>1</v>
      </c>
      <c r="M2674">
        <f t="shared" si="41"/>
        <v>2</v>
      </c>
      <c r="N2674" t="b">
        <v>0</v>
      </c>
      <c r="O2674">
        <v>0</v>
      </c>
      <c r="Q2674">
        <v>0</v>
      </c>
      <c r="R2674" t="b">
        <v>0</v>
      </c>
    </row>
    <row r="2675" spans="1:18" hidden="1">
      <c r="A2675" t="s">
        <v>3105</v>
      </c>
      <c r="B2675" t="s">
        <v>6682</v>
      </c>
      <c r="C2675" t="s">
        <v>6683</v>
      </c>
      <c r="E2675">
        <v>0</v>
      </c>
      <c r="F2675">
        <v>0</v>
      </c>
      <c r="G2675">
        <v>2</v>
      </c>
      <c r="H2675">
        <v>3</v>
      </c>
      <c r="J2675" t="s">
        <v>93</v>
      </c>
      <c r="K2675" t="b">
        <v>1</v>
      </c>
      <c r="L2675">
        <f t="shared" si="41"/>
        <v>2</v>
      </c>
      <c r="M2675">
        <f t="shared" si="41"/>
        <v>3</v>
      </c>
      <c r="N2675" t="b">
        <v>0</v>
      </c>
      <c r="O2675">
        <v>0</v>
      </c>
      <c r="Q2675">
        <v>0</v>
      </c>
      <c r="R2675" t="b">
        <v>0</v>
      </c>
    </row>
    <row r="2676" spans="1:18" hidden="1">
      <c r="A2676" t="s">
        <v>3105</v>
      </c>
      <c r="B2676" t="s">
        <v>6684</v>
      </c>
      <c r="C2676" t="s">
        <v>6685</v>
      </c>
      <c r="E2676">
        <v>0</v>
      </c>
      <c r="F2676">
        <v>0</v>
      </c>
      <c r="G2676">
        <v>1</v>
      </c>
      <c r="H2676">
        <v>1</v>
      </c>
      <c r="J2676" t="s">
        <v>93</v>
      </c>
      <c r="K2676" t="b">
        <v>1</v>
      </c>
      <c r="L2676">
        <f t="shared" si="41"/>
        <v>1</v>
      </c>
      <c r="M2676">
        <f t="shared" si="41"/>
        <v>1</v>
      </c>
      <c r="N2676" t="b">
        <v>0</v>
      </c>
      <c r="O2676">
        <v>0</v>
      </c>
      <c r="Q2676">
        <v>0</v>
      </c>
      <c r="R2676" t="b">
        <v>0</v>
      </c>
    </row>
    <row r="2677" spans="1:18" hidden="1">
      <c r="A2677" t="s">
        <v>2472</v>
      </c>
      <c r="B2677" t="s">
        <v>6686</v>
      </c>
      <c r="C2677" t="s">
        <v>6687</v>
      </c>
      <c r="E2677">
        <v>0</v>
      </c>
      <c r="F2677">
        <v>0</v>
      </c>
      <c r="G2677">
        <v>1</v>
      </c>
      <c r="H2677">
        <v>1</v>
      </c>
      <c r="J2677" t="s">
        <v>93</v>
      </c>
      <c r="K2677" t="b">
        <v>1</v>
      </c>
      <c r="L2677">
        <f t="shared" si="41"/>
        <v>1</v>
      </c>
      <c r="M2677">
        <f t="shared" si="41"/>
        <v>1</v>
      </c>
      <c r="N2677" t="b">
        <v>0</v>
      </c>
      <c r="O2677">
        <v>0</v>
      </c>
      <c r="Q2677">
        <v>0</v>
      </c>
      <c r="R2677" t="b">
        <v>0</v>
      </c>
    </row>
    <row r="2678" spans="1:18">
      <c r="A2678" t="s">
        <v>59</v>
      </c>
      <c r="B2678" t="s">
        <v>6688</v>
      </c>
      <c r="C2678" t="s">
        <v>6689</v>
      </c>
      <c r="E2678">
        <v>0</v>
      </c>
      <c r="F2678">
        <v>0</v>
      </c>
      <c r="G2678">
        <v>1</v>
      </c>
      <c r="H2678">
        <v>1</v>
      </c>
      <c r="J2678" t="s">
        <v>22</v>
      </c>
      <c r="K2678" t="b">
        <v>1</v>
      </c>
      <c r="L2678">
        <f t="shared" si="41"/>
        <v>1</v>
      </c>
      <c r="M2678">
        <f t="shared" si="41"/>
        <v>1</v>
      </c>
      <c r="N2678" t="b">
        <v>0</v>
      </c>
      <c r="O2678">
        <v>1</v>
      </c>
      <c r="P2678" t="s">
        <v>6690</v>
      </c>
      <c r="Q2678">
        <v>2</v>
      </c>
      <c r="R2678" t="b">
        <v>1</v>
      </c>
    </row>
    <row r="2679" spans="1:18" hidden="1">
      <c r="A2679" t="s">
        <v>59</v>
      </c>
      <c r="B2679" t="s">
        <v>6691</v>
      </c>
      <c r="C2679" t="s">
        <v>6692</v>
      </c>
      <c r="E2679">
        <v>0</v>
      </c>
      <c r="F2679">
        <v>0</v>
      </c>
      <c r="G2679">
        <v>2</v>
      </c>
      <c r="H2679">
        <v>3</v>
      </c>
      <c r="J2679" t="s">
        <v>93</v>
      </c>
      <c r="K2679" t="b">
        <v>1</v>
      </c>
      <c r="L2679">
        <f t="shared" si="41"/>
        <v>2</v>
      </c>
      <c r="M2679">
        <f t="shared" si="41"/>
        <v>3</v>
      </c>
      <c r="N2679" t="b">
        <v>0</v>
      </c>
      <c r="O2679">
        <v>0</v>
      </c>
      <c r="Q2679">
        <v>0</v>
      </c>
      <c r="R2679" t="b">
        <v>0</v>
      </c>
    </row>
    <row r="2680" spans="1:18">
      <c r="A2680" t="s">
        <v>2805</v>
      </c>
      <c r="B2680" t="s">
        <v>6693</v>
      </c>
      <c r="C2680" t="s">
        <v>6694</v>
      </c>
      <c r="E2680">
        <v>0</v>
      </c>
      <c r="F2680">
        <v>0</v>
      </c>
      <c r="G2680">
        <v>1</v>
      </c>
      <c r="H2680">
        <v>4</v>
      </c>
      <c r="J2680" t="s">
        <v>22</v>
      </c>
      <c r="K2680" t="b">
        <v>1</v>
      </c>
      <c r="L2680">
        <f t="shared" si="41"/>
        <v>1</v>
      </c>
      <c r="M2680">
        <f t="shared" si="41"/>
        <v>4</v>
      </c>
      <c r="N2680" t="b">
        <v>0</v>
      </c>
      <c r="O2680">
        <v>1</v>
      </c>
      <c r="P2680" t="s">
        <v>6695</v>
      </c>
      <c r="Q2680">
        <v>2</v>
      </c>
      <c r="R2680" t="b">
        <v>1</v>
      </c>
    </row>
    <row r="2681" spans="1:18" hidden="1">
      <c r="A2681" t="s">
        <v>5439</v>
      </c>
      <c r="B2681" t="s">
        <v>6696</v>
      </c>
      <c r="C2681" t="s">
        <v>6697</v>
      </c>
      <c r="E2681">
        <v>0</v>
      </c>
      <c r="F2681">
        <v>0</v>
      </c>
      <c r="G2681">
        <v>1</v>
      </c>
      <c r="H2681">
        <v>1</v>
      </c>
      <c r="J2681" t="s">
        <v>93</v>
      </c>
      <c r="K2681" t="b">
        <v>0</v>
      </c>
      <c r="L2681">
        <f t="shared" si="41"/>
        <v>1</v>
      </c>
      <c r="M2681">
        <f t="shared" si="41"/>
        <v>1</v>
      </c>
      <c r="N2681" t="b">
        <v>0</v>
      </c>
      <c r="O2681">
        <v>0</v>
      </c>
      <c r="Q2681">
        <v>0</v>
      </c>
      <c r="R2681" t="b">
        <v>0</v>
      </c>
    </row>
    <row r="2682" spans="1:18">
      <c r="A2682" t="s">
        <v>3478</v>
      </c>
      <c r="B2682" t="s">
        <v>6698</v>
      </c>
      <c r="C2682" t="s">
        <v>6699</v>
      </c>
      <c r="E2682">
        <v>0</v>
      </c>
      <c r="F2682">
        <v>0</v>
      </c>
      <c r="G2682">
        <v>1</v>
      </c>
      <c r="H2682">
        <v>6</v>
      </c>
      <c r="J2682" t="s">
        <v>22</v>
      </c>
      <c r="K2682" t="b">
        <v>1</v>
      </c>
      <c r="L2682">
        <f t="shared" si="41"/>
        <v>1</v>
      </c>
      <c r="M2682">
        <f t="shared" si="41"/>
        <v>6</v>
      </c>
      <c r="N2682" t="b">
        <v>0</v>
      </c>
      <c r="O2682">
        <v>1</v>
      </c>
      <c r="P2682" t="s">
        <v>6700</v>
      </c>
      <c r="Q2682">
        <v>2</v>
      </c>
      <c r="R2682" t="b">
        <v>1</v>
      </c>
    </row>
    <row r="2683" spans="1:18" hidden="1">
      <c r="A2683" t="s">
        <v>3157</v>
      </c>
      <c r="B2683" t="s">
        <v>6701</v>
      </c>
      <c r="C2683" t="s">
        <v>6702</v>
      </c>
      <c r="E2683">
        <v>0</v>
      </c>
      <c r="F2683">
        <v>0</v>
      </c>
      <c r="G2683">
        <v>1</v>
      </c>
      <c r="H2683">
        <v>1</v>
      </c>
      <c r="J2683" t="s">
        <v>93</v>
      </c>
      <c r="K2683" t="b">
        <v>0</v>
      </c>
      <c r="L2683">
        <f t="shared" si="41"/>
        <v>1</v>
      </c>
      <c r="M2683">
        <f t="shared" si="41"/>
        <v>1</v>
      </c>
      <c r="N2683" t="b">
        <v>0</v>
      </c>
      <c r="O2683">
        <v>0</v>
      </c>
      <c r="Q2683">
        <v>0</v>
      </c>
      <c r="R2683" t="b">
        <v>0</v>
      </c>
    </row>
    <row r="2684" spans="1:18" hidden="1">
      <c r="A2684" t="s">
        <v>1847</v>
      </c>
      <c r="B2684" t="s">
        <v>6703</v>
      </c>
      <c r="C2684" t="s">
        <v>6704</v>
      </c>
      <c r="E2684">
        <v>0</v>
      </c>
      <c r="F2684">
        <v>0</v>
      </c>
      <c r="G2684">
        <v>2</v>
      </c>
      <c r="H2684">
        <v>6</v>
      </c>
      <c r="J2684" t="s">
        <v>93</v>
      </c>
      <c r="K2684" t="b">
        <v>0</v>
      </c>
      <c r="L2684">
        <f t="shared" si="41"/>
        <v>2</v>
      </c>
      <c r="M2684">
        <f t="shared" si="41"/>
        <v>6</v>
      </c>
      <c r="N2684" t="b">
        <v>0</v>
      </c>
      <c r="O2684">
        <v>0</v>
      </c>
      <c r="Q2684">
        <v>0</v>
      </c>
      <c r="R2684" t="b">
        <v>0</v>
      </c>
    </row>
    <row r="2685" spans="1:18">
      <c r="A2685" t="s">
        <v>1143</v>
      </c>
      <c r="B2685" t="s">
        <v>6705</v>
      </c>
      <c r="C2685" t="s">
        <v>6706</v>
      </c>
      <c r="E2685">
        <v>0</v>
      </c>
      <c r="F2685">
        <v>0</v>
      </c>
      <c r="G2685">
        <v>1</v>
      </c>
      <c r="H2685">
        <v>1</v>
      </c>
      <c r="J2685" t="s">
        <v>22</v>
      </c>
      <c r="K2685" t="b">
        <v>1</v>
      </c>
      <c r="L2685">
        <f t="shared" si="41"/>
        <v>1</v>
      </c>
      <c r="M2685">
        <f t="shared" si="41"/>
        <v>1</v>
      </c>
      <c r="N2685" t="b">
        <v>0</v>
      </c>
      <c r="O2685">
        <v>1</v>
      </c>
      <c r="P2685" t="s">
        <v>6707</v>
      </c>
      <c r="Q2685">
        <v>2</v>
      </c>
      <c r="R2685" t="b">
        <v>1</v>
      </c>
    </row>
    <row r="2686" spans="1:18">
      <c r="A2686" t="s">
        <v>1143</v>
      </c>
      <c r="B2686" t="s">
        <v>6708</v>
      </c>
      <c r="C2686" t="s">
        <v>6709</v>
      </c>
      <c r="E2686">
        <v>0</v>
      </c>
      <c r="F2686">
        <v>0</v>
      </c>
      <c r="G2686">
        <v>1</v>
      </c>
      <c r="H2686">
        <v>5</v>
      </c>
      <c r="J2686" t="s">
        <v>22</v>
      </c>
      <c r="K2686" t="b">
        <v>1</v>
      </c>
      <c r="L2686">
        <f t="shared" si="41"/>
        <v>1</v>
      </c>
      <c r="M2686">
        <f t="shared" si="41"/>
        <v>5</v>
      </c>
      <c r="N2686" t="b">
        <v>0</v>
      </c>
      <c r="O2686">
        <v>1</v>
      </c>
      <c r="P2686" t="s">
        <v>6710</v>
      </c>
      <c r="Q2686">
        <v>2</v>
      </c>
      <c r="R2686" t="b">
        <v>1</v>
      </c>
    </row>
    <row r="2687" spans="1:18">
      <c r="A2687" t="s">
        <v>1143</v>
      </c>
      <c r="B2687" t="s">
        <v>6711</v>
      </c>
      <c r="C2687" t="s">
        <v>6712</v>
      </c>
      <c r="E2687">
        <v>0</v>
      </c>
      <c r="F2687">
        <v>0</v>
      </c>
      <c r="G2687">
        <v>1</v>
      </c>
      <c r="H2687">
        <v>4</v>
      </c>
      <c r="J2687" t="s">
        <v>22</v>
      </c>
      <c r="K2687" t="b">
        <v>1</v>
      </c>
      <c r="L2687">
        <f t="shared" si="41"/>
        <v>1</v>
      </c>
      <c r="M2687">
        <f t="shared" si="41"/>
        <v>4</v>
      </c>
      <c r="N2687" t="b">
        <v>0</v>
      </c>
      <c r="O2687">
        <v>1</v>
      </c>
      <c r="P2687" t="s">
        <v>6713</v>
      </c>
      <c r="Q2687">
        <v>2</v>
      </c>
      <c r="R2687" t="b">
        <v>1</v>
      </c>
    </row>
    <row r="2688" spans="1:18" hidden="1">
      <c r="A2688" t="s">
        <v>1143</v>
      </c>
      <c r="B2688" t="s">
        <v>6714</v>
      </c>
      <c r="C2688" t="s">
        <v>6715</v>
      </c>
      <c r="E2688">
        <v>0</v>
      </c>
      <c r="F2688">
        <v>0</v>
      </c>
      <c r="G2688">
        <v>1</v>
      </c>
      <c r="H2688">
        <v>2</v>
      </c>
      <c r="J2688" t="s">
        <v>93</v>
      </c>
      <c r="K2688" t="b">
        <v>1</v>
      </c>
      <c r="L2688">
        <f t="shared" si="41"/>
        <v>1</v>
      </c>
      <c r="M2688">
        <f t="shared" si="41"/>
        <v>2</v>
      </c>
      <c r="N2688" t="b">
        <v>0</v>
      </c>
      <c r="O2688">
        <v>0</v>
      </c>
      <c r="Q2688">
        <v>0</v>
      </c>
      <c r="R2688" t="b">
        <v>0</v>
      </c>
    </row>
    <row r="2689" spans="1:18" hidden="1">
      <c r="A2689" t="s">
        <v>1143</v>
      </c>
      <c r="B2689" t="s">
        <v>6716</v>
      </c>
      <c r="C2689" t="s">
        <v>6717</v>
      </c>
      <c r="E2689">
        <v>0</v>
      </c>
      <c r="F2689">
        <v>0</v>
      </c>
      <c r="G2689">
        <v>1</v>
      </c>
      <c r="H2689">
        <v>5</v>
      </c>
      <c r="J2689" t="s">
        <v>93</v>
      </c>
      <c r="K2689" t="b">
        <v>1</v>
      </c>
      <c r="L2689">
        <f t="shared" si="41"/>
        <v>1</v>
      </c>
      <c r="M2689">
        <f t="shared" si="41"/>
        <v>5</v>
      </c>
      <c r="N2689" t="b">
        <v>0</v>
      </c>
      <c r="O2689">
        <v>0</v>
      </c>
      <c r="Q2689">
        <v>0</v>
      </c>
      <c r="R2689" t="b">
        <v>0</v>
      </c>
    </row>
    <row r="2690" spans="1:18">
      <c r="A2690" t="s">
        <v>1143</v>
      </c>
      <c r="B2690" t="s">
        <v>6718</v>
      </c>
      <c r="C2690" t="s">
        <v>6719</v>
      </c>
      <c r="E2690">
        <v>0</v>
      </c>
      <c r="F2690">
        <v>0</v>
      </c>
      <c r="G2690">
        <v>1</v>
      </c>
      <c r="H2690">
        <v>5</v>
      </c>
      <c r="J2690" t="s">
        <v>22</v>
      </c>
      <c r="K2690" t="b">
        <v>1</v>
      </c>
      <c r="L2690">
        <f t="shared" si="41"/>
        <v>1</v>
      </c>
      <c r="M2690">
        <f t="shared" si="41"/>
        <v>5</v>
      </c>
      <c r="N2690" t="b">
        <v>0</v>
      </c>
      <c r="O2690">
        <v>1</v>
      </c>
      <c r="P2690" t="s">
        <v>6720</v>
      </c>
      <c r="Q2690">
        <v>2</v>
      </c>
      <c r="R2690" t="b">
        <v>1</v>
      </c>
    </row>
    <row r="2691" spans="1:18" hidden="1">
      <c r="A2691" t="s">
        <v>1143</v>
      </c>
      <c r="B2691" t="s">
        <v>6721</v>
      </c>
      <c r="C2691" t="s">
        <v>6722</v>
      </c>
      <c r="E2691">
        <v>0</v>
      </c>
      <c r="F2691">
        <v>0</v>
      </c>
      <c r="G2691">
        <v>1</v>
      </c>
      <c r="H2691">
        <v>2</v>
      </c>
      <c r="J2691" t="s">
        <v>93</v>
      </c>
      <c r="K2691" t="b">
        <v>1</v>
      </c>
      <c r="L2691">
        <f t="shared" ref="L2691:M2708" si="42">E2691+G2691</f>
        <v>1</v>
      </c>
      <c r="M2691">
        <f t="shared" si="42"/>
        <v>2</v>
      </c>
      <c r="N2691" t="b">
        <v>0</v>
      </c>
      <c r="O2691">
        <v>0.25</v>
      </c>
      <c r="P2691" t="s">
        <v>6723</v>
      </c>
      <c r="Q2691">
        <v>8</v>
      </c>
      <c r="R2691" t="b">
        <v>1</v>
      </c>
    </row>
    <row r="2692" spans="1:18" hidden="1">
      <c r="A2692" t="s">
        <v>1143</v>
      </c>
      <c r="B2692" t="s">
        <v>6724</v>
      </c>
      <c r="C2692" t="s">
        <v>6725</v>
      </c>
      <c r="E2692">
        <v>0</v>
      </c>
      <c r="F2692">
        <v>0</v>
      </c>
      <c r="G2692">
        <v>1</v>
      </c>
      <c r="H2692">
        <v>2</v>
      </c>
      <c r="J2692" t="s">
        <v>93</v>
      </c>
      <c r="K2692" t="b">
        <v>1</v>
      </c>
      <c r="L2692">
        <f t="shared" si="42"/>
        <v>1</v>
      </c>
      <c r="M2692">
        <f t="shared" si="42"/>
        <v>2</v>
      </c>
      <c r="N2692" t="b">
        <v>0</v>
      </c>
      <c r="O2692">
        <v>0</v>
      </c>
      <c r="Q2692">
        <v>0</v>
      </c>
      <c r="R2692" t="b">
        <v>0</v>
      </c>
    </row>
    <row r="2693" spans="1:18" hidden="1">
      <c r="A2693" t="s">
        <v>1143</v>
      </c>
      <c r="B2693" t="s">
        <v>6726</v>
      </c>
      <c r="C2693" t="s">
        <v>6727</v>
      </c>
      <c r="E2693">
        <v>0</v>
      </c>
      <c r="F2693">
        <v>0</v>
      </c>
      <c r="G2693">
        <v>1</v>
      </c>
      <c r="H2693">
        <v>2</v>
      </c>
      <c r="J2693" t="s">
        <v>93</v>
      </c>
      <c r="K2693" t="b">
        <v>1</v>
      </c>
      <c r="L2693">
        <f t="shared" si="42"/>
        <v>1</v>
      </c>
      <c r="M2693">
        <f t="shared" si="42"/>
        <v>2</v>
      </c>
      <c r="N2693" t="b">
        <v>0</v>
      </c>
      <c r="O2693">
        <v>0.25</v>
      </c>
      <c r="P2693" t="s">
        <v>6728</v>
      </c>
      <c r="Q2693">
        <v>8</v>
      </c>
      <c r="R2693" t="b">
        <v>1</v>
      </c>
    </row>
    <row r="2694" spans="1:18" hidden="1">
      <c r="A2694" t="s">
        <v>1143</v>
      </c>
      <c r="B2694" t="s">
        <v>6729</v>
      </c>
      <c r="C2694" t="s">
        <v>6730</v>
      </c>
      <c r="E2694">
        <v>0</v>
      </c>
      <c r="F2694">
        <v>0</v>
      </c>
      <c r="G2694">
        <v>1</v>
      </c>
      <c r="H2694">
        <v>2</v>
      </c>
      <c r="J2694" t="s">
        <v>93</v>
      </c>
      <c r="K2694" t="b">
        <v>1</v>
      </c>
      <c r="L2694">
        <f t="shared" si="42"/>
        <v>1</v>
      </c>
      <c r="M2694">
        <f t="shared" si="42"/>
        <v>2</v>
      </c>
      <c r="N2694" t="b">
        <v>0</v>
      </c>
      <c r="O2694">
        <v>0</v>
      </c>
      <c r="Q2694">
        <v>0</v>
      </c>
      <c r="R2694" t="b">
        <v>0</v>
      </c>
    </row>
    <row r="2695" spans="1:18">
      <c r="A2695" t="s">
        <v>4383</v>
      </c>
      <c r="B2695" t="s">
        <v>6731</v>
      </c>
      <c r="C2695" t="s">
        <v>6732</v>
      </c>
      <c r="E2695">
        <v>0</v>
      </c>
      <c r="F2695">
        <v>0</v>
      </c>
      <c r="G2695">
        <v>1</v>
      </c>
      <c r="H2695">
        <v>1</v>
      </c>
      <c r="J2695" t="s">
        <v>22</v>
      </c>
      <c r="K2695" t="b">
        <v>1</v>
      </c>
      <c r="L2695">
        <f t="shared" si="42"/>
        <v>1</v>
      </c>
      <c r="M2695">
        <f t="shared" si="42"/>
        <v>1</v>
      </c>
      <c r="N2695" t="b">
        <v>0</v>
      </c>
      <c r="O2695">
        <v>1</v>
      </c>
      <c r="P2695" t="s">
        <v>3447</v>
      </c>
      <c r="Q2695">
        <v>2</v>
      </c>
      <c r="R2695" t="b">
        <v>1</v>
      </c>
    </row>
    <row r="2696" spans="1:18">
      <c r="A2696" t="s">
        <v>4383</v>
      </c>
      <c r="B2696" t="s">
        <v>6733</v>
      </c>
      <c r="C2696" t="s">
        <v>6734</v>
      </c>
      <c r="E2696">
        <v>0</v>
      </c>
      <c r="F2696">
        <v>0</v>
      </c>
      <c r="G2696">
        <v>2</v>
      </c>
      <c r="H2696">
        <v>4</v>
      </c>
      <c r="J2696" t="s">
        <v>22</v>
      </c>
      <c r="K2696" t="b">
        <v>1</v>
      </c>
      <c r="L2696">
        <f t="shared" si="42"/>
        <v>2</v>
      </c>
      <c r="M2696">
        <f t="shared" si="42"/>
        <v>4</v>
      </c>
      <c r="N2696" t="b">
        <v>0</v>
      </c>
      <c r="O2696">
        <v>1</v>
      </c>
      <c r="P2696" t="s">
        <v>6735</v>
      </c>
      <c r="Q2696">
        <v>2</v>
      </c>
      <c r="R2696" t="b">
        <v>1</v>
      </c>
    </row>
    <row r="2697" spans="1:18">
      <c r="A2697" t="s">
        <v>4383</v>
      </c>
      <c r="B2697" t="s">
        <v>6736</v>
      </c>
      <c r="C2697" t="s">
        <v>6737</v>
      </c>
      <c r="E2697">
        <v>0</v>
      </c>
      <c r="F2697">
        <v>0</v>
      </c>
      <c r="G2697">
        <v>2</v>
      </c>
      <c r="H2697">
        <v>4</v>
      </c>
      <c r="J2697" t="s">
        <v>22</v>
      </c>
      <c r="K2697" t="b">
        <v>1</v>
      </c>
      <c r="L2697">
        <f t="shared" si="42"/>
        <v>2</v>
      </c>
      <c r="M2697">
        <f t="shared" si="42"/>
        <v>4</v>
      </c>
      <c r="N2697" t="b">
        <v>0</v>
      </c>
      <c r="O2697">
        <v>1</v>
      </c>
      <c r="P2697" t="s">
        <v>6738</v>
      </c>
      <c r="Q2697">
        <v>2</v>
      </c>
      <c r="R2697" t="b">
        <v>1</v>
      </c>
    </row>
    <row r="2698" spans="1:18">
      <c r="A2698" t="s">
        <v>4383</v>
      </c>
      <c r="B2698" t="s">
        <v>6739</v>
      </c>
      <c r="C2698" t="s">
        <v>6740</v>
      </c>
      <c r="E2698">
        <v>0</v>
      </c>
      <c r="F2698">
        <v>0</v>
      </c>
      <c r="G2698">
        <v>1</v>
      </c>
      <c r="H2698">
        <v>1</v>
      </c>
      <c r="J2698" t="s">
        <v>22</v>
      </c>
      <c r="K2698" t="b">
        <v>1</v>
      </c>
      <c r="L2698">
        <f t="shared" si="42"/>
        <v>1</v>
      </c>
      <c r="M2698">
        <f t="shared" si="42"/>
        <v>1</v>
      </c>
      <c r="N2698" t="b">
        <v>0</v>
      </c>
      <c r="O2698">
        <v>1</v>
      </c>
      <c r="P2698" t="s">
        <v>5127</v>
      </c>
      <c r="Q2698">
        <v>2</v>
      </c>
      <c r="R2698" t="b">
        <v>1</v>
      </c>
    </row>
    <row r="2699" spans="1:18" hidden="1">
      <c r="A2699" t="s">
        <v>352</v>
      </c>
      <c r="B2699" t="s">
        <v>6741</v>
      </c>
      <c r="C2699" t="s">
        <v>6742</v>
      </c>
      <c r="D2699" t="s">
        <v>93</v>
      </c>
      <c r="E2699">
        <v>0</v>
      </c>
      <c r="F2699">
        <v>0</v>
      </c>
      <c r="G2699">
        <v>2</v>
      </c>
      <c r="H2699">
        <v>6</v>
      </c>
      <c r="I2699" t="s">
        <v>6743</v>
      </c>
      <c r="J2699" t="s">
        <v>93</v>
      </c>
      <c r="K2699" t="b">
        <v>1</v>
      </c>
      <c r="L2699">
        <f t="shared" si="42"/>
        <v>2</v>
      </c>
      <c r="M2699">
        <f t="shared" si="42"/>
        <v>6</v>
      </c>
      <c r="N2699" t="b">
        <v>0</v>
      </c>
      <c r="O2699">
        <v>0</v>
      </c>
      <c r="Q2699">
        <v>0</v>
      </c>
      <c r="R2699" t="b">
        <v>0</v>
      </c>
    </row>
    <row r="2700" spans="1:18" hidden="1">
      <c r="A2700" t="s">
        <v>4404</v>
      </c>
      <c r="B2700" t="s">
        <v>6744</v>
      </c>
      <c r="C2700" t="s">
        <v>6745</v>
      </c>
      <c r="E2700">
        <v>0</v>
      </c>
      <c r="F2700">
        <v>0</v>
      </c>
      <c r="G2700">
        <v>2</v>
      </c>
      <c r="H2700">
        <v>2</v>
      </c>
      <c r="J2700" t="s">
        <v>93</v>
      </c>
      <c r="K2700" t="b">
        <v>0</v>
      </c>
      <c r="L2700">
        <f t="shared" si="42"/>
        <v>2</v>
      </c>
      <c r="M2700">
        <f t="shared" si="42"/>
        <v>2</v>
      </c>
      <c r="N2700" t="b">
        <v>0</v>
      </c>
      <c r="O2700">
        <v>0</v>
      </c>
      <c r="Q2700">
        <v>0</v>
      </c>
      <c r="R2700" t="b">
        <v>0</v>
      </c>
    </row>
    <row r="2701" spans="1:18" hidden="1">
      <c r="A2701" t="s">
        <v>4404</v>
      </c>
      <c r="B2701" t="s">
        <v>6746</v>
      </c>
      <c r="C2701" t="s">
        <v>6747</v>
      </c>
      <c r="E2701">
        <v>0</v>
      </c>
      <c r="F2701">
        <v>0</v>
      </c>
      <c r="G2701">
        <v>1</v>
      </c>
      <c r="H2701">
        <v>1</v>
      </c>
      <c r="J2701" t="s">
        <v>93</v>
      </c>
      <c r="K2701" t="b">
        <v>0</v>
      </c>
      <c r="L2701">
        <f t="shared" si="42"/>
        <v>1</v>
      </c>
      <c r="M2701">
        <f t="shared" si="42"/>
        <v>1</v>
      </c>
      <c r="N2701" t="b">
        <v>0</v>
      </c>
      <c r="O2701">
        <v>0</v>
      </c>
      <c r="Q2701">
        <v>0</v>
      </c>
      <c r="R2701" t="b">
        <v>0</v>
      </c>
    </row>
    <row r="2702" spans="1:18" hidden="1">
      <c r="A2702" t="s">
        <v>192</v>
      </c>
      <c r="B2702" t="s">
        <v>6748</v>
      </c>
      <c r="C2702" t="s">
        <v>6749</v>
      </c>
      <c r="E2702">
        <v>0</v>
      </c>
      <c r="F2702">
        <v>0</v>
      </c>
      <c r="G2702">
        <v>3</v>
      </c>
      <c r="H2702">
        <v>4</v>
      </c>
      <c r="J2702" t="s">
        <v>93</v>
      </c>
      <c r="K2702" t="b">
        <v>1</v>
      </c>
      <c r="L2702">
        <f t="shared" si="42"/>
        <v>3</v>
      </c>
      <c r="M2702">
        <f t="shared" si="42"/>
        <v>4</v>
      </c>
      <c r="N2702" t="b">
        <v>0</v>
      </c>
      <c r="O2702">
        <v>0.5</v>
      </c>
      <c r="P2702" t="s">
        <v>6374</v>
      </c>
      <c r="Q2702">
        <v>2</v>
      </c>
      <c r="R2702" t="b">
        <v>1</v>
      </c>
    </row>
    <row r="2703" spans="1:18" hidden="1">
      <c r="A2703" t="s">
        <v>192</v>
      </c>
      <c r="B2703" t="s">
        <v>6750</v>
      </c>
      <c r="C2703" t="s">
        <v>6751</v>
      </c>
      <c r="E2703">
        <v>0</v>
      </c>
      <c r="F2703">
        <v>0</v>
      </c>
      <c r="G2703">
        <v>16</v>
      </c>
      <c r="H2703">
        <v>16</v>
      </c>
      <c r="J2703" t="s">
        <v>93</v>
      </c>
      <c r="K2703" t="b">
        <v>1</v>
      </c>
      <c r="L2703">
        <f t="shared" si="42"/>
        <v>16</v>
      </c>
      <c r="M2703">
        <f t="shared" si="42"/>
        <v>16</v>
      </c>
      <c r="N2703" t="b">
        <v>0</v>
      </c>
      <c r="O2703">
        <v>0.5</v>
      </c>
      <c r="P2703" t="s">
        <v>3669</v>
      </c>
      <c r="Q2703">
        <v>2</v>
      </c>
      <c r="R2703" t="b">
        <v>1</v>
      </c>
    </row>
    <row r="2704" spans="1:18" hidden="1">
      <c r="A2704" t="s">
        <v>192</v>
      </c>
      <c r="B2704" t="s">
        <v>6752</v>
      </c>
      <c r="C2704" t="s">
        <v>6753</v>
      </c>
      <c r="E2704">
        <v>0</v>
      </c>
      <c r="F2704">
        <v>0</v>
      </c>
      <c r="G2704">
        <v>1</v>
      </c>
      <c r="H2704">
        <v>1</v>
      </c>
      <c r="J2704" t="s">
        <v>93</v>
      </c>
      <c r="K2704" t="b">
        <v>1</v>
      </c>
      <c r="L2704">
        <f t="shared" si="42"/>
        <v>1</v>
      </c>
      <c r="M2704">
        <f t="shared" si="42"/>
        <v>1</v>
      </c>
      <c r="N2704" t="b">
        <v>0</v>
      </c>
      <c r="O2704">
        <v>0.5</v>
      </c>
      <c r="P2704" t="s">
        <v>6377</v>
      </c>
      <c r="Q2704">
        <v>2</v>
      </c>
      <c r="R2704" t="b">
        <v>1</v>
      </c>
    </row>
    <row r="2705" spans="1:18" hidden="1">
      <c r="A2705" t="s">
        <v>192</v>
      </c>
      <c r="B2705" t="s">
        <v>6754</v>
      </c>
      <c r="C2705" t="s">
        <v>6755</v>
      </c>
      <c r="E2705">
        <v>0</v>
      </c>
      <c r="F2705">
        <v>0</v>
      </c>
      <c r="G2705">
        <v>2</v>
      </c>
      <c r="H2705">
        <v>2</v>
      </c>
      <c r="J2705" t="s">
        <v>93</v>
      </c>
      <c r="K2705" t="b">
        <v>1</v>
      </c>
      <c r="L2705">
        <f t="shared" si="42"/>
        <v>2</v>
      </c>
      <c r="M2705">
        <f t="shared" si="42"/>
        <v>2</v>
      </c>
      <c r="N2705" t="b">
        <v>0</v>
      </c>
      <c r="O2705">
        <v>0</v>
      </c>
      <c r="Q2705">
        <v>0</v>
      </c>
      <c r="R2705" t="b">
        <v>0</v>
      </c>
    </row>
    <row r="2706" spans="1:18" hidden="1">
      <c r="A2706" t="s">
        <v>361</v>
      </c>
      <c r="B2706" t="s">
        <v>6756</v>
      </c>
      <c r="C2706" t="s">
        <v>6757</v>
      </c>
      <c r="D2706" t="s">
        <v>519</v>
      </c>
      <c r="E2706">
        <v>0</v>
      </c>
      <c r="F2706">
        <v>0</v>
      </c>
      <c r="G2706">
        <v>1</v>
      </c>
      <c r="H2706">
        <v>4</v>
      </c>
      <c r="I2706" t="s">
        <v>520</v>
      </c>
      <c r="J2706" t="s">
        <v>93</v>
      </c>
      <c r="K2706" t="b">
        <v>0</v>
      </c>
      <c r="L2706">
        <f t="shared" si="42"/>
        <v>1</v>
      </c>
      <c r="M2706">
        <f t="shared" si="42"/>
        <v>4</v>
      </c>
      <c r="N2706" t="b">
        <v>0</v>
      </c>
      <c r="O2706">
        <v>0</v>
      </c>
      <c r="Q2706">
        <v>0</v>
      </c>
      <c r="R2706" t="b">
        <v>0</v>
      </c>
    </row>
    <row r="2707" spans="1:18" hidden="1">
      <c r="A2707" t="s">
        <v>19</v>
      </c>
      <c r="B2707" t="s">
        <v>6758</v>
      </c>
      <c r="C2707" t="s">
        <v>6759</v>
      </c>
      <c r="E2707">
        <v>0</v>
      </c>
      <c r="F2707">
        <v>0</v>
      </c>
      <c r="G2707">
        <v>1</v>
      </c>
      <c r="H2707">
        <v>4</v>
      </c>
      <c r="J2707" t="s">
        <v>93</v>
      </c>
      <c r="K2707" t="b">
        <v>1</v>
      </c>
      <c r="L2707">
        <f t="shared" si="42"/>
        <v>1</v>
      </c>
      <c r="M2707">
        <f t="shared" si="42"/>
        <v>4</v>
      </c>
      <c r="N2707" t="b">
        <v>0</v>
      </c>
      <c r="O2707">
        <v>0</v>
      </c>
      <c r="Q2707">
        <v>0</v>
      </c>
      <c r="R2707" t="b">
        <v>0</v>
      </c>
    </row>
    <row r="2708" spans="1:18" hidden="1">
      <c r="A2708" t="s">
        <v>19</v>
      </c>
      <c r="B2708" t="s">
        <v>6760</v>
      </c>
      <c r="C2708" t="s">
        <v>6761</v>
      </c>
      <c r="E2708">
        <v>0</v>
      </c>
      <c r="F2708">
        <v>0</v>
      </c>
      <c r="G2708">
        <v>1</v>
      </c>
      <c r="H2708">
        <v>1</v>
      </c>
      <c r="J2708" t="s">
        <v>93</v>
      </c>
      <c r="K2708" t="b">
        <v>1</v>
      </c>
      <c r="L2708">
        <f t="shared" si="42"/>
        <v>1</v>
      </c>
      <c r="M2708">
        <f t="shared" si="42"/>
        <v>1</v>
      </c>
      <c r="N2708" t="b">
        <v>0</v>
      </c>
      <c r="O2708">
        <v>0</v>
      </c>
      <c r="Q2708">
        <v>0</v>
      </c>
      <c r="R2708" t="b">
        <v>0</v>
      </c>
    </row>
  </sheetData>
  <autoFilter ref="A1:S2708" xr:uid="{00000000-0001-0000-0000-000000000000}">
    <filterColumn colId="9">
      <filters>
        <filter val="Yes"/>
      </filters>
    </filterColumn>
  </autoFilter>
  <hyperlinks>
    <hyperlink ref="D151" r:id="rId1" display="https://jira.arubanetworks.com/browse/CNX-209472" xr:uid="{DE7BEE0D-303C-A54A-8129-14068B7FBCEB}"/>
    <hyperlink ref="D156" r:id="rId2" display="https://jira.arubanetworks.com/browse/CNX-209472" xr:uid="{FC4AD656-305C-7C41-AF7B-AC4003F00A08}"/>
    <hyperlink ref="D162" r:id="rId3" display="https://jira.arubanetworks.com/browse/CNX-209472" xr:uid="{2C51739A-F4E5-ED47-B030-99AA9A1ED02A}"/>
    <hyperlink ref="D563" r:id="rId4" display="https://jira.arubanetworks.com/browse/CNX-211499" xr:uid="{18A6CCA5-7AD4-C34C-9EB3-A9F618471599}"/>
    <hyperlink ref="D541" r:id="rId5" display="https://jira.arubanetworks.com/browse/CNX-211499" xr:uid="{D70D1352-3B99-A84B-8A36-5E2DF07DD991}"/>
    <hyperlink ref="D706" r:id="rId6" display="https://jira.arubanetworks.com/browse/CNX-211499" xr:uid="{E415B92E-3D25-7847-898B-3D027BC49838}"/>
    <hyperlink ref="D813" r:id="rId7" display="https://jira.arubanetworks.com/browse/CNX-211499" xr:uid="{1766B4D7-0A8E-C545-913F-E637D45FC3A0}"/>
    <hyperlink ref="D851" r:id="rId8" display="https://jira.arubanetworks.com/browse/CNX-211499" xr:uid="{64C06C41-E5AC-584A-AFE8-2ADEBD382244}"/>
    <hyperlink ref="D934" r:id="rId9" display="https://jira.arubanetworks.com/browse/CNX-211499" xr:uid="{A5DEAD1D-F6FF-8B47-AE6D-31E94A2351F0}"/>
    <hyperlink ref="D1309" r:id="rId10" display="https://jira.arubanetworks.com/browse/CNX-211499" xr:uid="{DEE9B9E3-FD03-1545-B2C0-9009DD8C1287}"/>
    <hyperlink ref="D1642" r:id="rId11" display="https://jira.arubanetworks.com/browse/CNX-211499" xr:uid="{70CB2BFE-1548-BB45-A812-D5564908F0C7}"/>
    <hyperlink ref="D219" r:id="rId12" display="https://jira.arubanetworks.com/browse/CNX-211494" xr:uid="{2E1F515D-B685-324C-87CC-EA22318CCAC0}"/>
    <hyperlink ref="D330" r:id="rId13" display="https://jira.arubanetworks.com/browse/CNX-211494" xr:uid="{A9B38BB9-8F59-C94C-86BB-1FAB29A58C27}"/>
    <hyperlink ref="D343" r:id="rId14" display="https://jira.arubanetworks.com/browse/CNX-211494" xr:uid="{389E08EA-B0C6-2145-A0BF-14A9CBB41F28}"/>
    <hyperlink ref="D370" r:id="rId15" display="https://jira.arubanetworks.com/browse/CNX-211494" xr:uid="{25188932-70E8-BF45-A33B-84EEC6E8C08A}"/>
    <hyperlink ref="D619" r:id="rId16" display="https://jira.arubanetworks.com/browse/CNX-202816" xr:uid="{D6D0E75B-B53E-434F-A857-B03534449943}"/>
    <hyperlink ref="D620" r:id="rId17" display="https://jira.arubanetworks.com/browse/CNX-202816" xr:uid="{904622D5-4931-644A-832B-7E3CB38A3231}"/>
  </hyperlinks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B66C-1524-438B-BD4B-559ACA274726}">
  <dimension ref="A1:F156"/>
  <sheetViews>
    <sheetView workbookViewId="0">
      <selection activeCell="A2" sqref="A2"/>
    </sheetView>
  </sheetViews>
  <sheetFormatPr defaultRowHeight="15"/>
  <cols>
    <col min="1" max="1" width="122.28515625" bestFit="1" customWidth="1"/>
    <col min="2" max="2" width="24.42578125" bestFit="1" customWidth="1"/>
    <col min="3" max="3" width="18.5703125" bestFit="1" customWidth="1"/>
    <col min="4" max="4" width="19.28515625" bestFit="1" customWidth="1"/>
    <col min="5" max="5" width="16.140625" bestFit="1" customWidth="1"/>
  </cols>
  <sheetData>
    <row r="1" spans="1:6">
      <c r="A1" s="14" t="s">
        <v>2</v>
      </c>
      <c r="B1" s="15" t="s">
        <v>6762</v>
      </c>
      <c r="C1" s="14" t="s">
        <v>6763</v>
      </c>
      <c r="D1" s="14" t="s">
        <v>6764</v>
      </c>
      <c r="E1" s="14" t="s">
        <v>6765</v>
      </c>
      <c r="F1" s="14">
        <f>ROUND(19413*0.8,0)</f>
        <v>15530</v>
      </c>
    </row>
    <row r="2" spans="1:6">
      <c r="A2" s="11" t="s">
        <v>470</v>
      </c>
      <c r="B2" s="12">
        <v>8</v>
      </c>
      <c r="C2">
        <f>$F$1+B2</f>
        <v>15538</v>
      </c>
      <c r="D2">
        <f>ROUND(C2/19413*100,2)</f>
        <v>80.040000000000006</v>
      </c>
    </row>
    <row r="3" spans="1:6">
      <c r="A3" s="11" t="s">
        <v>472</v>
      </c>
      <c r="B3" s="12">
        <v>8</v>
      </c>
      <c r="C3">
        <f>B3+C2</f>
        <v>15546</v>
      </c>
      <c r="D3">
        <f t="shared" ref="D3:D66" si="0">ROUND(C3/19413*100,2)</f>
        <v>80.08</v>
      </c>
    </row>
    <row r="4" spans="1:6">
      <c r="A4" s="11" t="s">
        <v>656</v>
      </c>
      <c r="B4" s="12">
        <v>1</v>
      </c>
      <c r="C4">
        <f t="shared" ref="C4:C67" si="1">B4+C3</f>
        <v>15547</v>
      </c>
      <c r="D4">
        <f t="shared" si="0"/>
        <v>80.09</v>
      </c>
    </row>
    <row r="5" spans="1:6">
      <c r="A5" s="11" t="s">
        <v>770</v>
      </c>
      <c r="B5" s="12">
        <v>17</v>
      </c>
      <c r="C5">
        <f t="shared" si="1"/>
        <v>15564</v>
      </c>
      <c r="D5">
        <f t="shared" si="0"/>
        <v>80.17</v>
      </c>
    </row>
    <row r="6" spans="1:6">
      <c r="A6" s="11" t="s">
        <v>567</v>
      </c>
      <c r="B6" s="12">
        <v>7</v>
      </c>
      <c r="C6">
        <f t="shared" si="1"/>
        <v>15571</v>
      </c>
      <c r="D6">
        <f t="shared" si="0"/>
        <v>80.209999999999994</v>
      </c>
    </row>
    <row r="7" spans="1:6">
      <c r="A7" s="11" t="s">
        <v>1121</v>
      </c>
      <c r="B7" s="12">
        <v>1</v>
      </c>
      <c r="C7">
        <f t="shared" si="1"/>
        <v>15572</v>
      </c>
      <c r="D7">
        <f t="shared" si="0"/>
        <v>80.209999999999994</v>
      </c>
    </row>
    <row r="8" spans="1:6">
      <c r="A8" s="11" t="s">
        <v>876</v>
      </c>
      <c r="B8" s="12">
        <v>12</v>
      </c>
      <c r="C8">
        <f t="shared" si="1"/>
        <v>15584</v>
      </c>
      <c r="D8">
        <f t="shared" si="0"/>
        <v>80.28</v>
      </c>
    </row>
    <row r="9" spans="1:6">
      <c r="A9" s="11" t="s">
        <v>878</v>
      </c>
      <c r="B9" s="12">
        <v>12</v>
      </c>
      <c r="C9">
        <f t="shared" si="1"/>
        <v>15596</v>
      </c>
      <c r="D9">
        <f t="shared" si="0"/>
        <v>80.34</v>
      </c>
    </row>
    <row r="10" spans="1:6">
      <c r="A10" s="11" t="s">
        <v>862</v>
      </c>
      <c r="B10" s="12">
        <v>12</v>
      </c>
      <c r="C10">
        <f t="shared" si="1"/>
        <v>15608</v>
      </c>
      <c r="D10">
        <f t="shared" si="0"/>
        <v>80.400000000000006</v>
      </c>
    </row>
    <row r="11" spans="1:6">
      <c r="A11" s="11" t="s">
        <v>838</v>
      </c>
      <c r="B11" s="12">
        <v>12</v>
      </c>
      <c r="C11">
        <f t="shared" si="1"/>
        <v>15620</v>
      </c>
      <c r="D11">
        <f t="shared" si="0"/>
        <v>80.459999999999994</v>
      </c>
    </row>
    <row r="12" spans="1:6">
      <c r="A12" s="11" t="s">
        <v>840</v>
      </c>
      <c r="B12" s="12">
        <v>12</v>
      </c>
      <c r="C12">
        <f t="shared" si="1"/>
        <v>15632</v>
      </c>
      <c r="D12">
        <f t="shared" si="0"/>
        <v>80.52</v>
      </c>
    </row>
    <row r="13" spans="1:6">
      <c r="A13" s="11" t="s">
        <v>2320</v>
      </c>
      <c r="B13" s="12">
        <v>6</v>
      </c>
      <c r="C13">
        <f t="shared" si="1"/>
        <v>15638</v>
      </c>
      <c r="D13">
        <f t="shared" si="0"/>
        <v>80.55</v>
      </c>
    </row>
    <row r="14" spans="1:6">
      <c r="A14" s="11" t="s">
        <v>2302</v>
      </c>
      <c r="B14" s="12">
        <v>6</v>
      </c>
      <c r="C14">
        <f t="shared" si="1"/>
        <v>15644</v>
      </c>
      <c r="D14">
        <f t="shared" si="0"/>
        <v>80.59</v>
      </c>
    </row>
    <row r="15" spans="1:6">
      <c r="A15" s="11" t="s">
        <v>1217</v>
      </c>
      <c r="B15" s="12">
        <v>6</v>
      </c>
      <c r="C15">
        <f t="shared" si="1"/>
        <v>15650</v>
      </c>
      <c r="D15">
        <f t="shared" si="0"/>
        <v>80.62</v>
      </c>
    </row>
    <row r="16" spans="1:6">
      <c r="A16" s="11" t="s">
        <v>1220</v>
      </c>
      <c r="B16" s="12">
        <v>6</v>
      </c>
      <c r="C16">
        <f t="shared" si="1"/>
        <v>15656</v>
      </c>
      <c r="D16">
        <f t="shared" si="0"/>
        <v>80.650000000000006</v>
      </c>
    </row>
    <row r="17" spans="1:4">
      <c r="A17" s="11" t="s">
        <v>2157</v>
      </c>
      <c r="B17" s="12">
        <v>7</v>
      </c>
      <c r="C17">
        <f t="shared" si="1"/>
        <v>15663</v>
      </c>
      <c r="D17">
        <f t="shared" si="0"/>
        <v>80.680000000000007</v>
      </c>
    </row>
    <row r="18" spans="1:4">
      <c r="A18" s="11" t="s">
        <v>6766</v>
      </c>
      <c r="B18" s="12">
        <v>4</v>
      </c>
      <c r="C18">
        <f t="shared" si="1"/>
        <v>15667</v>
      </c>
      <c r="D18">
        <f t="shared" si="0"/>
        <v>80.7</v>
      </c>
    </row>
    <row r="19" spans="1:4">
      <c r="A19" s="11" t="s">
        <v>6767</v>
      </c>
      <c r="B19" s="12">
        <v>3</v>
      </c>
      <c r="C19">
        <f t="shared" si="1"/>
        <v>15670</v>
      </c>
      <c r="D19">
        <f t="shared" si="0"/>
        <v>80.72</v>
      </c>
    </row>
    <row r="20" spans="1:4">
      <c r="A20" s="11" t="s">
        <v>6768</v>
      </c>
      <c r="B20" s="12">
        <v>4</v>
      </c>
      <c r="C20">
        <f t="shared" si="1"/>
        <v>15674</v>
      </c>
      <c r="D20">
        <f t="shared" si="0"/>
        <v>80.739999999999995</v>
      </c>
    </row>
    <row r="21" spans="1:4">
      <c r="A21" s="11" t="s">
        <v>6769</v>
      </c>
      <c r="B21" s="12">
        <v>2</v>
      </c>
      <c r="C21">
        <f t="shared" si="1"/>
        <v>15676</v>
      </c>
      <c r="D21">
        <f t="shared" si="0"/>
        <v>80.75</v>
      </c>
    </row>
    <row r="22" spans="1:4">
      <c r="A22" s="11" t="s">
        <v>6770</v>
      </c>
      <c r="B22" s="12">
        <v>2</v>
      </c>
      <c r="C22">
        <f t="shared" si="1"/>
        <v>15678</v>
      </c>
      <c r="D22">
        <f t="shared" si="0"/>
        <v>80.760000000000005</v>
      </c>
    </row>
    <row r="23" spans="1:4">
      <c r="A23" s="11" t="s">
        <v>921</v>
      </c>
      <c r="B23" s="12">
        <v>5</v>
      </c>
      <c r="C23">
        <f t="shared" si="1"/>
        <v>15683</v>
      </c>
      <c r="D23">
        <f t="shared" si="0"/>
        <v>80.790000000000006</v>
      </c>
    </row>
    <row r="24" spans="1:4">
      <c r="A24" s="11" t="s">
        <v>923</v>
      </c>
      <c r="B24" s="12">
        <v>5</v>
      </c>
      <c r="C24">
        <f t="shared" si="1"/>
        <v>15688</v>
      </c>
      <c r="D24">
        <f t="shared" si="0"/>
        <v>80.81</v>
      </c>
    </row>
    <row r="25" spans="1:4">
      <c r="A25" s="11" t="s">
        <v>884</v>
      </c>
      <c r="B25" s="12">
        <v>6</v>
      </c>
      <c r="C25">
        <f t="shared" si="1"/>
        <v>15694</v>
      </c>
      <c r="D25">
        <f t="shared" si="0"/>
        <v>80.84</v>
      </c>
    </row>
    <row r="26" spans="1:4">
      <c r="A26" s="11" t="s">
        <v>2210</v>
      </c>
      <c r="B26" s="12">
        <v>7</v>
      </c>
      <c r="C26">
        <f t="shared" si="1"/>
        <v>15701</v>
      </c>
      <c r="D26">
        <f t="shared" si="0"/>
        <v>80.88</v>
      </c>
    </row>
    <row r="27" spans="1:4">
      <c r="A27" s="11" t="s">
        <v>6771</v>
      </c>
      <c r="B27" s="12">
        <v>28</v>
      </c>
      <c r="C27">
        <f t="shared" si="1"/>
        <v>15729</v>
      </c>
      <c r="D27">
        <f t="shared" si="0"/>
        <v>81.02</v>
      </c>
    </row>
    <row r="28" spans="1:4">
      <c r="A28" s="11" t="s">
        <v>1240</v>
      </c>
      <c r="B28" s="12">
        <v>1</v>
      </c>
      <c r="C28">
        <f t="shared" si="1"/>
        <v>15730</v>
      </c>
      <c r="D28">
        <f t="shared" si="0"/>
        <v>81.03</v>
      </c>
    </row>
    <row r="29" spans="1:4">
      <c r="A29" s="11" t="s">
        <v>2118</v>
      </c>
      <c r="B29" s="12">
        <v>1</v>
      </c>
      <c r="C29">
        <f t="shared" si="1"/>
        <v>15731</v>
      </c>
      <c r="D29">
        <f t="shared" si="0"/>
        <v>81.03</v>
      </c>
    </row>
    <row r="30" spans="1:4">
      <c r="A30" s="11" t="s">
        <v>1070</v>
      </c>
      <c r="B30" s="12">
        <v>42</v>
      </c>
      <c r="C30">
        <f t="shared" si="1"/>
        <v>15773</v>
      </c>
      <c r="D30">
        <f t="shared" si="0"/>
        <v>81.25</v>
      </c>
    </row>
    <row r="31" spans="1:4">
      <c r="A31" s="11" t="s">
        <v>2391</v>
      </c>
      <c r="B31" s="12">
        <v>8</v>
      </c>
      <c r="C31">
        <f t="shared" si="1"/>
        <v>15781</v>
      </c>
      <c r="D31">
        <f t="shared" si="0"/>
        <v>81.290000000000006</v>
      </c>
    </row>
    <row r="32" spans="1:4">
      <c r="A32" s="11" t="s">
        <v>1049</v>
      </c>
      <c r="B32" s="12">
        <v>50</v>
      </c>
      <c r="C32">
        <f t="shared" si="1"/>
        <v>15831</v>
      </c>
      <c r="D32">
        <f t="shared" si="0"/>
        <v>81.55</v>
      </c>
    </row>
    <row r="33" spans="1:4">
      <c r="A33" s="11" t="s">
        <v>396</v>
      </c>
      <c r="B33" s="12">
        <v>45</v>
      </c>
      <c r="C33">
        <f t="shared" si="1"/>
        <v>15876</v>
      </c>
      <c r="D33">
        <f t="shared" si="0"/>
        <v>81.78</v>
      </c>
    </row>
    <row r="34" spans="1:4">
      <c r="A34" s="11" t="s">
        <v>398</v>
      </c>
      <c r="B34" s="12">
        <v>45</v>
      </c>
      <c r="C34">
        <f t="shared" si="1"/>
        <v>15921</v>
      </c>
      <c r="D34">
        <f t="shared" si="0"/>
        <v>82.01</v>
      </c>
    </row>
    <row r="35" spans="1:4">
      <c r="A35" s="11" t="s">
        <v>403</v>
      </c>
      <c r="B35" s="12">
        <v>45</v>
      </c>
      <c r="C35">
        <f t="shared" si="1"/>
        <v>15966</v>
      </c>
      <c r="D35">
        <f t="shared" si="0"/>
        <v>82.24</v>
      </c>
    </row>
    <row r="36" spans="1:4">
      <c r="A36" s="11" t="s">
        <v>2986</v>
      </c>
      <c r="B36" s="12">
        <v>4</v>
      </c>
      <c r="C36">
        <f t="shared" si="1"/>
        <v>15970</v>
      </c>
      <c r="D36">
        <f t="shared" si="0"/>
        <v>82.26</v>
      </c>
    </row>
    <row r="37" spans="1:4">
      <c r="A37" s="11" t="s">
        <v>2988</v>
      </c>
      <c r="B37" s="12">
        <v>4</v>
      </c>
      <c r="C37">
        <f t="shared" si="1"/>
        <v>15974</v>
      </c>
      <c r="D37">
        <f t="shared" si="0"/>
        <v>82.29</v>
      </c>
    </row>
    <row r="38" spans="1:4">
      <c r="A38" s="11" t="s">
        <v>4027</v>
      </c>
      <c r="B38" s="12">
        <v>4</v>
      </c>
      <c r="C38">
        <f t="shared" si="1"/>
        <v>15978</v>
      </c>
      <c r="D38">
        <f t="shared" si="0"/>
        <v>82.31</v>
      </c>
    </row>
    <row r="39" spans="1:4">
      <c r="A39" s="11" t="s">
        <v>1489</v>
      </c>
      <c r="B39" s="12">
        <v>6</v>
      </c>
      <c r="C39">
        <f t="shared" si="1"/>
        <v>15984</v>
      </c>
      <c r="D39">
        <f t="shared" si="0"/>
        <v>82.34</v>
      </c>
    </row>
    <row r="40" spans="1:4">
      <c r="A40" s="11" t="s">
        <v>1426</v>
      </c>
      <c r="B40" s="12">
        <v>10</v>
      </c>
      <c r="C40">
        <f t="shared" si="1"/>
        <v>15994</v>
      </c>
      <c r="D40">
        <f t="shared" si="0"/>
        <v>82.39</v>
      </c>
    </row>
    <row r="41" spans="1:4">
      <c r="A41" s="11" t="s">
        <v>2545</v>
      </c>
      <c r="B41" s="12">
        <v>42</v>
      </c>
      <c r="C41">
        <f t="shared" si="1"/>
        <v>16036</v>
      </c>
      <c r="D41">
        <f t="shared" si="0"/>
        <v>82.6</v>
      </c>
    </row>
    <row r="42" spans="1:4">
      <c r="A42" s="11" t="s">
        <v>445</v>
      </c>
      <c r="B42" s="12">
        <v>14</v>
      </c>
      <c r="C42">
        <f t="shared" si="1"/>
        <v>16050</v>
      </c>
      <c r="D42">
        <f t="shared" si="0"/>
        <v>82.68</v>
      </c>
    </row>
    <row r="43" spans="1:4">
      <c r="A43" s="11" t="s">
        <v>450</v>
      </c>
      <c r="B43" s="12">
        <v>14</v>
      </c>
      <c r="C43">
        <f t="shared" si="1"/>
        <v>16064</v>
      </c>
      <c r="D43">
        <f t="shared" si="0"/>
        <v>82.75</v>
      </c>
    </row>
    <row r="44" spans="1:4">
      <c r="A44" s="11" t="s">
        <v>460</v>
      </c>
      <c r="B44" s="12">
        <v>14</v>
      </c>
      <c r="C44">
        <f t="shared" si="1"/>
        <v>16078</v>
      </c>
      <c r="D44">
        <f t="shared" si="0"/>
        <v>82.82</v>
      </c>
    </row>
    <row r="45" spans="1:4">
      <c r="A45" s="11" t="s">
        <v>452</v>
      </c>
      <c r="B45" s="12">
        <v>14</v>
      </c>
      <c r="C45">
        <f t="shared" si="1"/>
        <v>16092</v>
      </c>
      <c r="D45">
        <f t="shared" si="0"/>
        <v>82.89</v>
      </c>
    </row>
    <row r="46" spans="1:4">
      <c r="A46" s="11" t="s">
        <v>448</v>
      </c>
      <c r="B46" s="12">
        <v>14</v>
      </c>
      <c r="C46">
        <f t="shared" si="1"/>
        <v>16106</v>
      </c>
      <c r="D46">
        <f t="shared" si="0"/>
        <v>82.97</v>
      </c>
    </row>
    <row r="47" spans="1:4">
      <c r="A47" s="11" t="s">
        <v>493</v>
      </c>
      <c r="B47" s="12">
        <v>9</v>
      </c>
      <c r="C47">
        <f t="shared" si="1"/>
        <v>16115</v>
      </c>
      <c r="D47">
        <f t="shared" si="0"/>
        <v>83.01</v>
      </c>
    </row>
    <row r="48" spans="1:4">
      <c r="A48" s="11" t="s">
        <v>495</v>
      </c>
      <c r="B48" s="12">
        <v>9</v>
      </c>
      <c r="C48">
        <f t="shared" si="1"/>
        <v>16124</v>
      </c>
      <c r="D48">
        <f t="shared" si="0"/>
        <v>83.06</v>
      </c>
    </row>
    <row r="49" spans="1:4">
      <c r="A49" s="11" t="s">
        <v>1006</v>
      </c>
      <c r="B49" s="12">
        <v>7</v>
      </c>
      <c r="C49">
        <f t="shared" si="1"/>
        <v>16131</v>
      </c>
      <c r="D49">
        <f t="shared" si="0"/>
        <v>83.09</v>
      </c>
    </row>
    <row r="50" spans="1:4">
      <c r="A50" s="11" t="s">
        <v>497</v>
      </c>
      <c r="B50" s="12">
        <v>9</v>
      </c>
      <c r="C50">
        <f t="shared" si="1"/>
        <v>16140</v>
      </c>
      <c r="D50">
        <f t="shared" si="0"/>
        <v>83.14</v>
      </c>
    </row>
    <row r="51" spans="1:4">
      <c r="A51" s="11" t="s">
        <v>1913</v>
      </c>
      <c r="B51" s="12">
        <v>31</v>
      </c>
      <c r="C51">
        <f t="shared" si="1"/>
        <v>16171</v>
      </c>
      <c r="D51">
        <f t="shared" si="0"/>
        <v>83.3</v>
      </c>
    </row>
    <row r="52" spans="1:4">
      <c r="A52" s="11" t="s">
        <v>1503</v>
      </c>
      <c r="B52" s="12">
        <v>8</v>
      </c>
      <c r="C52">
        <f t="shared" si="1"/>
        <v>16179</v>
      </c>
      <c r="D52">
        <f t="shared" si="0"/>
        <v>83.34</v>
      </c>
    </row>
    <row r="53" spans="1:4">
      <c r="A53" s="11" t="s">
        <v>214</v>
      </c>
      <c r="B53" s="12">
        <v>26</v>
      </c>
      <c r="C53">
        <f t="shared" si="1"/>
        <v>16205</v>
      </c>
      <c r="D53">
        <f t="shared" si="0"/>
        <v>83.47</v>
      </c>
    </row>
    <row r="54" spans="1:4">
      <c r="A54" s="11" t="s">
        <v>217</v>
      </c>
      <c r="B54" s="12">
        <v>26</v>
      </c>
      <c r="C54">
        <f t="shared" si="1"/>
        <v>16231</v>
      </c>
      <c r="D54">
        <f t="shared" si="0"/>
        <v>83.61</v>
      </c>
    </row>
    <row r="55" spans="1:4">
      <c r="A55" s="11" t="s">
        <v>1780</v>
      </c>
      <c r="B55" s="12">
        <v>1</v>
      </c>
      <c r="C55">
        <f t="shared" si="1"/>
        <v>16232</v>
      </c>
      <c r="D55">
        <f t="shared" si="0"/>
        <v>83.61</v>
      </c>
    </row>
    <row r="56" spans="1:4">
      <c r="A56" s="11" t="s">
        <v>2030</v>
      </c>
      <c r="B56" s="12">
        <v>1</v>
      </c>
      <c r="C56">
        <f t="shared" si="1"/>
        <v>16233</v>
      </c>
      <c r="D56">
        <f t="shared" si="0"/>
        <v>83.62</v>
      </c>
    </row>
    <row r="57" spans="1:4">
      <c r="A57" s="11" t="s">
        <v>1299</v>
      </c>
      <c r="B57" s="12">
        <v>32</v>
      </c>
      <c r="C57">
        <f t="shared" si="1"/>
        <v>16265</v>
      </c>
      <c r="D57">
        <f t="shared" si="0"/>
        <v>83.78</v>
      </c>
    </row>
    <row r="58" spans="1:4">
      <c r="A58" s="11" t="s">
        <v>616</v>
      </c>
      <c r="B58" s="12">
        <v>10</v>
      </c>
      <c r="C58">
        <f t="shared" si="1"/>
        <v>16275</v>
      </c>
      <c r="D58">
        <f t="shared" si="0"/>
        <v>83.84</v>
      </c>
    </row>
    <row r="59" spans="1:4">
      <c r="A59" s="11" t="s">
        <v>618</v>
      </c>
      <c r="B59" s="12">
        <v>10</v>
      </c>
      <c r="C59">
        <f t="shared" si="1"/>
        <v>16285</v>
      </c>
      <c r="D59">
        <f t="shared" si="0"/>
        <v>83.89</v>
      </c>
    </row>
    <row r="60" spans="1:4">
      <c r="A60" s="11" t="s">
        <v>620</v>
      </c>
      <c r="B60" s="12">
        <v>10</v>
      </c>
      <c r="C60">
        <f t="shared" si="1"/>
        <v>16295</v>
      </c>
      <c r="D60">
        <f t="shared" si="0"/>
        <v>83.94</v>
      </c>
    </row>
    <row r="61" spans="1:4">
      <c r="A61" s="11" t="s">
        <v>622</v>
      </c>
      <c r="B61" s="12">
        <v>10</v>
      </c>
      <c r="C61">
        <f t="shared" si="1"/>
        <v>16305</v>
      </c>
      <c r="D61">
        <f t="shared" si="0"/>
        <v>83.99</v>
      </c>
    </row>
    <row r="62" spans="1:4">
      <c r="A62" s="11" t="s">
        <v>1277</v>
      </c>
      <c r="B62" s="12">
        <v>14</v>
      </c>
      <c r="C62">
        <f t="shared" si="1"/>
        <v>16319</v>
      </c>
      <c r="D62">
        <f t="shared" si="0"/>
        <v>84.06</v>
      </c>
    </row>
    <row r="63" spans="1:4">
      <c r="A63" s="11" t="s">
        <v>535</v>
      </c>
      <c r="B63" s="12">
        <v>35</v>
      </c>
      <c r="C63">
        <f t="shared" si="1"/>
        <v>16354</v>
      </c>
      <c r="D63">
        <f t="shared" si="0"/>
        <v>84.24</v>
      </c>
    </row>
    <row r="64" spans="1:4">
      <c r="A64" s="11" t="s">
        <v>639</v>
      </c>
      <c r="B64" s="12">
        <v>29</v>
      </c>
      <c r="C64">
        <f t="shared" si="1"/>
        <v>16383</v>
      </c>
      <c r="D64">
        <f t="shared" si="0"/>
        <v>84.39</v>
      </c>
    </row>
    <row r="65" spans="1:4">
      <c r="A65" s="11" t="s">
        <v>1584</v>
      </c>
      <c r="B65" s="12">
        <v>12</v>
      </c>
      <c r="C65">
        <f t="shared" si="1"/>
        <v>16395</v>
      </c>
      <c r="D65">
        <f t="shared" si="0"/>
        <v>84.45</v>
      </c>
    </row>
    <row r="66" spans="1:4">
      <c r="A66" s="11" t="s">
        <v>778</v>
      </c>
      <c r="B66" s="12">
        <v>35</v>
      </c>
      <c r="C66">
        <f t="shared" si="1"/>
        <v>16430</v>
      </c>
      <c r="D66">
        <f t="shared" si="0"/>
        <v>84.63</v>
      </c>
    </row>
    <row r="67" spans="1:4">
      <c r="A67" s="11" t="s">
        <v>708</v>
      </c>
      <c r="B67" s="12">
        <v>10</v>
      </c>
      <c r="C67">
        <f t="shared" si="1"/>
        <v>16440</v>
      </c>
      <c r="D67">
        <f t="shared" ref="D67:D130" si="2">ROUND(C67/19413*100,2)</f>
        <v>84.69</v>
      </c>
    </row>
    <row r="68" spans="1:4">
      <c r="A68" s="11" t="s">
        <v>785</v>
      </c>
      <c r="B68" s="12">
        <v>9</v>
      </c>
      <c r="C68">
        <f t="shared" ref="C68:C131" si="3">B68+C67</f>
        <v>16449</v>
      </c>
      <c r="D68">
        <f t="shared" si="2"/>
        <v>84.73</v>
      </c>
    </row>
    <row r="69" spans="1:4">
      <c r="A69" s="11" t="s">
        <v>729</v>
      </c>
      <c r="B69" s="12">
        <v>10</v>
      </c>
      <c r="C69">
        <f t="shared" si="3"/>
        <v>16459</v>
      </c>
      <c r="D69">
        <f t="shared" si="2"/>
        <v>84.78</v>
      </c>
    </row>
    <row r="70" spans="1:4">
      <c r="A70" s="11" t="s">
        <v>847</v>
      </c>
      <c r="B70" s="12">
        <v>9</v>
      </c>
      <c r="C70">
        <f t="shared" si="3"/>
        <v>16468</v>
      </c>
      <c r="D70">
        <f t="shared" si="2"/>
        <v>84.83</v>
      </c>
    </row>
    <row r="71" spans="1:4">
      <c r="A71" s="11" t="s">
        <v>710</v>
      </c>
      <c r="B71" s="12">
        <v>10</v>
      </c>
      <c r="C71">
        <f t="shared" si="3"/>
        <v>16478</v>
      </c>
      <c r="D71">
        <f t="shared" si="2"/>
        <v>84.88</v>
      </c>
    </row>
    <row r="72" spans="1:4">
      <c r="A72" s="11" t="s">
        <v>1018</v>
      </c>
      <c r="B72" s="12">
        <v>8</v>
      </c>
      <c r="C72">
        <f t="shared" si="3"/>
        <v>16486</v>
      </c>
      <c r="D72">
        <f t="shared" si="2"/>
        <v>84.92</v>
      </c>
    </row>
    <row r="73" spans="1:4">
      <c r="A73" s="11" t="s">
        <v>1020</v>
      </c>
      <c r="B73" s="12">
        <v>8</v>
      </c>
      <c r="C73">
        <f t="shared" si="3"/>
        <v>16494</v>
      </c>
      <c r="D73">
        <f t="shared" si="2"/>
        <v>84.96</v>
      </c>
    </row>
    <row r="74" spans="1:4">
      <c r="A74" s="11" t="s">
        <v>434</v>
      </c>
      <c r="B74" s="12">
        <v>113</v>
      </c>
      <c r="C74">
        <f t="shared" si="3"/>
        <v>16607</v>
      </c>
      <c r="D74">
        <f t="shared" si="2"/>
        <v>85.55</v>
      </c>
    </row>
    <row r="75" spans="1:4">
      <c r="A75" s="11" t="s">
        <v>437</v>
      </c>
      <c r="B75" s="12">
        <v>113</v>
      </c>
      <c r="C75">
        <f t="shared" si="3"/>
        <v>16720</v>
      </c>
      <c r="D75">
        <f t="shared" si="2"/>
        <v>86.13</v>
      </c>
    </row>
    <row r="76" spans="1:4">
      <c r="A76" s="11" t="s">
        <v>98</v>
      </c>
      <c r="B76" s="12">
        <v>108</v>
      </c>
      <c r="C76">
        <f t="shared" si="3"/>
        <v>16828</v>
      </c>
      <c r="D76">
        <f t="shared" si="2"/>
        <v>86.68</v>
      </c>
    </row>
    <row r="77" spans="1:4">
      <c r="A77" s="11" t="s">
        <v>938</v>
      </c>
      <c r="B77" s="12">
        <v>42</v>
      </c>
      <c r="C77">
        <f t="shared" si="3"/>
        <v>16870</v>
      </c>
      <c r="D77">
        <f t="shared" si="2"/>
        <v>86.9</v>
      </c>
    </row>
    <row r="78" spans="1:4">
      <c r="A78" s="11" t="s">
        <v>1147</v>
      </c>
      <c r="B78" s="12">
        <v>9</v>
      </c>
      <c r="C78">
        <f t="shared" si="3"/>
        <v>16879</v>
      </c>
      <c r="D78">
        <f t="shared" si="2"/>
        <v>86.95</v>
      </c>
    </row>
    <row r="79" spans="1:4">
      <c r="A79" s="11" t="s">
        <v>1152</v>
      </c>
      <c r="B79" s="12">
        <v>9</v>
      </c>
      <c r="C79">
        <f t="shared" si="3"/>
        <v>16888</v>
      </c>
      <c r="D79">
        <f t="shared" si="2"/>
        <v>86.99</v>
      </c>
    </row>
    <row r="80" spans="1:4">
      <c r="A80" s="11" t="s">
        <v>6772</v>
      </c>
      <c r="B80" s="12">
        <v>2</v>
      </c>
      <c r="C80">
        <f t="shared" si="3"/>
        <v>16890</v>
      </c>
      <c r="D80">
        <f t="shared" si="2"/>
        <v>87</v>
      </c>
    </row>
    <row r="81" spans="1:4">
      <c r="A81" s="11" t="s">
        <v>6773</v>
      </c>
      <c r="B81" s="12">
        <v>1</v>
      </c>
      <c r="C81">
        <f t="shared" si="3"/>
        <v>16891</v>
      </c>
      <c r="D81">
        <f t="shared" si="2"/>
        <v>87.01</v>
      </c>
    </row>
    <row r="82" spans="1:4">
      <c r="A82" s="11" t="s">
        <v>6774</v>
      </c>
      <c r="B82" s="12">
        <v>1</v>
      </c>
      <c r="C82">
        <f t="shared" si="3"/>
        <v>16892</v>
      </c>
      <c r="D82">
        <f t="shared" si="2"/>
        <v>87.01</v>
      </c>
    </row>
    <row r="83" spans="1:4">
      <c r="A83" s="11" t="s">
        <v>6775</v>
      </c>
      <c r="B83" s="12">
        <v>1</v>
      </c>
      <c r="C83">
        <f t="shared" si="3"/>
        <v>16893</v>
      </c>
      <c r="D83">
        <f t="shared" si="2"/>
        <v>87.02</v>
      </c>
    </row>
    <row r="84" spans="1:4">
      <c r="A84" s="11" t="s">
        <v>6776</v>
      </c>
      <c r="B84" s="12">
        <v>2</v>
      </c>
      <c r="C84">
        <f t="shared" si="3"/>
        <v>16895</v>
      </c>
      <c r="D84">
        <f t="shared" si="2"/>
        <v>87.03</v>
      </c>
    </row>
    <row r="85" spans="1:4">
      <c r="A85" s="11" t="s">
        <v>6777</v>
      </c>
      <c r="B85" s="12">
        <v>2</v>
      </c>
      <c r="C85">
        <f t="shared" si="3"/>
        <v>16897</v>
      </c>
      <c r="D85">
        <f t="shared" si="2"/>
        <v>87.04</v>
      </c>
    </row>
    <row r="86" spans="1:4">
      <c r="A86" s="11" t="s">
        <v>6778</v>
      </c>
      <c r="B86" s="12">
        <v>2</v>
      </c>
      <c r="C86">
        <f t="shared" si="3"/>
        <v>16899</v>
      </c>
      <c r="D86">
        <f t="shared" si="2"/>
        <v>87.05</v>
      </c>
    </row>
    <row r="87" spans="1:4">
      <c r="A87" s="11" t="s">
        <v>2309</v>
      </c>
      <c r="B87" s="12">
        <v>5</v>
      </c>
      <c r="C87">
        <f t="shared" si="3"/>
        <v>16904</v>
      </c>
      <c r="D87">
        <f t="shared" si="2"/>
        <v>87.08</v>
      </c>
    </row>
    <row r="88" spans="1:4">
      <c r="A88" s="11" t="s">
        <v>995</v>
      </c>
      <c r="B88" s="12">
        <v>5</v>
      </c>
      <c r="C88">
        <f t="shared" si="3"/>
        <v>16909</v>
      </c>
      <c r="D88">
        <f t="shared" si="2"/>
        <v>87.1</v>
      </c>
    </row>
    <row r="89" spans="1:4">
      <c r="A89" s="11" t="s">
        <v>2120</v>
      </c>
      <c r="B89" s="12">
        <v>5</v>
      </c>
      <c r="C89">
        <f t="shared" si="3"/>
        <v>16914</v>
      </c>
      <c r="D89">
        <f t="shared" si="2"/>
        <v>87.13</v>
      </c>
    </row>
    <row r="90" spans="1:4">
      <c r="A90" s="11" t="s">
        <v>835</v>
      </c>
      <c r="B90" s="12">
        <v>5</v>
      </c>
      <c r="C90">
        <f t="shared" si="3"/>
        <v>16919</v>
      </c>
      <c r="D90">
        <f t="shared" si="2"/>
        <v>87.15</v>
      </c>
    </row>
    <row r="91" spans="1:4">
      <c r="A91" s="11" t="s">
        <v>1456</v>
      </c>
      <c r="B91" s="12">
        <v>7</v>
      </c>
      <c r="C91">
        <f t="shared" si="3"/>
        <v>16926</v>
      </c>
      <c r="D91">
        <f t="shared" si="2"/>
        <v>87.19</v>
      </c>
    </row>
    <row r="92" spans="1:4">
      <c r="A92" s="11" t="s">
        <v>1449</v>
      </c>
      <c r="B92" s="12">
        <v>7</v>
      </c>
      <c r="C92">
        <f t="shared" si="3"/>
        <v>16933</v>
      </c>
      <c r="D92">
        <f t="shared" si="2"/>
        <v>87.23</v>
      </c>
    </row>
    <row r="93" spans="1:4">
      <c r="A93" s="11" t="s">
        <v>1141</v>
      </c>
      <c r="B93" s="12">
        <v>6</v>
      </c>
      <c r="C93">
        <f t="shared" si="3"/>
        <v>16939</v>
      </c>
      <c r="D93">
        <f t="shared" si="2"/>
        <v>87.26</v>
      </c>
    </row>
    <row r="94" spans="1:4">
      <c r="A94" s="11" t="s">
        <v>3069</v>
      </c>
      <c r="B94" s="12">
        <v>3</v>
      </c>
      <c r="C94">
        <f t="shared" si="3"/>
        <v>16942</v>
      </c>
      <c r="D94">
        <f t="shared" si="2"/>
        <v>87.27</v>
      </c>
    </row>
    <row r="95" spans="1:4">
      <c r="A95" s="11" t="s">
        <v>3071</v>
      </c>
      <c r="B95" s="12">
        <v>3</v>
      </c>
      <c r="C95">
        <f t="shared" si="3"/>
        <v>16945</v>
      </c>
      <c r="D95">
        <f t="shared" si="2"/>
        <v>87.29</v>
      </c>
    </row>
    <row r="96" spans="1:4">
      <c r="A96" s="11" t="s">
        <v>651</v>
      </c>
      <c r="B96" s="12">
        <v>1</v>
      </c>
      <c r="C96">
        <f t="shared" si="3"/>
        <v>16946</v>
      </c>
      <c r="D96">
        <f t="shared" si="2"/>
        <v>87.29</v>
      </c>
    </row>
    <row r="97" spans="1:4">
      <c r="A97" s="11" t="s">
        <v>570</v>
      </c>
      <c r="B97" s="12">
        <v>70</v>
      </c>
      <c r="C97">
        <f t="shared" si="3"/>
        <v>17016</v>
      </c>
      <c r="D97">
        <f t="shared" si="2"/>
        <v>87.65</v>
      </c>
    </row>
    <row r="98" spans="1:4">
      <c r="A98" s="11" t="s">
        <v>607</v>
      </c>
      <c r="B98" s="12">
        <v>2</v>
      </c>
      <c r="C98">
        <f t="shared" si="3"/>
        <v>17018</v>
      </c>
      <c r="D98">
        <f t="shared" si="2"/>
        <v>87.66</v>
      </c>
    </row>
    <row r="99" spans="1:4">
      <c r="A99" s="11" t="s">
        <v>1484</v>
      </c>
      <c r="B99" s="12">
        <v>2</v>
      </c>
      <c r="C99">
        <f t="shared" si="3"/>
        <v>17020</v>
      </c>
      <c r="D99">
        <f t="shared" si="2"/>
        <v>87.67</v>
      </c>
    </row>
    <row r="100" spans="1:4">
      <c r="A100" s="11" t="s">
        <v>572</v>
      </c>
      <c r="B100" s="12">
        <v>70</v>
      </c>
      <c r="C100">
        <f t="shared" si="3"/>
        <v>17090</v>
      </c>
      <c r="D100">
        <f t="shared" si="2"/>
        <v>88.03</v>
      </c>
    </row>
    <row r="101" spans="1:4">
      <c r="A101" s="11" t="s">
        <v>1088</v>
      </c>
      <c r="B101" s="12">
        <v>8</v>
      </c>
      <c r="C101">
        <f t="shared" si="3"/>
        <v>17098</v>
      </c>
      <c r="D101">
        <f t="shared" si="2"/>
        <v>88.08</v>
      </c>
    </row>
    <row r="102" spans="1:4">
      <c r="A102" s="11" t="s">
        <v>1090</v>
      </c>
      <c r="B102" s="12">
        <v>8</v>
      </c>
      <c r="C102">
        <f t="shared" si="3"/>
        <v>17106</v>
      </c>
      <c r="D102">
        <f t="shared" si="2"/>
        <v>88.12</v>
      </c>
    </row>
    <row r="103" spans="1:4">
      <c r="A103" s="11" t="s">
        <v>942</v>
      </c>
      <c r="B103" s="12">
        <v>21</v>
      </c>
      <c r="C103">
        <f t="shared" si="3"/>
        <v>17127</v>
      </c>
      <c r="D103">
        <f t="shared" si="2"/>
        <v>88.22</v>
      </c>
    </row>
    <row r="104" spans="1:4">
      <c r="A104" s="11" t="s">
        <v>1246</v>
      </c>
      <c r="B104" s="12">
        <v>19</v>
      </c>
      <c r="C104">
        <f t="shared" si="3"/>
        <v>17146</v>
      </c>
      <c r="D104">
        <f t="shared" si="2"/>
        <v>88.32</v>
      </c>
    </row>
    <row r="105" spans="1:4">
      <c r="A105" s="11" t="s">
        <v>1708</v>
      </c>
      <c r="B105" s="12">
        <v>1</v>
      </c>
      <c r="C105">
        <f t="shared" si="3"/>
        <v>17147</v>
      </c>
      <c r="D105">
        <f t="shared" si="2"/>
        <v>88.33</v>
      </c>
    </row>
    <row r="106" spans="1:4">
      <c r="A106" s="11" t="s">
        <v>1521</v>
      </c>
      <c r="B106" s="12">
        <v>1</v>
      </c>
      <c r="C106">
        <f t="shared" si="3"/>
        <v>17148</v>
      </c>
      <c r="D106">
        <f t="shared" si="2"/>
        <v>88.33</v>
      </c>
    </row>
    <row r="107" spans="1:4">
      <c r="A107" s="11" t="s">
        <v>1308</v>
      </c>
      <c r="B107" s="12">
        <v>1</v>
      </c>
      <c r="C107">
        <f t="shared" si="3"/>
        <v>17149</v>
      </c>
      <c r="D107">
        <f t="shared" si="2"/>
        <v>88.34</v>
      </c>
    </row>
    <row r="108" spans="1:4">
      <c r="A108" s="11" t="s">
        <v>1271</v>
      </c>
      <c r="B108" s="12">
        <v>1</v>
      </c>
      <c r="C108">
        <f t="shared" si="3"/>
        <v>17150</v>
      </c>
      <c r="D108">
        <f t="shared" si="2"/>
        <v>88.34</v>
      </c>
    </row>
    <row r="109" spans="1:4">
      <c r="A109" s="11" t="s">
        <v>1654</v>
      </c>
      <c r="B109" s="12">
        <v>1</v>
      </c>
      <c r="C109">
        <f t="shared" si="3"/>
        <v>17151</v>
      </c>
      <c r="D109">
        <f t="shared" si="2"/>
        <v>88.35</v>
      </c>
    </row>
    <row r="110" spans="1:4">
      <c r="A110" s="11" t="s">
        <v>1656</v>
      </c>
      <c r="B110" s="12">
        <v>1</v>
      </c>
      <c r="C110">
        <f t="shared" si="3"/>
        <v>17152</v>
      </c>
      <c r="D110">
        <f t="shared" si="2"/>
        <v>88.35</v>
      </c>
    </row>
    <row r="111" spans="1:4">
      <c r="A111" s="11" t="s">
        <v>1229</v>
      </c>
      <c r="B111" s="12">
        <v>1</v>
      </c>
      <c r="C111">
        <f t="shared" si="3"/>
        <v>17153</v>
      </c>
      <c r="D111">
        <f t="shared" si="2"/>
        <v>88.36</v>
      </c>
    </row>
    <row r="112" spans="1:4">
      <c r="A112" s="11" t="s">
        <v>1573</v>
      </c>
      <c r="B112" s="12">
        <v>1</v>
      </c>
      <c r="C112">
        <f t="shared" si="3"/>
        <v>17154</v>
      </c>
      <c r="D112">
        <f t="shared" si="2"/>
        <v>88.36</v>
      </c>
    </row>
    <row r="113" spans="1:4">
      <c r="A113" s="11" t="s">
        <v>1591</v>
      </c>
      <c r="B113" s="12">
        <v>1</v>
      </c>
      <c r="C113">
        <f t="shared" si="3"/>
        <v>17155</v>
      </c>
      <c r="D113">
        <f t="shared" si="2"/>
        <v>88.37</v>
      </c>
    </row>
    <row r="114" spans="1:4">
      <c r="A114" s="11" t="s">
        <v>1593</v>
      </c>
      <c r="B114" s="12">
        <v>1</v>
      </c>
      <c r="C114">
        <f t="shared" si="3"/>
        <v>17156</v>
      </c>
      <c r="D114">
        <f t="shared" si="2"/>
        <v>88.37</v>
      </c>
    </row>
    <row r="115" spans="1:4">
      <c r="A115" s="11" t="s">
        <v>692</v>
      </c>
      <c r="B115" s="12">
        <v>30</v>
      </c>
      <c r="C115">
        <f t="shared" si="3"/>
        <v>17186</v>
      </c>
      <c r="D115">
        <f t="shared" si="2"/>
        <v>88.53</v>
      </c>
    </row>
    <row r="116" spans="1:4">
      <c r="A116" s="11" t="s">
        <v>931</v>
      </c>
      <c r="B116" s="12">
        <v>1</v>
      </c>
      <c r="C116">
        <f t="shared" si="3"/>
        <v>17187</v>
      </c>
      <c r="D116">
        <f t="shared" si="2"/>
        <v>88.53</v>
      </c>
    </row>
    <row r="117" spans="1:4">
      <c r="A117" s="11" t="s">
        <v>933</v>
      </c>
      <c r="B117" s="12">
        <v>1</v>
      </c>
      <c r="C117">
        <f t="shared" si="3"/>
        <v>17188</v>
      </c>
      <c r="D117">
        <f t="shared" si="2"/>
        <v>88.54</v>
      </c>
    </row>
    <row r="118" spans="1:4">
      <c r="A118" s="11" t="s">
        <v>811</v>
      </c>
      <c r="B118" s="12">
        <v>45</v>
      </c>
      <c r="C118">
        <f t="shared" si="3"/>
        <v>17233</v>
      </c>
      <c r="D118">
        <f t="shared" si="2"/>
        <v>88.77</v>
      </c>
    </row>
    <row r="119" spans="1:4">
      <c r="A119" s="11" t="s">
        <v>1184</v>
      </c>
      <c r="B119" s="12">
        <v>1</v>
      </c>
      <c r="C119">
        <f t="shared" si="3"/>
        <v>17234</v>
      </c>
      <c r="D119">
        <f t="shared" si="2"/>
        <v>88.78</v>
      </c>
    </row>
    <row r="120" spans="1:4">
      <c r="A120" s="11" t="s">
        <v>1404</v>
      </c>
      <c r="B120" s="12">
        <v>1</v>
      </c>
      <c r="C120">
        <f t="shared" si="3"/>
        <v>17235</v>
      </c>
      <c r="D120">
        <f t="shared" si="2"/>
        <v>88.78</v>
      </c>
    </row>
    <row r="121" spans="1:4">
      <c r="A121" s="11" t="s">
        <v>1187</v>
      </c>
      <c r="B121" s="12">
        <v>1</v>
      </c>
      <c r="C121">
        <f t="shared" si="3"/>
        <v>17236</v>
      </c>
      <c r="D121">
        <f t="shared" si="2"/>
        <v>88.79</v>
      </c>
    </row>
    <row r="122" spans="1:4">
      <c r="A122" s="11" t="s">
        <v>1068</v>
      </c>
      <c r="B122" s="12">
        <v>8</v>
      </c>
      <c r="C122">
        <f t="shared" si="3"/>
        <v>17244</v>
      </c>
      <c r="D122">
        <f t="shared" si="2"/>
        <v>88.83</v>
      </c>
    </row>
    <row r="123" spans="1:4">
      <c r="A123" s="11" t="s">
        <v>648</v>
      </c>
      <c r="B123" s="12">
        <v>5</v>
      </c>
      <c r="C123">
        <f t="shared" si="3"/>
        <v>17249</v>
      </c>
      <c r="D123">
        <f t="shared" si="2"/>
        <v>88.85</v>
      </c>
    </row>
    <row r="124" spans="1:4">
      <c r="A124" s="11" t="s">
        <v>1445</v>
      </c>
      <c r="B124" s="12">
        <v>5</v>
      </c>
      <c r="C124">
        <f t="shared" si="3"/>
        <v>17254</v>
      </c>
      <c r="D124">
        <f t="shared" si="2"/>
        <v>88.88</v>
      </c>
    </row>
    <row r="125" spans="1:4">
      <c r="A125" s="11" t="s">
        <v>993</v>
      </c>
      <c r="B125" s="12">
        <v>10</v>
      </c>
      <c r="C125">
        <f t="shared" si="3"/>
        <v>17264</v>
      </c>
      <c r="D125">
        <f t="shared" si="2"/>
        <v>88.93</v>
      </c>
    </row>
    <row r="126" spans="1:4">
      <c r="A126" s="11" t="s">
        <v>292</v>
      </c>
      <c r="B126" s="12">
        <v>18</v>
      </c>
      <c r="C126">
        <f t="shared" si="3"/>
        <v>17282</v>
      </c>
      <c r="D126">
        <f t="shared" si="2"/>
        <v>89.02</v>
      </c>
    </row>
    <row r="127" spans="1:4">
      <c r="A127" s="11" t="s">
        <v>300</v>
      </c>
      <c r="B127" s="12">
        <v>18</v>
      </c>
      <c r="C127">
        <f t="shared" si="3"/>
        <v>17300</v>
      </c>
      <c r="D127">
        <f t="shared" si="2"/>
        <v>89.12</v>
      </c>
    </row>
    <row r="128" spans="1:4">
      <c r="A128" s="11" t="s">
        <v>302</v>
      </c>
      <c r="B128" s="12">
        <v>18</v>
      </c>
      <c r="C128">
        <f t="shared" si="3"/>
        <v>17318</v>
      </c>
      <c r="D128">
        <f t="shared" si="2"/>
        <v>89.21</v>
      </c>
    </row>
    <row r="129" spans="1:4">
      <c r="A129" s="11" t="s">
        <v>304</v>
      </c>
      <c r="B129" s="12">
        <v>18</v>
      </c>
      <c r="C129">
        <f t="shared" si="3"/>
        <v>17336</v>
      </c>
      <c r="D129">
        <f t="shared" si="2"/>
        <v>89.3</v>
      </c>
    </row>
    <row r="130" spans="1:4">
      <c r="A130" s="11" t="s">
        <v>1589</v>
      </c>
      <c r="B130" s="12">
        <v>5</v>
      </c>
      <c r="C130">
        <f t="shared" si="3"/>
        <v>17341</v>
      </c>
      <c r="D130">
        <f t="shared" si="2"/>
        <v>89.33</v>
      </c>
    </row>
    <row r="131" spans="1:4">
      <c r="A131" s="11" t="s">
        <v>491</v>
      </c>
      <c r="B131" s="12">
        <v>1</v>
      </c>
      <c r="C131">
        <f t="shared" si="3"/>
        <v>17342</v>
      </c>
      <c r="D131">
        <f t="shared" ref="D131:D156" si="4">ROUND(C131/19413*100,2)</f>
        <v>89.33</v>
      </c>
    </row>
    <row r="132" spans="1:4">
      <c r="A132" s="11" t="s">
        <v>474</v>
      </c>
      <c r="B132" s="12">
        <v>17</v>
      </c>
      <c r="C132">
        <f t="shared" ref="C132:C156" si="5">B132+C131</f>
        <v>17359</v>
      </c>
      <c r="D132">
        <f t="shared" si="4"/>
        <v>89.42</v>
      </c>
    </row>
    <row r="133" spans="1:4">
      <c r="A133" s="11" t="s">
        <v>502</v>
      </c>
      <c r="B133" s="12">
        <v>1</v>
      </c>
      <c r="C133">
        <f t="shared" si="5"/>
        <v>17360</v>
      </c>
      <c r="D133">
        <f t="shared" si="4"/>
        <v>89.42</v>
      </c>
    </row>
    <row r="134" spans="1:4">
      <c r="A134" s="11" t="s">
        <v>119</v>
      </c>
      <c r="B134" s="12">
        <v>154</v>
      </c>
      <c r="C134">
        <f t="shared" si="5"/>
        <v>17514</v>
      </c>
      <c r="D134">
        <f t="shared" si="4"/>
        <v>90.22</v>
      </c>
    </row>
    <row r="135" spans="1:4">
      <c r="A135" s="11" t="s">
        <v>121</v>
      </c>
      <c r="B135" s="12">
        <v>154</v>
      </c>
      <c r="C135">
        <f t="shared" si="5"/>
        <v>17668</v>
      </c>
      <c r="D135">
        <f t="shared" si="4"/>
        <v>91.01</v>
      </c>
    </row>
    <row r="136" spans="1:4">
      <c r="A136" s="11" t="s">
        <v>126</v>
      </c>
      <c r="B136" s="12">
        <v>154</v>
      </c>
      <c r="C136">
        <f t="shared" si="5"/>
        <v>17822</v>
      </c>
      <c r="D136">
        <f t="shared" si="4"/>
        <v>91.8</v>
      </c>
    </row>
    <row r="137" spans="1:4">
      <c r="A137" s="11" t="s">
        <v>818</v>
      </c>
      <c r="B137" s="12">
        <v>153</v>
      </c>
      <c r="C137">
        <f t="shared" si="5"/>
        <v>17975</v>
      </c>
      <c r="D137">
        <f t="shared" si="4"/>
        <v>92.59</v>
      </c>
    </row>
    <row r="138" spans="1:4">
      <c r="A138" s="11" t="s">
        <v>821</v>
      </c>
      <c r="B138" s="12">
        <v>153</v>
      </c>
      <c r="C138">
        <f t="shared" si="5"/>
        <v>18128</v>
      </c>
      <c r="D138">
        <f t="shared" si="4"/>
        <v>93.38</v>
      </c>
    </row>
    <row r="139" spans="1:4">
      <c r="A139" s="11" t="s">
        <v>563</v>
      </c>
      <c r="B139" s="12">
        <v>8</v>
      </c>
      <c r="C139">
        <f t="shared" si="5"/>
        <v>18136</v>
      </c>
      <c r="D139">
        <f t="shared" si="4"/>
        <v>93.42</v>
      </c>
    </row>
    <row r="140" spans="1:4">
      <c r="A140" s="11" t="s">
        <v>565</v>
      </c>
      <c r="B140" s="12">
        <v>8</v>
      </c>
      <c r="C140">
        <f t="shared" si="5"/>
        <v>18144</v>
      </c>
      <c r="D140">
        <f t="shared" si="4"/>
        <v>93.46</v>
      </c>
    </row>
    <row r="141" spans="1:4">
      <c r="A141" s="11" t="s">
        <v>627</v>
      </c>
      <c r="B141" s="12">
        <v>18</v>
      </c>
      <c r="C141">
        <f t="shared" si="5"/>
        <v>18162</v>
      </c>
      <c r="D141">
        <f t="shared" si="4"/>
        <v>93.56</v>
      </c>
    </row>
    <row r="142" spans="1:4">
      <c r="A142" s="11" t="s">
        <v>643</v>
      </c>
      <c r="B142" s="12">
        <v>17</v>
      </c>
      <c r="C142">
        <f t="shared" si="5"/>
        <v>18179</v>
      </c>
      <c r="D142">
        <f t="shared" si="4"/>
        <v>93.64</v>
      </c>
    </row>
    <row r="143" spans="1:4">
      <c r="A143" s="11" t="s">
        <v>694</v>
      </c>
      <c r="B143" s="12">
        <v>18</v>
      </c>
      <c r="C143">
        <f t="shared" si="5"/>
        <v>18197</v>
      </c>
      <c r="D143">
        <f t="shared" si="4"/>
        <v>93.74</v>
      </c>
    </row>
    <row r="144" spans="1:4">
      <c r="A144" s="11" t="s">
        <v>795</v>
      </c>
      <c r="B144" s="12">
        <v>12</v>
      </c>
      <c r="C144">
        <f t="shared" si="5"/>
        <v>18209</v>
      </c>
      <c r="D144">
        <f t="shared" si="4"/>
        <v>93.8</v>
      </c>
    </row>
    <row r="145" spans="1:4">
      <c r="A145" s="11" t="s">
        <v>2304</v>
      </c>
      <c r="B145" s="12">
        <v>1</v>
      </c>
      <c r="C145">
        <f t="shared" si="5"/>
        <v>18210</v>
      </c>
      <c r="D145">
        <f t="shared" si="4"/>
        <v>93.8</v>
      </c>
    </row>
    <row r="146" spans="1:4">
      <c r="A146" s="11" t="s">
        <v>4555</v>
      </c>
      <c r="B146" s="12">
        <v>2</v>
      </c>
      <c r="C146">
        <f t="shared" si="5"/>
        <v>18212</v>
      </c>
      <c r="D146">
        <f t="shared" si="4"/>
        <v>93.81</v>
      </c>
    </row>
    <row r="147" spans="1:4">
      <c r="A147" s="11" t="s">
        <v>2555</v>
      </c>
      <c r="B147" s="12">
        <v>9</v>
      </c>
      <c r="C147">
        <f t="shared" si="5"/>
        <v>18221</v>
      </c>
      <c r="D147">
        <f t="shared" si="4"/>
        <v>93.86</v>
      </c>
    </row>
    <row r="148" spans="1:4">
      <c r="A148" s="11" t="s">
        <v>1171</v>
      </c>
      <c r="B148" s="12">
        <v>12</v>
      </c>
      <c r="C148">
        <f t="shared" si="5"/>
        <v>18233</v>
      </c>
      <c r="D148">
        <f t="shared" si="4"/>
        <v>93.92</v>
      </c>
    </row>
    <row r="149" spans="1:4">
      <c r="A149" s="11" t="s">
        <v>1173</v>
      </c>
      <c r="B149" s="12">
        <v>12</v>
      </c>
      <c r="C149">
        <f t="shared" si="5"/>
        <v>18245</v>
      </c>
      <c r="D149">
        <f t="shared" si="4"/>
        <v>93.98</v>
      </c>
    </row>
    <row r="150" spans="1:4">
      <c r="A150" s="11" t="s">
        <v>363</v>
      </c>
      <c r="B150" s="12">
        <v>34</v>
      </c>
      <c r="C150">
        <f t="shared" si="5"/>
        <v>18279</v>
      </c>
      <c r="D150">
        <f t="shared" si="4"/>
        <v>94.16</v>
      </c>
    </row>
    <row r="151" spans="1:4">
      <c r="A151" s="11" t="s">
        <v>773</v>
      </c>
      <c r="B151" s="12">
        <v>17</v>
      </c>
      <c r="C151">
        <f t="shared" si="5"/>
        <v>18296</v>
      </c>
      <c r="D151">
        <f t="shared" si="4"/>
        <v>94.25</v>
      </c>
    </row>
    <row r="152" spans="1:4">
      <c r="A152" s="11" t="s">
        <v>2013</v>
      </c>
      <c r="B152" s="12">
        <v>7</v>
      </c>
      <c r="C152">
        <f t="shared" si="5"/>
        <v>18303</v>
      </c>
      <c r="D152">
        <f t="shared" si="4"/>
        <v>94.28</v>
      </c>
    </row>
    <row r="153" spans="1:4">
      <c r="A153" s="11" t="s">
        <v>518</v>
      </c>
      <c r="B153" s="12">
        <v>37</v>
      </c>
      <c r="C153">
        <f t="shared" si="5"/>
        <v>18340</v>
      </c>
      <c r="D153">
        <f t="shared" si="4"/>
        <v>94.47</v>
      </c>
    </row>
    <row r="154" spans="1:4">
      <c r="A154" s="11" t="s">
        <v>698</v>
      </c>
      <c r="B154" s="12">
        <v>1</v>
      </c>
      <c r="C154">
        <f t="shared" si="5"/>
        <v>18341</v>
      </c>
      <c r="D154">
        <f t="shared" si="4"/>
        <v>94.48</v>
      </c>
    </row>
    <row r="155" spans="1:4">
      <c r="A155" s="11" t="s">
        <v>1389</v>
      </c>
      <c r="B155" s="12">
        <v>36</v>
      </c>
      <c r="C155">
        <f t="shared" si="5"/>
        <v>18377</v>
      </c>
      <c r="D155">
        <f t="shared" si="4"/>
        <v>94.66</v>
      </c>
    </row>
    <row r="156" spans="1:4">
      <c r="A156" s="11" t="s">
        <v>1066</v>
      </c>
      <c r="B156" s="12">
        <v>7</v>
      </c>
      <c r="C156">
        <f t="shared" si="5"/>
        <v>18384</v>
      </c>
      <c r="D156">
        <f t="shared" si="4"/>
        <v>94.7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DE2B-F10A-4D19-B448-513786DA6C6F}">
  <dimension ref="A1:B144"/>
  <sheetViews>
    <sheetView workbookViewId="0">
      <selection activeCell="A2" sqref="A2"/>
    </sheetView>
  </sheetViews>
  <sheetFormatPr defaultRowHeight="15"/>
  <cols>
    <col min="1" max="1" width="43.5703125" bestFit="1" customWidth="1"/>
    <col min="2" max="2" width="11.42578125" bestFit="1" customWidth="1"/>
  </cols>
  <sheetData>
    <row r="1" spans="1:2" ht="15.75">
      <c r="A1" s="17" t="s">
        <v>6779</v>
      </c>
      <c r="B1" s="17" t="s">
        <v>6780</v>
      </c>
    </row>
    <row r="2" spans="1:2" ht="15.75">
      <c r="A2" s="16" t="s">
        <v>6781</v>
      </c>
      <c r="B2" s="16">
        <v>6</v>
      </c>
    </row>
    <row r="3" spans="1:2" ht="15.75">
      <c r="A3" s="16" t="s">
        <v>6782</v>
      </c>
      <c r="B3" s="16">
        <v>93</v>
      </c>
    </row>
    <row r="4" spans="1:2" ht="15.75">
      <c r="A4" s="16" t="s">
        <v>6783</v>
      </c>
      <c r="B4" s="16">
        <v>19</v>
      </c>
    </row>
    <row r="5" spans="1:2" ht="15.75">
      <c r="A5" s="16" t="s">
        <v>6784</v>
      </c>
      <c r="B5" s="16">
        <v>3</v>
      </c>
    </row>
    <row r="6" spans="1:2" ht="15.75">
      <c r="A6" s="16" t="s">
        <v>6785</v>
      </c>
      <c r="B6" s="16">
        <v>11</v>
      </c>
    </row>
    <row r="7" spans="1:2" ht="15.75">
      <c r="A7" s="16" t="s">
        <v>6786</v>
      </c>
      <c r="B7" s="16">
        <v>20</v>
      </c>
    </row>
    <row r="8" spans="1:2" ht="15.75">
      <c r="A8" s="16" t="s">
        <v>6787</v>
      </c>
      <c r="B8" s="16">
        <v>16</v>
      </c>
    </row>
    <row r="9" spans="1:2" ht="15.75">
      <c r="A9" s="16" t="s">
        <v>6788</v>
      </c>
      <c r="B9" s="16">
        <v>15</v>
      </c>
    </row>
    <row r="10" spans="1:2" ht="15.75">
      <c r="A10" s="16" t="s">
        <v>6789</v>
      </c>
      <c r="B10" s="16">
        <v>15</v>
      </c>
    </row>
    <row r="11" spans="1:2" ht="15.75">
      <c r="A11" s="16" t="s">
        <v>6790</v>
      </c>
      <c r="B11" s="16">
        <v>16</v>
      </c>
    </row>
    <row r="12" spans="1:2" ht="15.75">
      <c r="A12" s="16" t="s">
        <v>6791</v>
      </c>
      <c r="B12" s="16">
        <v>10</v>
      </c>
    </row>
    <row r="13" spans="1:2" ht="15.75">
      <c r="A13" s="16" t="s">
        <v>6792</v>
      </c>
      <c r="B13" s="16">
        <v>7</v>
      </c>
    </row>
    <row r="14" spans="1:2" ht="15.75">
      <c r="A14" s="16" t="s">
        <v>6793</v>
      </c>
      <c r="B14" s="16">
        <v>20</v>
      </c>
    </row>
    <row r="15" spans="1:2" ht="15.75">
      <c r="A15" s="16" t="s">
        <v>6794</v>
      </c>
      <c r="B15" s="16">
        <v>28</v>
      </c>
    </row>
    <row r="16" spans="1:2" ht="15.75">
      <c r="A16" s="16" t="s">
        <v>6795</v>
      </c>
      <c r="B16" s="16">
        <v>20</v>
      </c>
    </row>
    <row r="17" spans="1:2" ht="15.75">
      <c r="A17" s="16" t="s">
        <v>6796</v>
      </c>
      <c r="B17" s="16">
        <v>54</v>
      </c>
    </row>
    <row r="18" spans="1:2" ht="15.75">
      <c r="A18" s="16" t="s">
        <v>6797</v>
      </c>
      <c r="B18" s="16">
        <v>9</v>
      </c>
    </row>
    <row r="19" spans="1:2" ht="15.75">
      <c r="A19" s="16" t="s">
        <v>6798</v>
      </c>
      <c r="B19" s="16">
        <v>39</v>
      </c>
    </row>
    <row r="20" spans="1:2" ht="15.75">
      <c r="A20" s="16" t="s">
        <v>6799</v>
      </c>
      <c r="B20" s="16">
        <v>20</v>
      </c>
    </row>
    <row r="21" spans="1:2" ht="15.75">
      <c r="A21" s="16" t="s">
        <v>6800</v>
      </c>
      <c r="B21" s="16">
        <v>44</v>
      </c>
    </row>
    <row r="22" spans="1:2" ht="15.75">
      <c r="A22" s="16" t="s">
        <v>6801</v>
      </c>
      <c r="B22" s="16">
        <v>13</v>
      </c>
    </row>
    <row r="23" spans="1:2" ht="15.75">
      <c r="A23" s="16" t="s">
        <v>6802</v>
      </c>
      <c r="B23" s="16">
        <v>10</v>
      </c>
    </row>
    <row r="24" spans="1:2" ht="15.75">
      <c r="A24" s="16" t="s">
        <v>6803</v>
      </c>
      <c r="B24" s="16">
        <v>11</v>
      </c>
    </row>
    <row r="25" spans="1:2" ht="15.75">
      <c r="A25" s="16" t="s">
        <v>6804</v>
      </c>
      <c r="B25" s="16">
        <v>6</v>
      </c>
    </row>
    <row r="26" spans="1:2" ht="15.75">
      <c r="A26" s="16" t="s">
        <v>6805</v>
      </c>
      <c r="B26" s="16">
        <v>19</v>
      </c>
    </row>
    <row r="27" spans="1:2" ht="15.75">
      <c r="A27" s="16" t="s">
        <v>6806</v>
      </c>
      <c r="B27" s="16">
        <v>13</v>
      </c>
    </row>
    <row r="28" spans="1:2" ht="15.75">
      <c r="A28" s="16" t="s">
        <v>6807</v>
      </c>
      <c r="B28" s="16">
        <v>68</v>
      </c>
    </row>
    <row r="29" spans="1:2" ht="15.75">
      <c r="A29" s="16" t="s">
        <v>6808</v>
      </c>
      <c r="B29" s="16">
        <v>13</v>
      </c>
    </row>
    <row r="30" spans="1:2" ht="15.75">
      <c r="A30" s="16" t="s">
        <v>6809</v>
      </c>
      <c r="B30" s="16">
        <v>15</v>
      </c>
    </row>
    <row r="31" spans="1:2" ht="15.75">
      <c r="A31" s="16" t="s">
        <v>6810</v>
      </c>
      <c r="B31" s="16">
        <v>12</v>
      </c>
    </row>
    <row r="32" spans="1:2" ht="15.75">
      <c r="A32" s="16" t="s">
        <v>6811</v>
      </c>
      <c r="B32" s="16">
        <v>12</v>
      </c>
    </row>
    <row r="33" spans="1:2" ht="15.75">
      <c r="A33" s="16" t="s">
        <v>6812</v>
      </c>
      <c r="B33" s="16">
        <v>70</v>
      </c>
    </row>
    <row r="34" spans="1:2" ht="15.75">
      <c r="A34" s="16" t="s">
        <v>6813</v>
      </c>
      <c r="B34" s="16">
        <v>9</v>
      </c>
    </row>
    <row r="35" spans="1:2" ht="15.75">
      <c r="A35" s="16" t="s">
        <v>6814</v>
      </c>
      <c r="B35" s="16">
        <v>7</v>
      </c>
    </row>
    <row r="36" spans="1:2" ht="15.75">
      <c r="A36" s="16" t="s">
        <v>6815</v>
      </c>
      <c r="B36" s="16">
        <v>74</v>
      </c>
    </row>
    <row r="37" spans="1:2" ht="15.75">
      <c r="A37" s="16" t="s">
        <v>6816</v>
      </c>
      <c r="B37" s="16">
        <v>44</v>
      </c>
    </row>
    <row r="38" spans="1:2" ht="15.75">
      <c r="A38" s="16" t="s">
        <v>6817</v>
      </c>
      <c r="B38" s="16">
        <v>48</v>
      </c>
    </row>
    <row r="39" spans="1:2" ht="15.75">
      <c r="A39" s="16" t="s">
        <v>6818</v>
      </c>
      <c r="B39" s="16">
        <v>34</v>
      </c>
    </row>
    <row r="40" spans="1:2" ht="15.75">
      <c r="A40" s="16" t="s">
        <v>6819</v>
      </c>
      <c r="B40" s="16">
        <v>63</v>
      </c>
    </row>
    <row r="41" spans="1:2" ht="15.75">
      <c r="A41" s="16" t="s">
        <v>6820</v>
      </c>
      <c r="B41" s="16">
        <v>12</v>
      </c>
    </row>
    <row r="42" spans="1:2" ht="15.75">
      <c r="A42" s="16" t="s">
        <v>6821</v>
      </c>
      <c r="B42" s="16">
        <v>11</v>
      </c>
    </row>
    <row r="43" spans="1:2" ht="15.75">
      <c r="A43" s="16" t="s">
        <v>6822</v>
      </c>
      <c r="B43" s="16">
        <v>75</v>
      </c>
    </row>
    <row r="44" spans="1:2" ht="15.75">
      <c r="A44" s="16" t="s">
        <v>6823</v>
      </c>
      <c r="B44" s="16">
        <v>18</v>
      </c>
    </row>
    <row r="45" spans="1:2" ht="15.75">
      <c r="A45" s="16" t="s">
        <v>6824</v>
      </c>
      <c r="B45" s="16">
        <v>10</v>
      </c>
    </row>
    <row r="46" spans="1:2" ht="15.75">
      <c r="A46" s="16" t="s">
        <v>6825</v>
      </c>
      <c r="B46" s="16">
        <v>11</v>
      </c>
    </row>
    <row r="47" spans="1:2" ht="15.75">
      <c r="A47" s="16" t="s">
        <v>6826</v>
      </c>
      <c r="B47" s="16">
        <v>19</v>
      </c>
    </row>
    <row r="48" spans="1:2" ht="15.75">
      <c r="A48" s="16" t="s">
        <v>6827</v>
      </c>
      <c r="B48" s="16">
        <v>29</v>
      </c>
    </row>
    <row r="49" spans="1:2" ht="15.75">
      <c r="A49" s="16" t="s">
        <v>6828</v>
      </c>
      <c r="B49" s="16">
        <v>38</v>
      </c>
    </row>
    <row r="50" spans="1:2" ht="15.75">
      <c r="A50" s="16" t="s">
        <v>6829</v>
      </c>
      <c r="B50" s="16">
        <v>20</v>
      </c>
    </row>
    <row r="51" spans="1:2" ht="15.75">
      <c r="A51" s="16" t="s">
        <v>6830</v>
      </c>
      <c r="B51" s="16">
        <v>5</v>
      </c>
    </row>
    <row r="52" spans="1:2" ht="15.75">
      <c r="A52" s="16" t="s">
        <v>6831</v>
      </c>
      <c r="B52" s="16">
        <v>25</v>
      </c>
    </row>
    <row r="53" spans="1:2" ht="15.75">
      <c r="A53" s="16" t="s">
        <v>6832</v>
      </c>
      <c r="B53" s="16">
        <v>4</v>
      </c>
    </row>
    <row r="54" spans="1:2" ht="15.75">
      <c r="A54" s="16" t="s">
        <v>6833</v>
      </c>
      <c r="B54" s="16">
        <v>94</v>
      </c>
    </row>
    <row r="55" spans="1:2" ht="15.75">
      <c r="A55" s="16" t="s">
        <v>6834</v>
      </c>
      <c r="B55" s="16">
        <v>112</v>
      </c>
    </row>
    <row r="56" spans="1:2" ht="15.75">
      <c r="A56" s="16" t="s">
        <v>6835</v>
      </c>
      <c r="B56" s="16">
        <v>4</v>
      </c>
    </row>
    <row r="57" spans="1:2" ht="15.75">
      <c r="A57" s="16" t="s">
        <v>6836</v>
      </c>
      <c r="B57" s="16">
        <v>40</v>
      </c>
    </row>
    <row r="58" spans="1:2" ht="15.75">
      <c r="A58" s="16" t="s">
        <v>6837</v>
      </c>
      <c r="B58" s="16">
        <v>7</v>
      </c>
    </row>
    <row r="59" spans="1:2" ht="15.75">
      <c r="A59" s="16" t="s">
        <v>6838</v>
      </c>
      <c r="B59" s="16">
        <v>31</v>
      </c>
    </row>
    <row r="60" spans="1:2" ht="15.75">
      <c r="A60" s="16" t="s">
        <v>6839</v>
      </c>
      <c r="B60" s="16">
        <v>6</v>
      </c>
    </row>
    <row r="61" spans="1:2" ht="15.75">
      <c r="A61" s="16" t="s">
        <v>6840</v>
      </c>
      <c r="B61" s="16">
        <v>3</v>
      </c>
    </row>
    <row r="62" spans="1:2" ht="15.75">
      <c r="A62" s="16" t="s">
        <v>6841</v>
      </c>
      <c r="B62" s="16">
        <v>42</v>
      </c>
    </row>
    <row r="63" spans="1:2" ht="15.75">
      <c r="A63" s="16" t="s">
        <v>6842</v>
      </c>
      <c r="B63" s="16">
        <v>4</v>
      </c>
    </row>
    <row r="64" spans="1:2" ht="15.75">
      <c r="A64" s="16" t="s">
        <v>6843</v>
      </c>
      <c r="B64" s="16">
        <v>4</v>
      </c>
    </row>
    <row r="65" spans="1:2" ht="15.75">
      <c r="A65" s="16" t="s">
        <v>6844</v>
      </c>
      <c r="B65" s="16">
        <v>24</v>
      </c>
    </row>
    <row r="66" spans="1:2" ht="15.75">
      <c r="A66" s="16" t="s">
        <v>6845</v>
      </c>
      <c r="B66" s="16">
        <v>7</v>
      </c>
    </row>
    <row r="67" spans="1:2" ht="15.75">
      <c r="A67" s="16" t="s">
        <v>6846</v>
      </c>
      <c r="B67" s="16">
        <v>7</v>
      </c>
    </row>
    <row r="68" spans="1:2" ht="15.75">
      <c r="A68" s="16" t="s">
        <v>6847</v>
      </c>
      <c r="B68" s="16">
        <v>15</v>
      </c>
    </row>
    <row r="69" spans="1:2" ht="15.75">
      <c r="A69" s="16" t="s">
        <v>6848</v>
      </c>
      <c r="B69" s="16">
        <v>5</v>
      </c>
    </row>
    <row r="70" spans="1:2" ht="15.75">
      <c r="A70" s="16" t="s">
        <v>6849</v>
      </c>
      <c r="B70" s="16">
        <v>3</v>
      </c>
    </row>
    <row r="71" spans="1:2" ht="15.75">
      <c r="A71" s="16" t="s">
        <v>6850</v>
      </c>
      <c r="B71" s="16">
        <v>9</v>
      </c>
    </row>
    <row r="72" spans="1:2" ht="15.75">
      <c r="A72" s="16" t="s">
        <v>6851</v>
      </c>
      <c r="B72" s="16">
        <v>16</v>
      </c>
    </row>
    <row r="73" spans="1:2" ht="15.75">
      <c r="A73" s="16" t="s">
        <v>6852</v>
      </c>
      <c r="B73" s="16">
        <v>23</v>
      </c>
    </row>
    <row r="74" spans="1:2" ht="15.75">
      <c r="A74" s="16" t="s">
        <v>6853</v>
      </c>
      <c r="B74" s="16">
        <v>13</v>
      </c>
    </row>
    <row r="75" spans="1:2" ht="15.75">
      <c r="A75" s="16" t="s">
        <v>6854</v>
      </c>
      <c r="B75" s="16">
        <v>26</v>
      </c>
    </row>
    <row r="76" spans="1:2" ht="15.75">
      <c r="A76" s="16" t="s">
        <v>6855</v>
      </c>
      <c r="B76" s="16">
        <v>11</v>
      </c>
    </row>
    <row r="77" spans="1:2" ht="15.75">
      <c r="A77" s="16" t="s">
        <v>6856</v>
      </c>
      <c r="B77" s="16">
        <v>5</v>
      </c>
    </row>
    <row r="78" spans="1:2" ht="15.75">
      <c r="A78" s="16" t="s">
        <v>6857</v>
      </c>
      <c r="B78" s="16">
        <v>13</v>
      </c>
    </row>
    <row r="79" spans="1:2" ht="15.75">
      <c r="A79" s="16" t="s">
        <v>6858</v>
      </c>
      <c r="B79" s="16">
        <v>85</v>
      </c>
    </row>
    <row r="80" spans="1:2" ht="15.75">
      <c r="A80" s="16" t="s">
        <v>6859</v>
      </c>
      <c r="B80" s="16">
        <v>5</v>
      </c>
    </row>
    <row r="81" spans="1:2" ht="15.75">
      <c r="A81" s="16" t="s">
        <v>6860</v>
      </c>
      <c r="B81" s="16">
        <v>4</v>
      </c>
    </row>
    <row r="82" spans="1:2" ht="15.75">
      <c r="A82" s="16" t="s">
        <v>6861</v>
      </c>
      <c r="B82" s="16">
        <v>2</v>
      </c>
    </row>
    <row r="83" spans="1:2" ht="15.75">
      <c r="A83" s="16" t="s">
        <v>6862</v>
      </c>
      <c r="B83" s="16">
        <v>11</v>
      </c>
    </row>
    <row r="84" spans="1:2" ht="15.75">
      <c r="A84" s="16" t="s">
        <v>6863</v>
      </c>
      <c r="B84" s="16">
        <v>8</v>
      </c>
    </row>
    <row r="85" spans="1:2" ht="15.75">
      <c r="A85" s="16" t="s">
        <v>6864</v>
      </c>
      <c r="B85" s="16">
        <v>25</v>
      </c>
    </row>
    <row r="86" spans="1:2" ht="15.75">
      <c r="A86" s="16" t="s">
        <v>6865</v>
      </c>
      <c r="B86" s="16">
        <v>11</v>
      </c>
    </row>
    <row r="87" spans="1:2" ht="15.75">
      <c r="A87" s="16" t="s">
        <v>6866</v>
      </c>
      <c r="B87" s="16">
        <v>6</v>
      </c>
    </row>
    <row r="88" spans="1:2" ht="15.75">
      <c r="A88" s="16" t="s">
        <v>6867</v>
      </c>
      <c r="B88" s="16">
        <v>152</v>
      </c>
    </row>
    <row r="89" spans="1:2" ht="15.75">
      <c r="A89" s="16" t="s">
        <v>6868</v>
      </c>
      <c r="B89" s="16">
        <v>95</v>
      </c>
    </row>
    <row r="90" spans="1:2" ht="15.75">
      <c r="A90" s="16" t="s">
        <v>6869</v>
      </c>
      <c r="B90" s="16">
        <v>23</v>
      </c>
    </row>
    <row r="91" spans="1:2" ht="15.75">
      <c r="A91" s="16" t="s">
        <v>6870</v>
      </c>
      <c r="B91" s="16">
        <v>3</v>
      </c>
    </row>
    <row r="92" spans="1:2" ht="15.75">
      <c r="A92" s="16" t="s">
        <v>6871</v>
      </c>
      <c r="B92" s="16">
        <v>34</v>
      </c>
    </row>
    <row r="93" spans="1:2" ht="15.75">
      <c r="A93" s="16" t="s">
        <v>6872</v>
      </c>
      <c r="B93" s="16">
        <v>17</v>
      </c>
    </row>
    <row r="94" spans="1:2" ht="15.75">
      <c r="A94" s="16" t="s">
        <v>6873</v>
      </c>
      <c r="B94" s="16">
        <v>21</v>
      </c>
    </row>
    <row r="95" spans="1:2" ht="15.75">
      <c r="A95" s="16" t="s">
        <v>6874</v>
      </c>
      <c r="B95" s="16">
        <v>74</v>
      </c>
    </row>
    <row r="96" spans="1:2" ht="15.75">
      <c r="A96" s="16" t="s">
        <v>6875</v>
      </c>
      <c r="B96" s="16">
        <v>12</v>
      </c>
    </row>
    <row r="97" spans="1:2" ht="15.75">
      <c r="A97" s="16" t="s">
        <v>6876</v>
      </c>
      <c r="B97" s="16">
        <v>31</v>
      </c>
    </row>
    <row r="98" spans="1:2" ht="15.75">
      <c r="A98" s="16" t="s">
        <v>6877</v>
      </c>
      <c r="B98" s="16">
        <v>88</v>
      </c>
    </row>
    <row r="99" spans="1:2" ht="15.75">
      <c r="A99" s="16" t="s">
        <v>6878</v>
      </c>
      <c r="B99" s="16">
        <v>18</v>
      </c>
    </row>
    <row r="100" spans="1:2" ht="15.75">
      <c r="A100" s="16" t="s">
        <v>6879</v>
      </c>
      <c r="B100" s="16">
        <v>38</v>
      </c>
    </row>
    <row r="101" spans="1:2" ht="15.75">
      <c r="A101" s="16" t="s">
        <v>6880</v>
      </c>
      <c r="B101" s="16">
        <v>22</v>
      </c>
    </row>
    <row r="102" spans="1:2" ht="15.75">
      <c r="A102" s="16" t="s">
        <v>6881</v>
      </c>
      <c r="B102" s="16">
        <v>71</v>
      </c>
    </row>
    <row r="103" spans="1:2" ht="15.75">
      <c r="A103" s="16" t="s">
        <v>6882</v>
      </c>
      <c r="B103" s="16">
        <v>39</v>
      </c>
    </row>
    <row r="104" spans="1:2" ht="15.75">
      <c r="A104" s="16" t="s">
        <v>6883</v>
      </c>
      <c r="B104" s="16">
        <v>5</v>
      </c>
    </row>
    <row r="105" spans="1:2" ht="15.75">
      <c r="A105" s="16" t="s">
        <v>6884</v>
      </c>
      <c r="B105" s="16">
        <v>15</v>
      </c>
    </row>
    <row r="106" spans="1:2" ht="15.75">
      <c r="A106" s="16" t="s">
        <v>6885</v>
      </c>
      <c r="B106" s="16">
        <v>18</v>
      </c>
    </row>
    <row r="107" spans="1:2" ht="15.75">
      <c r="A107" s="16" t="s">
        <v>6886</v>
      </c>
      <c r="B107" s="16">
        <v>8</v>
      </c>
    </row>
    <row r="108" spans="1:2" ht="15.75">
      <c r="A108" s="16" t="s">
        <v>6887</v>
      </c>
      <c r="B108" s="16">
        <v>5</v>
      </c>
    </row>
    <row r="109" spans="1:2" ht="15.75">
      <c r="A109" s="16" t="s">
        <v>6888</v>
      </c>
      <c r="B109" s="16">
        <v>28</v>
      </c>
    </row>
    <row r="110" spans="1:2" ht="15.75">
      <c r="A110" s="16" t="s">
        <v>6889</v>
      </c>
      <c r="B110" s="16">
        <v>3</v>
      </c>
    </row>
    <row r="111" spans="1:2" ht="15.75">
      <c r="A111" s="16" t="s">
        <v>6890</v>
      </c>
      <c r="B111" s="16">
        <v>73</v>
      </c>
    </row>
    <row r="112" spans="1:2" ht="15.75">
      <c r="A112" s="16" t="s">
        <v>6891</v>
      </c>
      <c r="B112" s="16">
        <v>65</v>
      </c>
    </row>
    <row r="113" spans="1:2" ht="15.75">
      <c r="A113" s="16" t="s">
        <v>6892</v>
      </c>
      <c r="B113" s="16">
        <v>52</v>
      </c>
    </row>
    <row r="114" spans="1:2" ht="15.75">
      <c r="A114" s="16" t="s">
        <v>6893</v>
      </c>
      <c r="B114" s="16">
        <v>123</v>
      </c>
    </row>
    <row r="115" spans="1:2" ht="15.75">
      <c r="A115" s="16" t="s">
        <v>6894</v>
      </c>
      <c r="B115" s="16">
        <v>127</v>
      </c>
    </row>
    <row r="116" spans="1:2" ht="15.75">
      <c r="A116" s="16" t="s">
        <v>6895</v>
      </c>
      <c r="B116" s="16">
        <v>39</v>
      </c>
    </row>
    <row r="117" spans="1:2" ht="15.75">
      <c r="A117" s="16" t="s">
        <v>6896</v>
      </c>
      <c r="B117" s="16">
        <v>14</v>
      </c>
    </row>
    <row r="118" spans="1:2" ht="15.75">
      <c r="A118" s="16" t="s">
        <v>6897</v>
      </c>
      <c r="B118" s="16">
        <v>3</v>
      </c>
    </row>
    <row r="119" spans="1:2" ht="15.75">
      <c r="A119" s="16" t="s">
        <v>6898</v>
      </c>
      <c r="B119" s="16">
        <v>38</v>
      </c>
    </row>
    <row r="120" spans="1:2" ht="15.75">
      <c r="A120" s="16" t="s">
        <v>6899</v>
      </c>
      <c r="B120" s="16">
        <v>25</v>
      </c>
    </row>
    <row r="121" spans="1:2" ht="15.75">
      <c r="A121" s="16" t="s">
        <v>6900</v>
      </c>
      <c r="B121" s="16">
        <v>4</v>
      </c>
    </row>
    <row r="122" spans="1:2" ht="15.75">
      <c r="A122" s="16" t="s">
        <v>6901</v>
      </c>
      <c r="B122" s="16">
        <v>14</v>
      </c>
    </row>
    <row r="123" spans="1:2" ht="15.75">
      <c r="A123" s="16" t="s">
        <v>6902</v>
      </c>
      <c r="B123" s="16">
        <v>17</v>
      </c>
    </row>
    <row r="124" spans="1:2" ht="15.75">
      <c r="A124" s="16" t="s">
        <v>6903</v>
      </c>
      <c r="B124" s="16">
        <v>17</v>
      </c>
    </row>
    <row r="125" spans="1:2" ht="15.75">
      <c r="A125" s="16" t="s">
        <v>6904</v>
      </c>
      <c r="B125" s="16">
        <v>7</v>
      </c>
    </row>
    <row r="126" spans="1:2" ht="15.75">
      <c r="A126" s="16" t="s">
        <v>6905</v>
      </c>
      <c r="B126" s="16">
        <v>67</v>
      </c>
    </row>
    <row r="127" spans="1:2" ht="15.75">
      <c r="A127" s="16" t="s">
        <v>6906</v>
      </c>
      <c r="B127" s="16">
        <v>9</v>
      </c>
    </row>
    <row r="128" spans="1:2" ht="15.75">
      <c r="A128" s="16" t="s">
        <v>6907</v>
      </c>
      <c r="B128" s="16">
        <v>19</v>
      </c>
    </row>
    <row r="129" spans="1:2" ht="15.75">
      <c r="A129" s="16" t="s">
        <v>6908</v>
      </c>
      <c r="B129" s="16">
        <v>23</v>
      </c>
    </row>
    <row r="130" spans="1:2" ht="15.75">
      <c r="A130" s="16" t="s">
        <v>6909</v>
      </c>
      <c r="B130" s="16">
        <v>9</v>
      </c>
    </row>
    <row r="131" spans="1:2" ht="15.75">
      <c r="A131" s="16" t="s">
        <v>6910</v>
      </c>
      <c r="B131" s="16">
        <v>8</v>
      </c>
    </row>
    <row r="132" spans="1:2" ht="15.75">
      <c r="A132" s="16" t="s">
        <v>6911</v>
      </c>
      <c r="B132" s="16">
        <v>26</v>
      </c>
    </row>
    <row r="133" spans="1:2" ht="15.75">
      <c r="A133" s="16" t="s">
        <v>6912</v>
      </c>
      <c r="B133" s="16">
        <v>4</v>
      </c>
    </row>
    <row r="134" spans="1:2" ht="15.75">
      <c r="A134" s="16" t="s">
        <v>6913</v>
      </c>
      <c r="B134" s="16">
        <v>9</v>
      </c>
    </row>
    <row r="135" spans="1:2" ht="15.75">
      <c r="A135" s="16" t="s">
        <v>6914</v>
      </c>
      <c r="B135" s="16">
        <v>7</v>
      </c>
    </row>
    <row r="136" spans="1:2" ht="15.75">
      <c r="A136" s="16" t="s">
        <v>6915</v>
      </c>
      <c r="B136" s="16">
        <v>10</v>
      </c>
    </row>
    <row r="137" spans="1:2" ht="15.75">
      <c r="A137" s="16" t="s">
        <v>6916</v>
      </c>
      <c r="B137" s="16">
        <v>15</v>
      </c>
    </row>
    <row r="138" spans="1:2" ht="15.75">
      <c r="A138" s="16" t="s">
        <v>6917</v>
      </c>
      <c r="B138" s="16">
        <v>5</v>
      </c>
    </row>
    <row r="139" spans="1:2" ht="15.75">
      <c r="A139" s="16" t="s">
        <v>6918</v>
      </c>
      <c r="B139" s="16">
        <v>4</v>
      </c>
    </row>
    <row r="140" spans="1:2" ht="15.75">
      <c r="A140" s="16" t="s">
        <v>6919</v>
      </c>
      <c r="B140" s="16">
        <v>10</v>
      </c>
    </row>
    <row r="141" spans="1:2" ht="15.75">
      <c r="A141" s="16" t="s">
        <v>6920</v>
      </c>
      <c r="B141" s="16">
        <v>4</v>
      </c>
    </row>
    <row r="142" spans="1:2" ht="15.75">
      <c r="A142" s="16" t="s">
        <v>6921</v>
      </c>
      <c r="B142" s="16">
        <v>14</v>
      </c>
    </row>
    <row r="143" spans="1:2" ht="15.75">
      <c r="A143" s="16" t="s">
        <v>6922</v>
      </c>
      <c r="B143" s="16">
        <v>5</v>
      </c>
    </row>
    <row r="144" spans="1:2" ht="15.75">
      <c r="A144" s="16" t="s">
        <v>6923</v>
      </c>
      <c r="B144" s="1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8AEEB-A11E-4A8F-99B9-87F10651E842}">
  <dimension ref="A1:I162"/>
  <sheetViews>
    <sheetView workbookViewId="0">
      <selection activeCell="B1" sqref="B1"/>
    </sheetView>
  </sheetViews>
  <sheetFormatPr defaultRowHeight="15"/>
  <cols>
    <col min="1" max="1" width="169.140625" bestFit="1" customWidth="1"/>
    <col min="2" max="2" width="17.7109375" bestFit="1" customWidth="1"/>
    <col min="3" max="3" width="19" bestFit="1" customWidth="1"/>
    <col min="5" max="5" width="9" bestFit="1" customWidth="1"/>
    <col min="6" max="6" width="12" bestFit="1" customWidth="1"/>
  </cols>
  <sheetData>
    <row r="1" spans="1:9">
      <c r="A1" s="14" t="s">
        <v>6924</v>
      </c>
      <c r="B1" s="14" t="s">
        <v>6925</v>
      </c>
      <c r="C1" s="7" t="s">
        <v>6926</v>
      </c>
      <c r="D1" t="s">
        <v>6927</v>
      </c>
      <c r="E1" t="s">
        <v>6928</v>
      </c>
      <c r="F1" t="s">
        <v>6929</v>
      </c>
      <c r="G1">
        <v>119</v>
      </c>
      <c r="H1" t="s">
        <v>6930</v>
      </c>
      <c r="I1">
        <f>161-G1</f>
        <v>42</v>
      </c>
    </row>
    <row r="2" spans="1:9" ht="18">
      <c r="A2" s="13" t="s">
        <v>21</v>
      </c>
      <c r="B2" t="b">
        <v>1</v>
      </c>
    </row>
    <row r="3" spans="1:9" ht="18">
      <c r="A3" s="13" t="s">
        <v>5043</v>
      </c>
      <c r="B3" t="b">
        <v>1</v>
      </c>
    </row>
    <row r="4" spans="1:9" ht="18">
      <c r="A4" s="13" t="s">
        <v>2320</v>
      </c>
      <c r="B4" t="b">
        <v>1</v>
      </c>
    </row>
    <row r="5" spans="1:9" ht="18">
      <c r="A5" s="13" t="s">
        <v>2302</v>
      </c>
      <c r="B5" t="b">
        <v>1</v>
      </c>
    </row>
    <row r="6" spans="1:9" ht="18">
      <c r="A6" s="13" t="s">
        <v>360</v>
      </c>
      <c r="B6" t="b">
        <v>1</v>
      </c>
    </row>
    <row r="7" spans="1:9" ht="18">
      <c r="A7" s="13" t="s">
        <v>567</v>
      </c>
      <c r="B7" t="b">
        <v>1</v>
      </c>
    </row>
    <row r="8" spans="1:9" ht="18">
      <c r="A8" s="13" t="s">
        <v>3209</v>
      </c>
      <c r="B8" t="b">
        <v>1</v>
      </c>
    </row>
    <row r="9" spans="1:9" ht="18">
      <c r="A9" s="13" t="s">
        <v>792</v>
      </c>
      <c r="B9" t="b">
        <v>1</v>
      </c>
    </row>
    <row r="10" spans="1:9" ht="18">
      <c r="A10" s="13" t="s">
        <v>1306</v>
      </c>
      <c r="B10" t="b">
        <v>1</v>
      </c>
    </row>
    <row r="11" spans="1:9" ht="18">
      <c r="A11" s="13" t="s">
        <v>3040</v>
      </c>
      <c r="B11" t="b">
        <v>1</v>
      </c>
    </row>
    <row r="12" spans="1:9" ht="18">
      <c r="A12" s="13" t="s">
        <v>4102</v>
      </c>
      <c r="B12" t="b">
        <v>1</v>
      </c>
    </row>
    <row r="13" spans="1:9" ht="18">
      <c r="A13" s="13" t="s">
        <v>5335</v>
      </c>
      <c r="B13" t="b">
        <v>1</v>
      </c>
    </row>
    <row r="14" spans="1:9" ht="18">
      <c r="A14" s="13" t="s">
        <v>1252</v>
      </c>
      <c r="B14" t="b">
        <v>1</v>
      </c>
    </row>
    <row r="15" spans="1:9" ht="18">
      <c r="A15" s="13" t="s">
        <v>867</v>
      </c>
      <c r="B15" t="b">
        <v>1</v>
      </c>
    </row>
    <row r="16" spans="1:9" ht="18">
      <c r="A16" s="13" t="s">
        <v>912</v>
      </c>
      <c r="B16" t="b">
        <v>1</v>
      </c>
    </row>
    <row r="17" spans="1:2" ht="18">
      <c r="A17" s="13" t="s">
        <v>838</v>
      </c>
      <c r="B17" t="b">
        <v>1</v>
      </c>
    </row>
    <row r="18" spans="1:2" ht="18">
      <c r="A18" s="13" t="s">
        <v>840</v>
      </c>
      <c r="B18" t="b">
        <v>1</v>
      </c>
    </row>
    <row r="19" spans="1:2" ht="18">
      <c r="A19" s="13" t="s">
        <v>842</v>
      </c>
      <c r="B19" t="b">
        <v>1</v>
      </c>
    </row>
    <row r="20" spans="1:2" ht="18">
      <c r="A20" s="13" t="s">
        <v>845</v>
      </c>
      <c r="B20" t="b">
        <v>1</v>
      </c>
    </row>
    <row r="21" spans="1:2" ht="18">
      <c r="A21" s="13" t="s">
        <v>888</v>
      </c>
      <c r="B21" t="b">
        <v>1</v>
      </c>
    </row>
    <row r="22" spans="1:2" ht="18">
      <c r="A22" s="13" t="s">
        <v>246</v>
      </c>
      <c r="B22" t="b">
        <v>1</v>
      </c>
    </row>
    <row r="23" spans="1:2" ht="18">
      <c r="A23" s="13" t="s">
        <v>41</v>
      </c>
      <c r="B23" t="b">
        <v>1</v>
      </c>
    </row>
    <row r="24" spans="1:2" ht="18">
      <c r="A24" s="13" t="s">
        <v>32</v>
      </c>
      <c r="B24" t="b">
        <v>1</v>
      </c>
    </row>
    <row r="25" spans="1:2" ht="18">
      <c r="A25" s="13" t="s">
        <v>342</v>
      </c>
      <c r="B25" t="b">
        <v>1</v>
      </c>
    </row>
    <row r="26" spans="1:2" ht="18">
      <c r="A26" s="13" t="s">
        <v>91</v>
      </c>
      <c r="B26" t="b">
        <v>1</v>
      </c>
    </row>
    <row r="27" spans="1:2" ht="18">
      <c r="A27" s="13" t="s">
        <v>48</v>
      </c>
      <c r="B27" t="b">
        <v>1</v>
      </c>
    </row>
    <row r="28" spans="1:2" ht="18">
      <c r="A28" s="13" t="s">
        <v>54</v>
      </c>
      <c r="B28" t="b">
        <v>1</v>
      </c>
    </row>
    <row r="29" spans="1:2" ht="18">
      <c r="A29" s="13" t="s">
        <v>2003</v>
      </c>
      <c r="B29" t="b">
        <v>1</v>
      </c>
    </row>
    <row r="30" spans="1:2" ht="18">
      <c r="A30" s="13" t="s">
        <v>2006</v>
      </c>
      <c r="B30" t="b">
        <v>1</v>
      </c>
    </row>
    <row r="31" spans="1:2" ht="18">
      <c r="A31" s="13" t="s">
        <v>2015</v>
      </c>
      <c r="B31" t="b">
        <v>1</v>
      </c>
    </row>
    <row r="32" spans="1:2" ht="18">
      <c r="A32" s="13" t="s">
        <v>2028</v>
      </c>
      <c r="B32" t="b">
        <v>1</v>
      </c>
    </row>
    <row r="33" spans="1:2" ht="18">
      <c r="A33" s="13" t="s">
        <v>354</v>
      </c>
      <c r="B33" t="b">
        <v>1</v>
      </c>
    </row>
    <row r="34" spans="1:2" ht="18">
      <c r="A34" s="13" t="s">
        <v>653</v>
      </c>
      <c r="B34" t="b">
        <v>1</v>
      </c>
    </row>
    <row r="35" spans="1:2" ht="18">
      <c r="A35" s="13" t="s">
        <v>506</v>
      </c>
      <c r="B35" t="b">
        <v>1</v>
      </c>
    </row>
    <row r="36" spans="1:2" ht="18">
      <c r="A36" s="13" t="s">
        <v>978</v>
      </c>
      <c r="B36" t="b">
        <v>1</v>
      </c>
    </row>
    <row r="37" spans="1:2" ht="18">
      <c r="A37" s="13" t="s">
        <v>797</v>
      </c>
      <c r="B37" t="b">
        <v>1</v>
      </c>
    </row>
    <row r="38" spans="1:2" ht="18">
      <c r="A38" s="13" t="s">
        <v>550</v>
      </c>
      <c r="B38" t="b">
        <v>1</v>
      </c>
    </row>
    <row r="39" spans="1:2" ht="18">
      <c r="A39" s="13" t="s">
        <v>586</v>
      </c>
      <c r="B39" t="b">
        <v>1</v>
      </c>
    </row>
    <row r="40" spans="1:2" ht="18">
      <c r="A40" s="13" t="s">
        <v>470</v>
      </c>
      <c r="B40" t="b">
        <v>1</v>
      </c>
    </row>
    <row r="41" spans="1:2" ht="18">
      <c r="A41" s="13" t="s">
        <v>276</v>
      </c>
      <c r="B41" t="b">
        <v>1</v>
      </c>
    </row>
    <row r="42" spans="1:2" ht="18">
      <c r="A42" s="13" t="s">
        <v>472</v>
      </c>
      <c r="B42" t="b">
        <v>1</v>
      </c>
    </row>
    <row r="43" spans="1:2" ht="18">
      <c r="A43" s="13" t="s">
        <v>263</v>
      </c>
      <c r="B43" t="b">
        <v>1</v>
      </c>
    </row>
    <row r="44" spans="1:2" ht="18">
      <c r="A44" s="13" t="s">
        <v>76</v>
      </c>
      <c r="B44" t="b">
        <v>1</v>
      </c>
    </row>
    <row r="45" spans="1:2" ht="18">
      <c r="A45" s="13" t="s">
        <v>26</v>
      </c>
      <c r="B45" t="b">
        <v>1</v>
      </c>
    </row>
    <row r="46" spans="1:2" ht="18">
      <c r="A46" s="13" t="s">
        <v>174</v>
      </c>
      <c r="B46" t="b">
        <v>1</v>
      </c>
    </row>
    <row r="47" spans="1:2" ht="18">
      <c r="A47" s="13" t="s">
        <v>82</v>
      </c>
      <c r="B47" t="b">
        <v>1</v>
      </c>
    </row>
    <row r="48" spans="1:2" ht="18">
      <c r="A48" s="13" t="s">
        <v>79</v>
      </c>
      <c r="B48" t="b">
        <v>1</v>
      </c>
    </row>
    <row r="49" spans="1:2" ht="18">
      <c r="A49" s="13" t="s">
        <v>137</v>
      </c>
      <c r="B49" t="b">
        <v>1</v>
      </c>
    </row>
    <row r="50" spans="1:2" ht="18">
      <c r="A50" s="13" t="s">
        <v>6931</v>
      </c>
      <c r="B50" t="b">
        <v>1</v>
      </c>
    </row>
    <row r="51" spans="1:2" ht="18">
      <c r="A51" s="13" t="s">
        <v>89</v>
      </c>
      <c r="B51" t="b">
        <v>1</v>
      </c>
    </row>
    <row r="52" spans="1:2" ht="18">
      <c r="A52" s="13" t="s">
        <v>107</v>
      </c>
      <c r="B52" t="b">
        <v>1</v>
      </c>
    </row>
    <row r="53" spans="1:2" ht="18">
      <c r="A53" s="13" t="s">
        <v>645</v>
      </c>
      <c r="B53" t="b">
        <v>1</v>
      </c>
    </row>
    <row r="54" spans="1:2" ht="18">
      <c r="A54" s="13" t="s">
        <v>39</v>
      </c>
      <c r="B54" t="b">
        <v>1</v>
      </c>
    </row>
    <row r="55" spans="1:2" ht="18">
      <c r="A55" s="13" t="s">
        <v>440</v>
      </c>
      <c r="B55" t="b">
        <v>1</v>
      </c>
    </row>
    <row r="56" spans="1:2" ht="18">
      <c r="A56" s="13" t="s">
        <v>1123</v>
      </c>
      <c r="B56" t="b">
        <v>1</v>
      </c>
    </row>
    <row r="57" spans="1:2" ht="18">
      <c r="A57" s="13" t="s">
        <v>1085</v>
      </c>
      <c r="B57" t="b">
        <v>1</v>
      </c>
    </row>
    <row r="58" spans="1:2" ht="18">
      <c r="A58" s="13" t="s">
        <v>1031</v>
      </c>
      <c r="B58" t="b">
        <v>1</v>
      </c>
    </row>
    <row r="59" spans="1:2" ht="18">
      <c r="A59" s="13" t="s">
        <v>442</v>
      </c>
      <c r="B59" t="b">
        <v>1</v>
      </c>
    </row>
    <row r="60" spans="1:2" ht="18">
      <c r="A60" s="13" t="s">
        <v>259</v>
      </c>
      <c r="B60" t="b">
        <v>1</v>
      </c>
    </row>
    <row r="61" spans="1:2" ht="18">
      <c r="A61" s="13" t="s">
        <v>1667</v>
      </c>
      <c r="B61" t="b">
        <v>1</v>
      </c>
    </row>
    <row r="62" spans="1:2" ht="18">
      <c r="A62" s="13" t="s">
        <v>462</v>
      </c>
      <c r="B62" t="b">
        <v>1</v>
      </c>
    </row>
    <row r="63" spans="1:2" ht="18">
      <c r="A63" s="13" t="s">
        <v>326</v>
      </c>
      <c r="B63" t="b">
        <v>1</v>
      </c>
    </row>
    <row r="64" spans="1:2" ht="18">
      <c r="A64" s="13" t="s">
        <v>1361</v>
      </c>
      <c r="B64" t="b">
        <v>1</v>
      </c>
    </row>
    <row r="65" spans="1:2" ht="18">
      <c r="A65" s="13" t="s">
        <v>61</v>
      </c>
      <c r="B65" t="b">
        <v>1</v>
      </c>
    </row>
    <row r="66" spans="1:2" ht="18">
      <c r="A66" s="13" t="s">
        <v>250</v>
      </c>
      <c r="B66" t="b">
        <v>1</v>
      </c>
    </row>
    <row r="67" spans="1:2" ht="18">
      <c r="A67" s="13" t="s">
        <v>323</v>
      </c>
      <c r="B67" t="b">
        <v>1</v>
      </c>
    </row>
    <row r="68" spans="1:2" ht="18">
      <c r="A68" s="13" t="s">
        <v>701</v>
      </c>
      <c r="B68" t="b">
        <v>1</v>
      </c>
    </row>
    <row r="69" spans="1:2" ht="18">
      <c r="A69" s="13" t="s">
        <v>898</v>
      </c>
      <c r="B69" t="b">
        <v>1</v>
      </c>
    </row>
    <row r="70" spans="1:2" ht="18">
      <c r="A70" s="13" t="s">
        <v>6932</v>
      </c>
      <c r="B70" t="b">
        <v>1</v>
      </c>
    </row>
    <row r="71" spans="1:2" ht="18">
      <c r="A71" s="13" t="s">
        <v>2959</v>
      </c>
      <c r="B71" t="b">
        <v>1</v>
      </c>
    </row>
    <row r="72" spans="1:2" ht="18">
      <c r="A72" s="13" t="s">
        <v>121</v>
      </c>
      <c r="B72" t="b">
        <v>1</v>
      </c>
    </row>
    <row r="73" spans="1:2" ht="18">
      <c r="A73" s="13" t="s">
        <v>117</v>
      </c>
      <c r="B73" t="b">
        <v>1</v>
      </c>
    </row>
    <row r="74" spans="1:2" ht="18">
      <c r="A74" s="13" t="s">
        <v>396</v>
      </c>
      <c r="B74" t="b">
        <v>1</v>
      </c>
    </row>
    <row r="75" spans="1:2" ht="18">
      <c r="A75" s="13" t="s">
        <v>398</v>
      </c>
      <c r="B75" t="b">
        <v>1</v>
      </c>
    </row>
    <row r="76" spans="1:2" ht="18">
      <c r="A76" s="13" t="s">
        <v>400</v>
      </c>
      <c r="B76" t="b">
        <v>1</v>
      </c>
    </row>
    <row r="77" spans="1:2" ht="18">
      <c r="A77" s="13" t="s">
        <v>407</v>
      </c>
      <c r="B77" t="b">
        <v>1</v>
      </c>
    </row>
    <row r="78" spans="1:2" ht="18">
      <c r="A78" s="13" t="s">
        <v>580</v>
      </c>
      <c r="B78" t="b">
        <v>1</v>
      </c>
    </row>
    <row r="79" spans="1:2" ht="18">
      <c r="A79" s="13" t="s">
        <v>403</v>
      </c>
      <c r="B79" t="b">
        <v>1</v>
      </c>
    </row>
    <row r="80" spans="1:2" ht="18">
      <c r="A80" s="13" t="s">
        <v>405</v>
      </c>
      <c r="B80" t="b">
        <v>1</v>
      </c>
    </row>
    <row r="81" spans="1:2" ht="18">
      <c r="A81" s="13" t="s">
        <v>605</v>
      </c>
      <c r="B81" t="b">
        <v>1</v>
      </c>
    </row>
    <row r="82" spans="1:2" ht="18">
      <c r="A82" s="13" t="s">
        <v>602</v>
      </c>
      <c r="B82" t="b">
        <v>1</v>
      </c>
    </row>
    <row r="83" spans="1:2" ht="18">
      <c r="A83" s="13" t="s">
        <v>614</v>
      </c>
      <c r="B83" t="b">
        <v>1</v>
      </c>
    </row>
    <row r="84" spans="1:2" ht="18">
      <c r="A84" s="13" t="s">
        <v>6933</v>
      </c>
      <c r="B84" t="b">
        <v>0</v>
      </c>
    </row>
    <row r="85" spans="1:2" ht="18">
      <c r="A85" s="13" t="s">
        <v>45</v>
      </c>
      <c r="B85" t="b">
        <v>1</v>
      </c>
    </row>
    <row r="86" spans="1:2" ht="18">
      <c r="A86" s="13" t="s">
        <v>67</v>
      </c>
      <c r="B86" t="b">
        <v>1</v>
      </c>
    </row>
    <row r="87" spans="1:2" ht="18">
      <c r="A87" s="13" t="s">
        <v>6934</v>
      </c>
      <c r="B87" t="b">
        <v>1</v>
      </c>
    </row>
    <row r="88" spans="1:2" ht="18">
      <c r="A88" s="13" t="s">
        <v>811</v>
      </c>
      <c r="B88" t="b">
        <v>1</v>
      </c>
    </row>
    <row r="89" spans="1:2" ht="18">
      <c r="A89" s="13" t="s">
        <v>6935</v>
      </c>
      <c r="B89" t="b">
        <v>1</v>
      </c>
    </row>
    <row r="90" spans="1:2" ht="18">
      <c r="A90" s="13" t="s">
        <v>6936</v>
      </c>
      <c r="B90" t="b">
        <v>1</v>
      </c>
    </row>
    <row r="91" spans="1:2" ht="18">
      <c r="A91" s="13" t="s">
        <v>6937</v>
      </c>
      <c r="B91" t="b">
        <v>0</v>
      </c>
    </row>
    <row r="92" spans="1:2" ht="18">
      <c r="A92" s="13" t="s">
        <v>6938</v>
      </c>
      <c r="B92" t="b">
        <v>1</v>
      </c>
    </row>
    <row r="93" spans="1:2" ht="18">
      <c r="A93" s="13" t="s">
        <v>6939</v>
      </c>
      <c r="B93" t="b">
        <v>0</v>
      </c>
    </row>
    <row r="94" spans="1:2" ht="18">
      <c r="A94" s="13" t="s">
        <v>374</v>
      </c>
      <c r="B94" t="b">
        <v>1</v>
      </c>
    </row>
    <row r="95" spans="1:2" ht="18">
      <c r="A95" s="13" t="s">
        <v>6940</v>
      </c>
      <c r="B95" t="b">
        <v>0</v>
      </c>
    </row>
    <row r="96" spans="1:2" ht="18">
      <c r="A96" s="13" t="s">
        <v>254</v>
      </c>
      <c r="B96" t="b">
        <v>1</v>
      </c>
    </row>
    <row r="97" spans="1:2" ht="18">
      <c r="A97" s="13" t="s">
        <v>209</v>
      </c>
      <c r="B97" t="b">
        <v>1</v>
      </c>
    </row>
    <row r="98" spans="1:2" ht="18">
      <c r="A98" s="13" t="s">
        <v>6941</v>
      </c>
      <c r="B98" t="b">
        <v>0</v>
      </c>
    </row>
    <row r="99" spans="1:2" ht="18">
      <c r="A99" s="13" t="s">
        <v>230</v>
      </c>
      <c r="B99" t="b">
        <v>1</v>
      </c>
    </row>
    <row r="100" spans="1:2" ht="18">
      <c r="A100" s="13" t="s">
        <v>207</v>
      </c>
      <c r="B100" t="b">
        <v>1</v>
      </c>
    </row>
    <row r="101" spans="1:2" ht="18">
      <c r="A101" s="13" t="s">
        <v>252</v>
      </c>
      <c r="B101" t="b">
        <v>1</v>
      </c>
    </row>
    <row r="102" spans="1:2" ht="18">
      <c r="A102" s="13" t="s">
        <v>718</v>
      </c>
      <c r="B102" t="b">
        <v>1</v>
      </c>
    </row>
    <row r="103" spans="1:2" ht="18">
      <c r="A103" s="13" t="s">
        <v>1097</v>
      </c>
      <c r="B103" t="b">
        <v>1</v>
      </c>
    </row>
    <row r="104" spans="1:2" ht="18">
      <c r="A104" s="13" t="s">
        <v>6942</v>
      </c>
      <c r="B104" t="b">
        <v>0</v>
      </c>
    </row>
    <row r="105" spans="1:2" ht="18">
      <c r="A105" s="13" t="s">
        <v>6943</v>
      </c>
      <c r="B105" t="b">
        <v>0</v>
      </c>
    </row>
    <row r="106" spans="1:2" ht="18">
      <c r="A106" s="13" t="s">
        <v>6944</v>
      </c>
      <c r="B106" t="b">
        <v>0</v>
      </c>
    </row>
    <row r="107" spans="1:2" ht="18">
      <c r="A107" s="13" t="s">
        <v>6945</v>
      </c>
      <c r="B107" t="b">
        <v>0</v>
      </c>
    </row>
    <row r="108" spans="1:2" ht="18">
      <c r="A108" s="13" t="s">
        <v>6946</v>
      </c>
      <c r="B108" t="b">
        <v>0</v>
      </c>
    </row>
    <row r="109" spans="1:2" ht="18">
      <c r="A109" s="13" t="s">
        <v>6947</v>
      </c>
      <c r="B109" t="b">
        <v>1</v>
      </c>
    </row>
    <row r="110" spans="1:2" ht="18">
      <c r="A110" s="13" t="s">
        <v>6948</v>
      </c>
      <c r="B110" t="b">
        <v>1</v>
      </c>
    </row>
    <row r="111" spans="1:2" ht="18">
      <c r="A111" s="13" t="s">
        <v>6949</v>
      </c>
      <c r="B111" t="b">
        <v>0</v>
      </c>
    </row>
    <row r="112" spans="1:2" ht="18">
      <c r="A112" s="13" t="s">
        <v>6950</v>
      </c>
      <c r="B112" t="b">
        <v>0</v>
      </c>
    </row>
    <row r="113" spans="1:2" ht="18">
      <c r="A113" s="13" t="s">
        <v>6951</v>
      </c>
      <c r="B113" t="b">
        <v>0</v>
      </c>
    </row>
    <row r="114" spans="1:2" ht="18">
      <c r="A114" s="13" t="s">
        <v>6952</v>
      </c>
      <c r="B114" t="b">
        <v>0</v>
      </c>
    </row>
    <row r="115" spans="1:2" ht="18">
      <c r="A115" s="13" t="s">
        <v>6953</v>
      </c>
      <c r="B115" t="b">
        <v>0</v>
      </c>
    </row>
    <row r="116" spans="1:2" ht="18">
      <c r="A116" s="13" t="s">
        <v>6954</v>
      </c>
      <c r="B116" t="b">
        <v>1</v>
      </c>
    </row>
    <row r="117" spans="1:2" ht="18">
      <c r="A117" s="13" t="s">
        <v>6955</v>
      </c>
      <c r="B117" t="b">
        <v>0</v>
      </c>
    </row>
    <row r="118" spans="1:2" ht="18">
      <c r="A118" s="13" t="s">
        <v>6956</v>
      </c>
      <c r="B118" t="b">
        <v>0</v>
      </c>
    </row>
    <row r="119" spans="1:2" ht="18">
      <c r="A119" s="13" t="s">
        <v>329</v>
      </c>
      <c r="B119" t="b">
        <v>1</v>
      </c>
    </row>
    <row r="120" spans="1:2" ht="18">
      <c r="A120" s="13" t="s">
        <v>6957</v>
      </c>
      <c r="B120" t="b">
        <v>1</v>
      </c>
    </row>
    <row r="121" spans="1:2" ht="18">
      <c r="A121" s="13" t="s">
        <v>6958</v>
      </c>
      <c r="B121" t="b">
        <v>1</v>
      </c>
    </row>
    <row r="122" spans="1:2" ht="18">
      <c r="A122" s="13" t="s">
        <v>6959</v>
      </c>
      <c r="B122" t="b">
        <v>1</v>
      </c>
    </row>
    <row r="123" spans="1:2" ht="18">
      <c r="A123" s="13" t="s">
        <v>6960</v>
      </c>
      <c r="B123" t="b">
        <v>1</v>
      </c>
    </row>
    <row r="124" spans="1:2" ht="18">
      <c r="A124" s="13" t="s">
        <v>6961</v>
      </c>
      <c r="B124" t="b">
        <v>1</v>
      </c>
    </row>
    <row r="125" spans="1:2" ht="18">
      <c r="A125" s="13" t="s">
        <v>6962</v>
      </c>
      <c r="B125" t="b">
        <v>1</v>
      </c>
    </row>
    <row r="126" spans="1:2" ht="18">
      <c r="A126" s="13" t="s">
        <v>2665</v>
      </c>
      <c r="B126" t="b">
        <v>1</v>
      </c>
    </row>
    <row r="127" spans="1:2" ht="18">
      <c r="A127" s="13" t="s">
        <v>6963</v>
      </c>
      <c r="B127" t="b">
        <v>1</v>
      </c>
    </row>
    <row r="128" spans="1:2" ht="18">
      <c r="A128" s="13" t="s">
        <v>6964</v>
      </c>
      <c r="B128" t="b">
        <v>1</v>
      </c>
    </row>
    <row r="129" spans="1:2" ht="18">
      <c r="A129" s="13" t="s">
        <v>70</v>
      </c>
      <c r="B129" t="b">
        <v>1</v>
      </c>
    </row>
    <row r="130" spans="1:2" ht="18">
      <c r="A130" s="13" t="s">
        <v>474</v>
      </c>
      <c r="B130" t="b">
        <v>1</v>
      </c>
    </row>
    <row r="131" spans="1:2" ht="18">
      <c r="A131" s="13" t="s">
        <v>476</v>
      </c>
      <c r="B131" t="b">
        <v>1</v>
      </c>
    </row>
    <row r="132" spans="1:2" ht="18">
      <c r="A132" s="13" t="s">
        <v>457</v>
      </c>
      <c r="B132" t="b">
        <v>1</v>
      </c>
    </row>
    <row r="133" spans="1:2" ht="18">
      <c r="A133" s="13" t="s">
        <v>488</v>
      </c>
      <c r="B133" t="b">
        <v>1</v>
      </c>
    </row>
    <row r="134" spans="1:2" ht="18">
      <c r="A134" s="13" t="s">
        <v>485</v>
      </c>
      <c r="B134" t="b">
        <v>1</v>
      </c>
    </row>
    <row r="135" spans="1:2" ht="18">
      <c r="A135" s="13" t="s">
        <v>454</v>
      </c>
      <c r="B135" t="b">
        <v>1</v>
      </c>
    </row>
    <row r="136" spans="1:2" ht="18">
      <c r="A136" s="13" t="s">
        <v>6965</v>
      </c>
      <c r="B136" t="b">
        <v>1</v>
      </c>
    </row>
    <row r="137" spans="1:2" ht="18">
      <c r="A137" s="13" t="s">
        <v>6966</v>
      </c>
      <c r="B137" t="b">
        <v>1</v>
      </c>
    </row>
    <row r="138" spans="1:2" ht="18">
      <c r="A138" s="13" t="s">
        <v>6967</v>
      </c>
      <c r="B138" t="b">
        <v>0</v>
      </c>
    </row>
    <row r="139" spans="1:2" ht="18">
      <c r="A139" s="13" t="s">
        <v>6968</v>
      </c>
      <c r="B139" t="b">
        <v>0</v>
      </c>
    </row>
    <row r="140" spans="1:2" ht="18">
      <c r="A140" s="13" t="s">
        <v>6969</v>
      </c>
      <c r="B140" t="b">
        <v>0</v>
      </c>
    </row>
    <row r="141" spans="1:2" ht="18">
      <c r="A141" s="13" t="s">
        <v>135</v>
      </c>
      <c r="B141" t="b">
        <v>1</v>
      </c>
    </row>
    <row r="142" spans="1:2" ht="18">
      <c r="A142" s="13" t="s">
        <v>165</v>
      </c>
      <c r="B142" t="b">
        <v>1</v>
      </c>
    </row>
    <row r="143" spans="1:2" ht="18">
      <c r="A143" s="13" t="s">
        <v>168</v>
      </c>
      <c r="B143" t="b">
        <v>1</v>
      </c>
    </row>
    <row r="144" spans="1:2" ht="18">
      <c r="A144" s="13" t="s">
        <v>104</v>
      </c>
      <c r="B144" t="b">
        <v>1</v>
      </c>
    </row>
    <row r="145" spans="1:2" ht="18">
      <c r="A145" s="13" t="s">
        <v>152</v>
      </c>
      <c r="B145" t="b">
        <v>1</v>
      </c>
    </row>
    <row r="146" spans="1:2" ht="18">
      <c r="A146" s="13" t="s">
        <v>6970</v>
      </c>
      <c r="B146" t="b">
        <v>0</v>
      </c>
    </row>
    <row r="147" spans="1:2" ht="18">
      <c r="A147" s="13" t="s">
        <v>6971</v>
      </c>
      <c r="B147" t="b">
        <v>0</v>
      </c>
    </row>
    <row r="148" spans="1:2" ht="18">
      <c r="A148" s="13" t="s">
        <v>380</v>
      </c>
      <c r="B148" t="b">
        <v>1</v>
      </c>
    </row>
    <row r="149" spans="1:2" ht="18">
      <c r="A149" s="13" t="s">
        <v>383</v>
      </c>
      <c r="B149" t="b">
        <v>1</v>
      </c>
    </row>
    <row r="150" spans="1:2" ht="18">
      <c r="A150" s="13" t="s">
        <v>410</v>
      </c>
      <c r="B150" t="b">
        <v>1</v>
      </c>
    </row>
    <row r="151" spans="1:2" ht="18">
      <c r="A151" s="13" t="s">
        <v>6972</v>
      </c>
      <c r="B151" t="b">
        <v>1</v>
      </c>
    </row>
    <row r="152" spans="1:2" ht="18">
      <c r="A152" s="13" t="s">
        <v>995</v>
      </c>
      <c r="B152" t="b">
        <v>1</v>
      </c>
    </row>
    <row r="153" spans="1:2" ht="18">
      <c r="A153" s="13" t="s">
        <v>422</v>
      </c>
      <c r="B153" t="b">
        <v>1</v>
      </c>
    </row>
    <row r="154" spans="1:2" ht="18">
      <c r="A154" s="13" t="s">
        <v>4829</v>
      </c>
      <c r="B154" t="b">
        <v>1</v>
      </c>
    </row>
    <row r="155" spans="1:2" ht="18">
      <c r="A155" s="13" t="s">
        <v>3232</v>
      </c>
      <c r="B155" t="b">
        <v>1</v>
      </c>
    </row>
    <row r="156" spans="1:2" ht="18">
      <c r="A156" s="13" t="s">
        <v>425</v>
      </c>
      <c r="B156" t="b">
        <v>1</v>
      </c>
    </row>
    <row r="157" spans="1:2" ht="18">
      <c r="A157" s="13" t="s">
        <v>413</v>
      </c>
      <c r="B157" t="b">
        <v>1</v>
      </c>
    </row>
    <row r="158" spans="1:2" ht="18">
      <c r="A158" s="13" t="s">
        <v>428</v>
      </c>
      <c r="B158" t="b">
        <v>1</v>
      </c>
    </row>
    <row r="159" spans="1:2" ht="18">
      <c r="A159" s="13" t="s">
        <v>416</v>
      </c>
      <c r="B159" t="b">
        <v>1</v>
      </c>
    </row>
    <row r="160" spans="1:2" ht="18">
      <c r="A160" s="13" t="s">
        <v>419</v>
      </c>
      <c r="B160" t="b">
        <v>1</v>
      </c>
    </row>
    <row r="161" spans="1:2" ht="18">
      <c r="A161" s="13" t="s">
        <v>386</v>
      </c>
      <c r="B161" t="b">
        <v>1</v>
      </c>
    </row>
    <row r="162" spans="1:2" ht="18">
      <c r="A162" s="13" t="s">
        <v>389</v>
      </c>
      <c r="B162" t="b">
        <v>1</v>
      </c>
    </row>
  </sheetData>
  <autoFilter ref="A1:B162" xr:uid="{6478AEEB-A11E-4A8F-99B9-87F10651E842}"/>
  <hyperlinks>
    <hyperlink ref="C1" r:id="rId1" xr:uid="{82E7E290-F1CE-4543-98BD-C97AE1A157B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0737-363D-4FE2-A244-42F057159670}">
  <dimension ref="A1:C35"/>
  <sheetViews>
    <sheetView workbookViewId="0">
      <selection activeCell="A13" sqref="A13"/>
    </sheetView>
  </sheetViews>
  <sheetFormatPr defaultRowHeight="15"/>
  <cols>
    <col min="1" max="1" width="31.42578125" bestFit="1" customWidth="1"/>
    <col min="2" max="2" width="25.42578125" bestFit="1" customWidth="1"/>
    <col min="3" max="3" width="9" customWidth="1"/>
  </cols>
  <sheetData>
    <row r="1" spans="1:3">
      <c r="A1" s="14" t="s">
        <v>6973</v>
      </c>
      <c r="B1" s="14" t="s">
        <v>6974</v>
      </c>
      <c r="C1" s="14" t="s">
        <v>6780</v>
      </c>
    </row>
    <row r="2" spans="1:3">
      <c r="A2" t="s">
        <v>274</v>
      </c>
      <c r="B2" t="s">
        <v>6975</v>
      </c>
      <c r="C2">
        <v>2</v>
      </c>
    </row>
    <row r="3" spans="1:3">
      <c r="A3" t="s">
        <v>261</v>
      </c>
      <c r="B3" t="s">
        <v>6976</v>
      </c>
      <c r="C3">
        <v>2</v>
      </c>
    </row>
    <row r="4" spans="1:3">
      <c r="A4" t="s">
        <v>438</v>
      </c>
      <c r="B4" t="s">
        <v>6977</v>
      </c>
      <c r="C4">
        <v>5</v>
      </c>
    </row>
    <row r="5" spans="1:3">
      <c r="A5" t="s">
        <v>235</v>
      </c>
      <c r="B5" t="s">
        <v>6978</v>
      </c>
      <c r="C5">
        <v>5</v>
      </c>
    </row>
    <row r="6" spans="1:3">
      <c r="A6" t="s">
        <v>1428</v>
      </c>
      <c r="B6" t="s">
        <v>6979</v>
      </c>
      <c r="C6">
        <v>2</v>
      </c>
    </row>
    <row r="7" spans="1:3">
      <c r="A7" t="s">
        <v>600</v>
      </c>
      <c r="B7" t="s">
        <v>6980</v>
      </c>
      <c r="C7">
        <v>3</v>
      </c>
    </row>
    <row r="8" spans="1:3">
      <c r="A8" t="s">
        <v>356</v>
      </c>
      <c r="B8" t="s">
        <v>6981</v>
      </c>
      <c r="C8">
        <v>3</v>
      </c>
    </row>
    <row r="9" spans="1:3">
      <c r="A9" t="s">
        <v>790</v>
      </c>
      <c r="B9" t="s">
        <v>6982</v>
      </c>
      <c r="C9">
        <v>1</v>
      </c>
    </row>
    <row r="10" spans="1:3">
      <c r="A10" t="s">
        <v>886</v>
      </c>
      <c r="B10" t="s">
        <v>6983</v>
      </c>
      <c r="C10">
        <v>1</v>
      </c>
    </row>
    <row r="11" spans="1:3">
      <c r="A11" t="s">
        <v>836</v>
      </c>
      <c r="B11" t="s">
        <v>6984</v>
      </c>
      <c r="C11">
        <v>7</v>
      </c>
    </row>
    <row r="12" spans="1:3">
      <c r="A12" t="s">
        <v>2300</v>
      </c>
      <c r="B12" t="s">
        <v>6985</v>
      </c>
      <c r="C12">
        <v>3</v>
      </c>
    </row>
    <row r="13" spans="1:3">
      <c r="A13" t="s">
        <v>372</v>
      </c>
      <c r="B13" t="s">
        <v>6986</v>
      </c>
      <c r="C13">
        <v>2</v>
      </c>
    </row>
    <row r="14" spans="1:3">
      <c r="A14" t="s">
        <v>102</v>
      </c>
      <c r="B14" t="s">
        <v>6987</v>
      </c>
      <c r="C14">
        <v>2</v>
      </c>
    </row>
    <row r="15" spans="1:3">
      <c r="A15" t="s">
        <v>6988</v>
      </c>
      <c r="B15" t="s">
        <v>6989</v>
      </c>
      <c r="C15">
        <v>7</v>
      </c>
    </row>
    <row r="16" spans="1:3">
      <c r="A16" t="s">
        <v>2001</v>
      </c>
      <c r="B16" t="s">
        <v>6990</v>
      </c>
      <c r="C16">
        <v>4</v>
      </c>
    </row>
    <row r="17" spans="1:3">
      <c r="A17" t="s">
        <v>24</v>
      </c>
      <c r="B17" t="s">
        <v>6991</v>
      </c>
      <c r="C17">
        <v>16</v>
      </c>
    </row>
    <row r="18" spans="1:3">
      <c r="A18" t="s">
        <v>205</v>
      </c>
      <c r="B18" t="s">
        <v>6992</v>
      </c>
      <c r="C18">
        <v>6</v>
      </c>
    </row>
    <row r="19" spans="1:3">
      <c r="A19" t="s">
        <v>59</v>
      </c>
      <c r="B19" t="s">
        <v>6993</v>
      </c>
      <c r="C19">
        <v>3</v>
      </c>
    </row>
    <row r="20" spans="1:3">
      <c r="A20" t="s">
        <v>394</v>
      </c>
      <c r="B20" t="s">
        <v>6994</v>
      </c>
      <c r="C20">
        <v>7</v>
      </c>
    </row>
    <row r="21" spans="1:3">
      <c r="A21" t="s">
        <v>1304</v>
      </c>
      <c r="B21" t="s">
        <v>6995</v>
      </c>
      <c r="C21">
        <v>4</v>
      </c>
    </row>
    <row r="22" spans="1:3">
      <c r="A22" t="s">
        <v>37</v>
      </c>
      <c r="B22" t="s">
        <v>6996</v>
      </c>
      <c r="C22">
        <v>5</v>
      </c>
    </row>
    <row r="23" spans="1:3">
      <c r="A23" t="s">
        <v>248</v>
      </c>
      <c r="B23" t="s">
        <v>6997</v>
      </c>
      <c r="C23">
        <v>6</v>
      </c>
    </row>
    <row r="24" spans="1:3">
      <c r="A24" t="s">
        <v>46</v>
      </c>
      <c r="B24" t="s">
        <v>6998</v>
      </c>
      <c r="C24">
        <v>3</v>
      </c>
    </row>
    <row r="25" spans="1:3">
      <c r="A25" t="s">
        <v>43</v>
      </c>
      <c r="B25" t="s">
        <v>6999</v>
      </c>
      <c r="C25">
        <v>3</v>
      </c>
    </row>
    <row r="26" spans="1:3">
      <c r="A26" t="s">
        <v>378</v>
      </c>
      <c r="B26" t="s">
        <v>7000</v>
      </c>
      <c r="C26">
        <v>15</v>
      </c>
    </row>
    <row r="27" spans="1:3">
      <c r="A27" t="s">
        <v>7001</v>
      </c>
      <c r="B27" t="s">
        <v>7002</v>
      </c>
      <c r="C27">
        <v>9</v>
      </c>
    </row>
    <row r="28" spans="1:3">
      <c r="A28" t="s">
        <v>809</v>
      </c>
      <c r="B28" t="s">
        <v>7003</v>
      </c>
      <c r="C28">
        <v>3</v>
      </c>
    </row>
    <row r="29" spans="1:3">
      <c r="A29" t="s">
        <v>352</v>
      </c>
      <c r="B29" t="s">
        <v>7004</v>
      </c>
      <c r="C29">
        <v>7</v>
      </c>
    </row>
    <row r="30" spans="1:3">
      <c r="A30" t="s">
        <v>133</v>
      </c>
      <c r="B30" t="s">
        <v>7005</v>
      </c>
      <c r="C30">
        <v>12</v>
      </c>
    </row>
    <row r="31" spans="1:3">
      <c r="A31" t="s">
        <v>115</v>
      </c>
      <c r="B31" t="s">
        <v>7006</v>
      </c>
      <c r="C31">
        <v>4</v>
      </c>
    </row>
    <row r="32" spans="1:3">
      <c r="A32" t="s">
        <v>30</v>
      </c>
      <c r="B32" t="s">
        <v>7007</v>
      </c>
      <c r="C32">
        <v>2</v>
      </c>
    </row>
    <row r="33" spans="1:3">
      <c r="A33" t="s">
        <v>160</v>
      </c>
      <c r="B33" t="s">
        <v>7008</v>
      </c>
      <c r="C33">
        <v>2</v>
      </c>
    </row>
    <row r="34" spans="1:3">
      <c r="A34" t="s">
        <v>87</v>
      </c>
      <c r="B34" t="s">
        <v>7009</v>
      </c>
      <c r="C34">
        <v>2</v>
      </c>
    </row>
    <row r="35" spans="1:3">
      <c r="A35" t="s">
        <v>19</v>
      </c>
      <c r="B35" t="s">
        <v>7010</v>
      </c>
      <c r="C3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Elluru, Krishna Mohan</dc:creator>
  <cp:keywords/>
  <dc:description/>
  <cp:lastModifiedBy/>
  <cp:revision/>
  <dcterms:created xsi:type="dcterms:W3CDTF">2025-12-03T06:27:43Z</dcterms:created>
  <dcterms:modified xsi:type="dcterms:W3CDTF">2026-01-22T19:24:20Z</dcterms:modified>
  <cp:category/>
  <cp:contentStatus/>
</cp:coreProperties>
</file>